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46168</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46168</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46168</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46168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46168</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46168</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46168</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46168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46168</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46-2022</t>
        </is>
      </c>
      <c r="B23" s="1" t="n">
        <v>44560</v>
      </c>
      <c r="C23" s="1" t="n">
        <v>46168</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41021-2023</t>
        </is>
      </c>
      <c r="B24" s="1" t="n">
        <v>45173</v>
      </c>
      <c r="C24" s="1" t="n">
        <v>46168</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46168</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46168</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7890-2023</t>
        </is>
      </c>
      <c r="B27" s="1" t="n">
        <v>44973</v>
      </c>
      <c r="C27" s="1" t="n">
        <v>46168</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22936-2025</t>
        </is>
      </c>
      <c r="B28" s="1" t="n">
        <v>45790.45738425926</v>
      </c>
      <c r="C28" s="1" t="n">
        <v>46168</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8817-2025</t>
        </is>
      </c>
      <c r="B29" s="1" t="n">
        <v>45712.70987268518</v>
      </c>
      <c r="C29" s="1" t="n">
        <v>46168</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14508-2024</t>
        </is>
      </c>
      <c r="B30" s="1" t="n">
        <v>45394.61583333334</v>
      </c>
      <c r="C30" s="1" t="n">
        <v>46168</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17348-2025</t>
        </is>
      </c>
      <c r="B31" s="1" t="n">
        <v>45756</v>
      </c>
      <c r="C31" s="1" t="n">
        <v>46168</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22830-2024</t>
        </is>
      </c>
      <c r="B32" s="1" t="n">
        <v>45448.56583333333</v>
      </c>
      <c r="C32" s="1" t="n">
        <v>46168</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21-2022</t>
        </is>
      </c>
      <c r="B33" s="1" t="n">
        <v>44560</v>
      </c>
      <c r="C33" s="1" t="n">
        <v>46168</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54481-2025</t>
        </is>
      </c>
      <c r="B34" s="1" t="n">
        <v>45965.58837962963</v>
      </c>
      <c r="C34" s="1" t="n">
        <v>46168</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17341-2025</t>
        </is>
      </c>
      <c r="B35" s="1" t="n">
        <v>45756</v>
      </c>
      <c r="C35" s="1" t="n">
        <v>46168</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12396-2026</t>
        </is>
      </c>
      <c r="B36" s="1" t="n">
        <v>46090.38930555555</v>
      </c>
      <c r="C36" s="1" t="n">
        <v>46168</v>
      </c>
      <c r="D36" t="inlineStr">
        <is>
          <t>STOCKHOLMS LÄN</t>
        </is>
      </c>
      <c r="E36" t="inlineStr">
        <is>
          <t>VALLENTUNA</t>
        </is>
      </c>
      <c r="G36" t="n">
        <v>3</v>
      </c>
      <c r="H36" t="n">
        <v>1</v>
      </c>
      <c r="I36" t="n">
        <v>0</v>
      </c>
      <c r="J36" t="n">
        <v>1</v>
      </c>
      <c r="K36" t="n">
        <v>0</v>
      </c>
      <c r="L36" t="n">
        <v>0</v>
      </c>
      <c r="M36" t="n">
        <v>0</v>
      </c>
      <c r="N36" t="n">
        <v>0</v>
      </c>
      <c r="O36" t="n">
        <v>1</v>
      </c>
      <c r="P36" t="n">
        <v>0</v>
      </c>
      <c r="Q36" t="n">
        <v>1</v>
      </c>
      <c r="R36" s="2" t="inlineStr">
        <is>
          <t>Spillkråka</t>
        </is>
      </c>
      <c r="S36">
        <f>HYPERLINK("https://klasma.github.io/Logging_0115/artfynd/A 12396-2026 artfynd.xlsx", "A 12396-2026")</f>
        <v/>
      </c>
      <c r="T36">
        <f>HYPERLINK("https://klasma.github.io/Logging_0115/kartor/A 12396-2026 karta.png", "A 12396-2026")</f>
        <v/>
      </c>
      <c r="V36">
        <f>HYPERLINK("https://klasma.github.io/Logging_0115/klagomål/A 12396-2026 FSC-klagomål.docx", "A 12396-2026")</f>
        <v/>
      </c>
      <c r="W36">
        <f>HYPERLINK("https://klasma.github.io/Logging_0115/klagomålsmail/A 12396-2026 FSC-klagomål mail.docx", "A 12396-2026")</f>
        <v/>
      </c>
      <c r="X36">
        <f>HYPERLINK("https://klasma.github.io/Logging_0115/tillsyn/A 12396-2026 tillsynsbegäran.docx", "A 12396-2026")</f>
        <v/>
      </c>
      <c r="Y36">
        <f>HYPERLINK("https://klasma.github.io/Logging_0115/tillsynsmail/A 12396-2026 tillsynsbegäran mail.docx", "A 12396-2026")</f>
        <v/>
      </c>
      <c r="Z36">
        <f>HYPERLINK("https://klasma.github.io/Logging_0115/fåglar/A 12396-2026 prioriterade fågelarter.docx", "A 12396-2026")</f>
        <v/>
      </c>
    </row>
    <row r="37" ht="15" customHeight="1">
      <c r="A37" t="inlineStr">
        <is>
          <t>A 12401-2026</t>
        </is>
      </c>
      <c r="B37" s="1" t="n">
        <v>46090</v>
      </c>
      <c r="C37" s="1" t="n">
        <v>46168</v>
      </c>
      <c r="D37" t="inlineStr">
        <is>
          <t>STOCKHOLMS LÄN</t>
        </is>
      </c>
      <c r="E37" t="inlineStr">
        <is>
          <t>VALLENTUNA</t>
        </is>
      </c>
      <c r="G37" t="n">
        <v>5.9</v>
      </c>
      <c r="H37" t="n">
        <v>1</v>
      </c>
      <c r="I37" t="n">
        <v>0</v>
      </c>
      <c r="J37" t="n">
        <v>1</v>
      </c>
      <c r="K37" t="n">
        <v>0</v>
      </c>
      <c r="L37" t="n">
        <v>0</v>
      </c>
      <c r="M37" t="n">
        <v>0</v>
      </c>
      <c r="N37" t="n">
        <v>0</v>
      </c>
      <c r="O37" t="n">
        <v>1</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63543-2025</t>
        </is>
      </c>
      <c r="B38" s="1" t="n">
        <v>46013.59207175926</v>
      </c>
      <c r="C38" s="1" t="n">
        <v>46168</v>
      </c>
      <c r="D38" t="inlineStr">
        <is>
          <t>STOCKHOLMS LÄN</t>
        </is>
      </c>
      <c r="E38" t="inlineStr">
        <is>
          <t>VALLENTUNA</t>
        </is>
      </c>
      <c r="G38" t="n">
        <v>3.4</v>
      </c>
      <c r="H38" t="n">
        <v>0</v>
      </c>
      <c r="I38" t="n">
        <v>0</v>
      </c>
      <c r="J38" t="n">
        <v>1</v>
      </c>
      <c r="K38" t="n">
        <v>0</v>
      </c>
      <c r="L38" t="n">
        <v>0</v>
      </c>
      <c r="M38" t="n">
        <v>0</v>
      </c>
      <c r="N38" t="n">
        <v>0</v>
      </c>
      <c r="O38" t="n">
        <v>1</v>
      </c>
      <c r="P38" t="n">
        <v>0</v>
      </c>
      <c r="Q38" t="n">
        <v>1</v>
      </c>
      <c r="R38" s="2" t="inlineStr">
        <is>
          <t>Tallticka</t>
        </is>
      </c>
      <c r="S38">
        <f>HYPERLINK("https://klasma.github.io/Logging_0115/artfynd/A 63543-2025 artfynd.xlsx", "A 63543-2025")</f>
        <v/>
      </c>
      <c r="T38">
        <f>HYPERLINK("https://klasma.github.io/Logging_0115/kartor/A 63543-2025 karta.png", "A 63543-2025")</f>
        <v/>
      </c>
      <c r="V38">
        <f>HYPERLINK("https://klasma.github.io/Logging_0115/klagomål/A 63543-2025 FSC-klagomål.docx", "A 63543-2025")</f>
        <v/>
      </c>
      <c r="W38">
        <f>HYPERLINK("https://klasma.github.io/Logging_0115/klagomålsmail/A 63543-2025 FSC-klagomål mail.docx", "A 63543-2025")</f>
        <v/>
      </c>
      <c r="X38">
        <f>HYPERLINK("https://klasma.github.io/Logging_0115/tillsyn/A 63543-2025 tillsynsbegäran.docx", "A 63543-2025")</f>
        <v/>
      </c>
      <c r="Y38">
        <f>HYPERLINK("https://klasma.github.io/Logging_0115/tillsynsmail/A 63543-2025 tillsynsbegäran mail.docx", "A 63543-2025")</f>
        <v/>
      </c>
    </row>
    <row r="39" ht="15" customHeight="1">
      <c r="A39" t="inlineStr">
        <is>
          <t>A 63539-2025</t>
        </is>
      </c>
      <c r="B39" s="1" t="n">
        <v>46013.58824074074</v>
      </c>
      <c r="C39" s="1" t="n">
        <v>46168</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34458-2023</t>
        </is>
      </c>
      <c r="B40" s="1" t="n">
        <v>45139</v>
      </c>
      <c r="C40" s="1" t="n">
        <v>46168</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46168</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46168</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8089-2022</t>
        </is>
      </c>
      <c r="B43" s="1" t="n">
        <v>44609.53716435185</v>
      </c>
      <c r="C43" s="1" t="n">
        <v>46168</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46168</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46168</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46168</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46168</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46168</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46168</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46168</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46168</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61027-2023</t>
        </is>
      </c>
      <c r="B53" s="1" t="n">
        <v>45261</v>
      </c>
      <c r="C53" s="1" t="n">
        <v>46168</v>
      </c>
      <c r="D53" t="inlineStr">
        <is>
          <t>STOCKHOLMS LÄN</t>
        </is>
      </c>
      <c r="E53" t="inlineStr">
        <is>
          <t>VALLENTUNA</t>
        </is>
      </c>
      <c r="G53" t="n">
        <v>7.1</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46168</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23009-2024</t>
        </is>
      </c>
      <c r="B55" s="1" t="n">
        <v>45450.34506944445</v>
      </c>
      <c r="C55" s="1" t="n">
        <v>46168</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46168</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46168</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23923-2025</t>
        </is>
      </c>
      <c r="B58" s="1" t="n">
        <v>45795.39648148148</v>
      </c>
      <c r="C58" s="1" t="n">
        <v>46168</v>
      </c>
      <c r="D58" t="inlineStr">
        <is>
          <t>STOCKHOLMS LÄN</t>
        </is>
      </c>
      <c r="E58" t="inlineStr">
        <is>
          <t>VALLENTUNA</t>
        </is>
      </c>
      <c r="G58" t="n">
        <v>2.3</v>
      </c>
      <c r="H58" t="n">
        <v>0</v>
      </c>
      <c r="I58" t="n">
        <v>0</v>
      </c>
      <c r="J58" t="n">
        <v>0</v>
      </c>
      <c r="K58" t="n">
        <v>0</v>
      </c>
      <c r="L58" t="n">
        <v>0</v>
      </c>
      <c r="M58" t="n">
        <v>0</v>
      </c>
      <c r="N58" t="n">
        <v>0</v>
      </c>
      <c r="O58" t="n">
        <v>0</v>
      </c>
      <c r="P58" t="n">
        <v>0</v>
      </c>
      <c r="Q58" t="n">
        <v>0</v>
      </c>
      <c r="R58" s="2" t="inlineStr"/>
    </row>
    <row r="59" ht="15" customHeight="1">
      <c r="A59" t="inlineStr">
        <is>
          <t>A 19503-2023</t>
        </is>
      </c>
      <c r="B59" s="1" t="n">
        <v>45050.47333333334</v>
      </c>
      <c r="C59" s="1" t="n">
        <v>46168</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25984-2025</t>
        </is>
      </c>
      <c r="B60" s="1" t="n">
        <v>45804.64016203704</v>
      </c>
      <c r="C60" s="1" t="n">
        <v>46168</v>
      </c>
      <c r="D60" t="inlineStr">
        <is>
          <t>STOCKHOLMS LÄN</t>
        </is>
      </c>
      <c r="E60" t="inlineStr">
        <is>
          <t>VALLENTUNA</t>
        </is>
      </c>
      <c r="G60" t="n">
        <v>2.5</v>
      </c>
      <c r="H60" t="n">
        <v>0</v>
      </c>
      <c r="I60" t="n">
        <v>0</v>
      </c>
      <c r="J60" t="n">
        <v>0</v>
      </c>
      <c r="K60" t="n">
        <v>0</v>
      </c>
      <c r="L60" t="n">
        <v>0</v>
      </c>
      <c r="M60" t="n">
        <v>0</v>
      </c>
      <c r="N60" t="n">
        <v>0</v>
      </c>
      <c r="O60" t="n">
        <v>0</v>
      </c>
      <c r="P60" t="n">
        <v>0</v>
      </c>
      <c r="Q60" t="n">
        <v>0</v>
      </c>
      <c r="R60" s="2" t="inlineStr"/>
    </row>
    <row r="61" ht="15" customHeight="1">
      <c r="A61" t="inlineStr">
        <is>
          <t>A 21445-2023</t>
        </is>
      </c>
      <c r="B61" s="1" t="n">
        <v>45063</v>
      </c>
      <c r="C61" s="1" t="n">
        <v>46168</v>
      </c>
      <c r="D61" t="inlineStr">
        <is>
          <t>STOCKHOLMS LÄN</t>
        </is>
      </c>
      <c r="E61" t="inlineStr">
        <is>
          <t>VALLENTUNA</t>
        </is>
      </c>
      <c r="G61" t="n">
        <v>3.1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46168</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24943-2024</t>
        </is>
      </c>
      <c r="B63" s="1" t="n">
        <v>45461.62585648148</v>
      </c>
      <c r="C63" s="1" t="n">
        <v>46168</v>
      </c>
      <c r="D63" t="inlineStr">
        <is>
          <t>STOCKHOLMS LÄN</t>
        </is>
      </c>
      <c r="E63" t="inlineStr">
        <is>
          <t>VALLENTUNA</t>
        </is>
      </c>
      <c r="G63" t="n">
        <v>2</v>
      </c>
      <c r="H63" t="n">
        <v>0</v>
      </c>
      <c r="I63" t="n">
        <v>0</v>
      </c>
      <c r="J63" t="n">
        <v>0</v>
      </c>
      <c r="K63" t="n">
        <v>0</v>
      </c>
      <c r="L63" t="n">
        <v>0</v>
      </c>
      <c r="M63" t="n">
        <v>0</v>
      </c>
      <c r="N63" t="n">
        <v>0</v>
      </c>
      <c r="O63" t="n">
        <v>0</v>
      </c>
      <c r="P63" t="n">
        <v>0</v>
      </c>
      <c r="Q63" t="n">
        <v>0</v>
      </c>
      <c r="R63" s="2" t="inlineStr"/>
    </row>
    <row r="64" ht="15" customHeight="1">
      <c r="A64" t="inlineStr">
        <is>
          <t>A 5910-2022</t>
        </is>
      </c>
      <c r="B64" s="1" t="n">
        <v>44597</v>
      </c>
      <c r="C64" s="1" t="n">
        <v>46168</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46168</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49530-2023</t>
        </is>
      </c>
      <c r="B66" s="1" t="n">
        <v>45205</v>
      </c>
      <c r="C66" s="1" t="n">
        <v>46168</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30902-2025</t>
        </is>
      </c>
      <c r="B67" s="1" t="n">
        <v>45832.36104166666</v>
      </c>
      <c r="C67" s="1" t="n">
        <v>46168</v>
      </c>
      <c r="D67" t="inlineStr">
        <is>
          <t>STOCKHOLMS LÄN</t>
        </is>
      </c>
      <c r="E67" t="inlineStr">
        <is>
          <t>VALLENTUNA</t>
        </is>
      </c>
      <c r="G67" t="n">
        <v>8.199999999999999</v>
      </c>
      <c r="H67" t="n">
        <v>0</v>
      </c>
      <c r="I67" t="n">
        <v>0</v>
      </c>
      <c r="J67" t="n">
        <v>0</v>
      </c>
      <c r="K67" t="n">
        <v>0</v>
      </c>
      <c r="L67" t="n">
        <v>0</v>
      </c>
      <c r="M67" t="n">
        <v>0</v>
      </c>
      <c r="N67" t="n">
        <v>0</v>
      </c>
      <c r="O67" t="n">
        <v>0</v>
      </c>
      <c r="P67" t="n">
        <v>0</v>
      </c>
      <c r="Q67" t="n">
        <v>0</v>
      </c>
      <c r="R67" s="2" t="inlineStr"/>
    </row>
    <row r="68" ht="15" customHeight="1">
      <c r="A68" t="inlineStr">
        <is>
          <t>A 52989-2023</t>
        </is>
      </c>
      <c r="B68" s="1" t="n">
        <v>45226</v>
      </c>
      <c r="C68" s="1" t="n">
        <v>46168</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46168</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44988-2025</t>
        </is>
      </c>
      <c r="B70" s="1" t="n">
        <v>45918.65505787037</v>
      </c>
      <c r="C70" s="1" t="n">
        <v>46168</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28431-2025</t>
        </is>
      </c>
      <c r="B71" s="1" t="n">
        <v>45819.38072916667</v>
      </c>
      <c r="C71" s="1" t="n">
        <v>46168</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3078-2023</t>
        </is>
      </c>
      <c r="B72" s="1" t="n">
        <v>44946.41527777778</v>
      </c>
      <c r="C72" s="1" t="n">
        <v>46168</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24707-2023</t>
        </is>
      </c>
      <c r="B73" s="1" t="n">
        <v>45084</v>
      </c>
      <c r="C73" s="1" t="n">
        <v>46168</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60795-2023</t>
        </is>
      </c>
      <c r="B74" s="1" t="n">
        <v>45260</v>
      </c>
      <c r="C74" s="1" t="n">
        <v>46168</v>
      </c>
      <c r="D74" t="inlineStr">
        <is>
          <t>STOCKHOLMS LÄN</t>
        </is>
      </c>
      <c r="E74" t="inlineStr">
        <is>
          <t>VALLENTUNA</t>
        </is>
      </c>
      <c r="G74" t="n">
        <v>2.2</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46168</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46168</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48038-2025</t>
        </is>
      </c>
      <c r="B77" s="1" t="n">
        <v>45932.66008101852</v>
      </c>
      <c r="C77" s="1" t="n">
        <v>46168</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47140-2024</t>
        </is>
      </c>
      <c r="B78" s="1" t="n">
        <v>45586.58753472222</v>
      </c>
      <c r="C78" s="1" t="n">
        <v>46168</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14480-2024</t>
        </is>
      </c>
      <c r="B79" s="1" t="n">
        <v>45394.56777777777</v>
      </c>
      <c r="C79" s="1" t="n">
        <v>46168</v>
      </c>
      <c r="D79" t="inlineStr">
        <is>
          <t>STOCKHOLMS LÄN</t>
        </is>
      </c>
      <c r="E79" t="inlineStr">
        <is>
          <t>VALLENTUNA</t>
        </is>
      </c>
      <c r="G79" t="n">
        <v>1.8</v>
      </c>
      <c r="H79" t="n">
        <v>0</v>
      </c>
      <c r="I79" t="n">
        <v>0</v>
      </c>
      <c r="J79" t="n">
        <v>0</v>
      </c>
      <c r="K79" t="n">
        <v>0</v>
      </c>
      <c r="L79" t="n">
        <v>0</v>
      </c>
      <c r="M79" t="n">
        <v>0</v>
      </c>
      <c r="N79" t="n">
        <v>0</v>
      </c>
      <c r="O79" t="n">
        <v>0</v>
      </c>
      <c r="P79" t="n">
        <v>0</v>
      </c>
      <c r="Q79" t="n">
        <v>0</v>
      </c>
      <c r="R79" s="2" t="inlineStr"/>
    </row>
    <row r="80" ht="15" customHeight="1">
      <c r="A80" t="inlineStr">
        <is>
          <t>A 44346-2021</t>
        </is>
      </c>
      <c r="B80" s="1" t="n">
        <v>44434</v>
      </c>
      <c r="C80" s="1" t="n">
        <v>46168</v>
      </c>
      <c r="D80" t="inlineStr">
        <is>
          <t>STOCKHOLMS LÄN</t>
        </is>
      </c>
      <c r="E80" t="inlineStr">
        <is>
          <t>VALLENTUNA</t>
        </is>
      </c>
      <c r="G80" t="n">
        <v>3</v>
      </c>
      <c r="H80" t="n">
        <v>0</v>
      </c>
      <c r="I80" t="n">
        <v>0</v>
      </c>
      <c r="J80" t="n">
        <v>0</v>
      </c>
      <c r="K80" t="n">
        <v>0</v>
      </c>
      <c r="L80" t="n">
        <v>0</v>
      </c>
      <c r="M80" t="n">
        <v>0</v>
      </c>
      <c r="N80" t="n">
        <v>0</v>
      </c>
      <c r="O80" t="n">
        <v>0</v>
      </c>
      <c r="P80" t="n">
        <v>0</v>
      </c>
      <c r="Q80" t="n">
        <v>0</v>
      </c>
      <c r="R80" s="2" t="inlineStr"/>
    </row>
    <row r="81" ht="15" customHeight="1">
      <c r="A81" t="inlineStr">
        <is>
          <t>A 8565-2025</t>
        </is>
      </c>
      <c r="B81" s="1" t="n">
        <v>45709</v>
      </c>
      <c r="C81" s="1" t="n">
        <v>46168</v>
      </c>
      <c r="D81" t="inlineStr">
        <is>
          <t>STOCKHOLMS LÄN</t>
        </is>
      </c>
      <c r="E81" t="inlineStr">
        <is>
          <t>VALLENTUNA</t>
        </is>
      </c>
      <c r="F81" t="inlineStr">
        <is>
          <t>Kommuner</t>
        </is>
      </c>
      <c r="G81" t="n">
        <v>4.2</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46168</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9063-2024</t>
        </is>
      </c>
      <c r="B83" s="1" t="n">
        <v>45357.72652777778</v>
      </c>
      <c r="C83" s="1" t="n">
        <v>46168</v>
      </c>
      <c r="D83" t="inlineStr">
        <is>
          <t>STOCKHOLMS LÄN</t>
        </is>
      </c>
      <c r="E83" t="inlineStr">
        <is>
          <t>VALLENTUNA</t>
        </is>
      </c>
      <c r="G83" t="n">
        <v>4.1</v>
      </c>
      <c r="H83" t="n">
        <v>0</v>
      </c>
      <c r="I83" t="n">
        <v>0</v>
      </c>
      <c r="J83" t="n">
        <v>0</v>
      </c>
      <c r="K83" t="n">
        <v>0</v>
      </c>
      <c r="L83" t="n">
        <v>0</v>
      </c>
      <c r="M83" t="n">
        <v>0</v>
      </c>
      <c r="N83" t="n">
        <v>0</v>
      </c>
      <c r="O83" t="n">
        <v>0</v>
      </c>
      <c r="P83" t="n">
        <v>0</v>
      </c>
      <c r="Q83" t="n">
        <v>0</v>
      </c>
      <c r="R83" s="2" t="inlineStr"/>
    </row>
    <row r="84" ht="15" customHeight="1">
      <c r="A84" t="inlineStr">
        <is>
          <t>A 414-2026</t>
        </is>
      </c>
      <c r="B84" s="1" t="n">
        <v>46028.76050925926</v>
      </c>
      <c r="C84" s="1" t="n">
        <v>46168</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4803-2024</t>
        </is>
      </c>
      <c r="B85" s="1" t="n">
        <v>45328</v>
      </c>
      <c r="C85" s="1" t="n">
        <v>46168</v>
      </c>
      <c r="D85" t="inlineStr">
        <is>
          <t>STOCKHOLMS LÄN</t>
        </is>
      </c>
      <c r="E85" t="inlineStr">
        <is>
          <t>VALLENTUNA</t>
        </is>
      </c>
      <c r="G85" t="n">
        <v>4.6</v>
      </c>
      <c r="H85" t="n">
        <v>0</v>
      </c>
      <c r="I85" t="n">
        <v>0</v>
      </c>
      <c r="J85" t="n">
        <v>0</v>
      </c>
      <c r="K85" t="n">
        <v>0</v>
      </c>
      <c r="L85" t="n">
        <v>0</v>
      </c>
      <c r="M85" t="n">
        <v>0</v>
      </c>
      <c r="N85" t="n">
        <v>0</v>
      </c>
      <c r="O85" t="n">
        <v>0</v>
      </c>
      <c r="P85" t="n">
        <v>0</v>
      </c>
      <c r="Q85" t="n">
        <v>0</v>
      </c>
      <c r="R85" s="2" t="inlineStr"/>
    </row>
    <row r="86" ht="15" customHeight="1">
      <c r="A86" t="inlineStr">
        <is>
          <t>A 52542-2023</t>
        </is>
      </c>
      <c r="B86" s="1" t="n">
        <v>45225</v>
      </c>
      <c r="C86" s="1" t="n">
        <v>46168</v>
      </c>
      <c r="D86" t="inlineStr">
        <is>
          <t>STOCKHOLMS LÄN</t>
        </is>
      </c>
      <c r="E86" t="inlineStr">
        <is>
          <t>VALLENTUNA</t>
        </is>
      </c>
      <c r="G86" t="n">
        <v>3.8</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46168</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46168</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46168</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54460-2025</t>
        </is>
      </c>
      <c r="B90" s="1" t="n">
        <v>45965.56219907408</v>
      </c>
      <c r="C90" s="1" t="n">
        <v>46168</v>
      </c>
      <c r="D90" t="inlineStr">
        <is>
          <t>STOCKHOLMS LÄN</t>
        </is>
      </c>
      <c r="E90" t="inlineStr">
        <is>
          <t>VALLENTUNA</t>
        </is>
      </c>
      <c r="G90" t="n">
        <v>22.9</v>
      </c>
      <c r="H90" t="n">
        <v>0</v>
      </c>
      <c r="I90" t="n">
        <v>0</v>
      </c>
      <c r="J90" t="n">
        <v>0</v>
      </c>
      <c r="K90" t="n">
        <v>0</v>
      </c>
      <c r="L90" t="n">
        <v>0</v>
      </c>
      <c r="M90" t="n">
        <v>0</v>
      </c>
      <c r="N90" t="n">
        <v>0</v>
      </c>
      <c r="O90" t="n">
        <v>0</v>
      </c>
      <c r="P90" t="n">
        <v>0</v>
      </c>
      <c r="Q90" t="n">
        <v>0</v>
      </c>
      <c r="R90" s="2" t="inlineStr"/>
    </row>
    <row r="91" ht="15" customHeight="1">
      <c r="A91" t="inlineStr">
        <is>
          <t>A 11950-2025</t>
        </is>
      </c>
      <c r="B91" s="1" t="n">
        <v>45728.55622685186</v>
      </c>
      <c r="C91" s="1" t="n">
        <v>46168</v>
      </c>
      <c r="D91" t="inlineStr">
        <is>
          <t>STOCKHOLMS LÄN</t>
        </is>
      </c>
      <c r="E91" t="inlineStr">
        <is>
          <t>VALLENTUNA</t>
        </is>
      </c>
      <c r="G91" t="n">
        <v>1.4</v>
      </c>
      <c r="H91" t="n">
        <v>0</v>
      </c>
      <c r="I91" t="n">
        <v>0</v>
      </c>
      <c r="J91" t="n">
        <v>0</v>
      </c>
      <c r="K91" t="n">
        <v>0</v>
      </c>
      <c r="L91" t="n">
        <v>0</v>
      </c>
      <c r="M91" t="n">
        <v>0</v>
      </c>
      <c r="N91" t="n">
        <v>0</v>
      </c>
      <c r="O91" t="n">
        <v>0</v>
      </c>
      <c r="P91" t="n">
        <v>0</v>
      </c>
      <c r="Q91" t="n">
        <v>0</v>
      </c>
      <c r="R91" s="2" t="inlineStr"/>
    </row>
    <row r="92" ht="15" customHeight="1">
      <c r="A92" t="inlineStr">
        <is>
          <t>A 14489-2024</t>
        </is>
      </c>
      <c r="B92" s="1" t="n">
        <v>45394.58053240741</v>
      </c>
      <c r="C92" s="1" t="n">
        <v>46168</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6298-2026</t>
        </is>
      </c>
      <c r="B93" s="1" t="n">
        <v>46055.5656712963</v>
      </c>
      <c r="C93" s="1" t="n">
        <v>46168</v>
      </c>
      <c r="D93" t="inlineStr">
        <is>
          <t>STOCKHOLMS LÄN</t>
        </is>
      </c>
      <c r="E93" t="inlineStr">
        <is>
          <t>VALLENTUNA</t>
        </is>
      </c>
      <c r="G93" t="n">
        <v>3.3</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46168</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27870-2025</t>
        </is>
      </c>
      <c r="B95" s="1" t="n">
        <v>45817</v>
      </c>
      <c r="C95" s="1" t="n">
        <v>46168</v>
      </c>
      <c r="D95" t="inlineStr">
        <is>
          <t>STOCKHOLMS LÄN</t>
        </is>
      </c>
      <c r="E95" t="inlineStr">
        <is>
          <t>VALLENTUNA</t>
        </is>
      </c>
      <c r="G95" t="n">
        <v>2.3</v>
      </c>
      <c r="H95" t="n">
        <v>0</v>
      </c>
      <c r="I95" t="n">
        <v>0</v>
      </c>
      <c r="J95" t="n">
        <v>0</v>
      </c>
      <c r="K95" t="n">
        <v>0</v>
      </c>
      <c r="L95" t="n">
        <v>0</v>
      </c>
      <c r="M95" t="n">
        <v>0</v>
      </c>
      <c r="N95" t="n">
        <v>0</v>
      </c>
      <c r="O95" t="n">
        <v>0</v>
      </c>
      <c r="P95" t="n">
        <v>0</v>
      </c>
      <c r="Q95" t="n">
        <v>0</v>
      </c>
      <c r="R95" s="2" t="inlineStr"/>
    </row>
    <row r="96" ht="15" customHeight="1">
      <c r="A96" t="inlineStr">
        <is>
          <t>A 4804-2024</t>
        </is>
      </c>
      <c r="B96" s="1" t="n">
        <v>45328</v>
      </c>
      <c r="C96" s="1" t="n">
        <v>46168</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23013-2024</t>
        </is>
      </c>
      <c r="B97" s="1" t="n">
        <v>45450.35116898148</v>
      </c>
      <c r="C97" s="1" t="n">
        <v>46168</v>
      </c>
      <c r="D97" t="inlineStr">
        <is>
          <t>STOCKHOLMS LÄN</t>
        </is>
      </c>
      <c r="E97" t="inlineStr">
        <is>
          <t>VALLENTUNA</t>
        </is>
      </c>
      <c r="G97" t="n">
        <v>0.4</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46168</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61646-2025</t>
        </is>
      </c>
      <c r="B99" s="1" t="n">
        <v>46002</v>
      </c>
      <c r="C99" s="1" t="n">
        <v>46168</v>
      </c>
      <c r="D99" t="inlineStr">
        <is>
          <t>STOCKHOLMS LÄN</t>
        </is>
      </c>
      <c r="E99" t="inlineStr">
        <is>
          <t>VALLENTUNA</t>
        </is>
      </c>
      <c r="G99" t="n">
        <v>3.7</v>
      </c>
      <c r="H99" t="n">
        <v>0</v>
      </c>
      <c r="I99" t="n">
        <v>0</v>
      </c>
      <c r="J99" t="n">
        <v>0</v>
      </c>
      <c r="K99" t="n">
        <v>0</v>
      </c>
      <c r="L99" t="n">
        <v>0</v>
      </c>
      <c r="M99" t="n">
        <v>0</v>
      </c>
      <c r="N99" t="n">
        <v>0</v>
      </c>
      <c r="O99" t="n">
        <v>0</v>
      </c>
      <c r="P99" t="n">
        <v>0</v>
      </c>
      <c r="Q99" t="n">
        <v>0</v>
      </c>
      <c r="R99" s="2" t="inlineStr"/>
    </row>
    <row r="100" ht="15" customHeight="1">
      <c r="A100" t="inlineStr">
        <is>
          <t>A 48068-2021</t>
        </is>
      </c>
      <c r="B100" s="1" t="n">
        <v>44449.42270833333</v>
      </c>
      <c r="C100" s="1" t="n">
        <v>46168</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3937-2022</t>
        </is>
      </c>
      <c r="B101" s="1" t="n">
        <v>44587</v>
      </c>
      <c r="C101" s="1" t="n">
        <v>46168</v>
      </c>
      <c r="D101" t="inlineStr">
        <is>
          <t>STOCKHOLMS LÄN</t>
        </is>
      </c>
      <c r="E101" t="inlineStr">
        <is>
          <t>VALLENTUNA</t>
        </is>
      </c>
      <c r="G101" t="n">
        <v>6.6</v>
      </c>
      <c r="H101" t="n">
        <v>0</v>
      </c>
      <c r="I101" t="n">
        <v>0</v>
      </c>
      <c r="J101" t="n">
        <v>0</v>
      </c>
      <c r="K101" t="n">
        <v>0</v>
      </c>
      <c r="L101" t="n">
        <v>0</v>
      </c>
      <c r="M101" t="n">
        <v>0</v>
      </c>
      <c r="N101" t="n">
        <v>0</v>
      </c>
      <c r="O101" t="n">
        <v>0</v>
      </c>
      <c r="P101" t="n">
        <v>0</v>
      </c>
      <c r="Q101" t="n">
        <v>0</v>
      </c>
      <c r="R101" s="2" t="inlineStr"/>
    </row>
    <row r="102" ht="15" customHeight="1">
      <c r="A102" t="inlineStr">
        <is>
          <t>A 12400-2026</t>
        </is>
      </c>
      <c r="B102" s="1" t="n">
        <v>46090.39423611111</v>
      </c>
      <c r="C102" s="1" t="n">
        <v>46168</v>
      </c>
      <c r="D102" t="inlineStr">
        <is>
          <t>STOCKHOLMS LÄN</t>
        </is>
      </c>
      <c r="E102" t="inlineStr">
        <is>
          <t>VALLENTUNA</t>
        </is>
      </c>
      <c r="G102" t="n">
        <v>1.9</v>
      </c>
      <c r="H102" t="n">
        <v>0</v>
      </c>
      <c r="I102" t="n">
        <v>0</v>
      </c>
      <c r="J102" t="n">
        <v>0</v>
      </c>
      <c r="K102" t="n">
        <v>0</v>
      </c>
      <c r="L102" t="n">
        <v>0</v>
      </c>
      <c r="M102" t="n">
        <v>0</v>
      </c>
      <c r="N102" t="n">
        <v>0</v>
      </c>
      <c r="O102" t="n">
        <v>0</v>
      </c>
      <c r="P102" t="n">
        <v>0</v>
      </c>
      <c r="Q102" t="n">
        <v>0</v>
      </c>
      <c r="R102" s="2" t="inlineStr"/>
    </row>
    <row r="103" ht="15" customHeight="1">
      <c r="A103" t="inlineStr">
        <is>
          <t>A 12819-2026</t>
        </is>
      </c>
      <c r="B103" s="1" t="n">
        <v>46092.40896990741</v>
      </c>
      <c r="C103" s="1" t="n">
        <v>46168</v>
      </c>
      <c r="D103" t="inlineStr">
        <is>
          <t>STOCKHOLMS LÄN</t>
        </is>
      </c>
      <c r="E103" t="inlineStr">
        <is>
          <t>VALLENTUNA</t>
        </is>
      </c>
      <c r="G103" t="n">
        <v>3.5</v>
      </c>
      <c r="H103" t="n">
        <v>0</v>
      </c>
      <c r="I103" t="n">
        <v>0</v>
      </c>
      <c r="J103" t="n">
        <v>0</v>
      </c>
      <c r="K103" t="n">
        <v>0</v>
      </c>
      <c r="L103" t="n">
        <v>0</v>
      </c>
      <c r="M103" t="n">
        <v>0</v>
      </c>
      <c r="N103" t="n">
        <v>0</v>
      </c>
      <c r="O103" t="n">
        <v>0</v>
      </c>
      <c r="P103" t="n">
        <v>0</v>
      </c>
      <c r="Q103" t="n">
        <v>0</v>
      </c>
      <c r="R103" s="2" t="inlineStr"/>
    </row>
    <row r="104" ht="15" customHeight="1">
      <c r="A104" t="inlineStr">
        <is>
          <t>A 12830-2026</t>
        </is>
      </c>
      <c r="B104" s="1" t="n">
        <v>46092.42290509259</v>
      </c>
      <c r="C104" s="1" t="n">
        <v>46168</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61742-2022</t>
        </is>
      </c>
      <c r="B105" s="1" t="n">
        <v>44917</v>
      </c>
      <c r="C105" s="1" t="n">
        <v>46168</v>
      </c>
      <c r="D105" t="inlineStr">
        <is>
          <t>STOCKHOLMS LÄN</t>
        </is>
      </c>
      <c r="E105" t="inlineStr">
        <is>
          <t>VALLENTUNA</t>
        </is>
      </c>
      <c r="G105" t="n">
        <v>0.5</v>
      </c>
      <c r="H105" t="n">
        <v>0</v>
      </c>
      <c r="I105" t="n">
        <v>0</v>
      </c>
      <c r="J105" t="n">
        <v>0</v>
      </c>
      <c r="K105" t="n">
        <v>0</v>
      </c>
      <c r="L105" t="n">
        <v>0</v>
      </c>
      <c r="M105" t="n">
        <v>0</v>
      </c>
      <c r="N105" t="n">
        <v>0</v>
      </c>
      <c r="O105" t="n">
        <v>0</v>
      </c>
      <c r="P105" t="n">
        <v>0</v>
      </c>
      <c r="Q105" t="n">
        <v>0</v>
      </c>
      <c r="R105" s="2" t="inlineStr"/>
    </row>
    <row r="106" ht="15" customHeight="1">
      <c r="A106" t="inlineStr">
        <is>
          <t>A 12822-2026</t>
        </is>
      </c>
      <c r="B106" s="1" t="n">
        <v>46092.41358796296</v>
      </c>
      <c r="C106" s="1" t="n">
        <v>46168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12828-2026</t>
        </is>
      </c>
      <c r="B107" s="1" t="n">
        <v>46092.41760416667</v>
      </c>
      <c r="C107" s="1" t="n">
        <v>46168</v>
      </c>
      <c r="D107" t="inlineStr">
        <is>
          <t>STOCKHOLMS LÄN</t>
        </is>
      </c>
      <c r="E107" t="inlineStr">
        <is>
          <t>VALLENTUNA</t>
        </is>
      </c>
      <c r="G107" t="n">
        <v>1</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46168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60818-2023</t>
        </is>
      </c>
      <c r="B109" s="1" t="n">
        <v>45259</v>
      </c>
      <c r="C109" s="1" t="n">
        <v>46168</v>
      </c>
      <c r="D109" t="inlineStr">
        <is>
          <t>STOCKHOLMS LÄN</t>
        </is>
      </c>
      <c r="E109" t="inlineStr">
        <is>
          <t>VALLENTUNA</t>
        </is>
      </c>
      <c r="G109" t="n">
        <v>9.4</v>
      </c>
      <c r="H109" t="n">
        <v>0</v>
      </c>
      <c r="I109" t="n">
        <v>0</v>
      </c>
      <c r="J109" t="n">
        <v>0</v>
      </c>
      <c r="K109" t="n">
        <v>0</v>
      </c>
      <c r="L109" t="n">
        <v>0</v>
      </c>
      <c r="M109" t="n">
        <v>0</v>
      </c>
      <c r="N109" t="n">
        <v>0</v>
      </c>
      <c r="O109" t="n">
        <v>0</v>
      </c>
      <c r="P109" t="n">
        <v>0</v>
      </c>
      <c r="Q109" t="n">
        <v>0</v>
      </c>
      <c r="R109" s="2" t="inlineStr"/>
    </row>
    <row r="110" ht="15" customHeight="1">
      <c r="A110" t="inlineStr">
        <is>
          <t>A 60997-2022</t>
        </is>
      </c>
      <c r="B110" s="1" t="n">
        <v>44914.70746527778</v>
      </c>
      <c r="C110" s="1" t="n">
        <v>46168</v>
      </c>
      <c r="D110" t="inlineStr">
        <is>
          <t>STOCKHOLMS LÄN</t>
        </is>
      </c>
      <c r="E110" t="inlineStr">
        <is>
          <t>VALLENTUNA</t>
        </is>
      </c>
      <c r="G110" t="n">
        <v>1.8</v>
      </c>
      <c r="H110" t="n">
        <v>0</v>
      </c>
      <c r="I110" t="n">
        <v>0</v>
      </c>
      <c r="J110" t="n">
        <v>0</v>
      </c>
      <c r="K110" t="n">
        <v>0</v>
      </c>
      <c r="L110" t="n">
        <v>0</v>
      </c>
      <c r="M110" t="n">
        <v>0</v>
      </c>
      <c r="N110" t="n">
        <v>0</v>
      </c>
      <c r="O110" t="n">
        <v>0</v>
      </c>
      <c r="P110" t="n">
        <v>0</v>
      </c>
      <c r="Q110" t="n">
        <v>0</v>
      </c>
      <c r="R110" s="2" t="inlineStr"/>
    </row>
    <row r="111" ht="15" customHeight="1">
      <c r="A111" t="inlineStr">
        <is>
          <t>A 20910-2026</t>
        </is>
      </c>
      <c r="B111" s="1" t="n">
        <v>46142.46608796297</v>
      </c>
      <c r="C111" s="1" t="n">
        <v>46168</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12234-2022</t>
        </is>
      </c>
      <c r="B112" s="1" t="n">
        <v>44637</v>
      </c>
      <c r="C112" s="1" t="n">
        <v>46168</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46168</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46168</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14799-2026</t>
        </is>
      </c>
      <c r="B115" s="1" t="n">
        <v>46102.82101851852</v>
      </c>
      <c r="C115" s="1" t="n">
        <v>46168</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46168</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7264-2022</t>
        </is>
      </c>
      <c r="B117" s="1" t="n">
        <v>44606</v>
      </c>
      <c r="C117" s="1" t="n">
        <v>46168</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19356-2025</t>
        </is>
      </c>
      <c r="B118" s="1" t="n">
        <v>45769.62061342593</v>
      </c>
      <c r="C118" s="1" t="n">
        <v>46168</v>
      </c>
      <c r="D118" t="inlineStr">
        <is>
          <t>STOCKHOLMS LÄN</t>
        </is>
      </c>
      <c r="E118" t="inlineStr">
        <is>
          <t>VALLENTUNA</t>
        </is>
      </c>
      <c r="F118" t="inlineStr">
        <is>
          <t>Övriga Aktiebolag</t>
        </is>
      </c>
      <c r="G118" t="n">
        <v>1.6</v>
      </c>
      <c r="H118" t="n">
        <v>0</v>
      </c>
      <c r="I118" t="n">
        <v>0</v>
      </c>
      <c r="J118" t="n">
        <v>0</v>
      </c>
      <c r="K118" t="n">
        <v>0</v>
      </c>
      <c r="L118" t="n">
        <v>0</v>
      </c>
      <c r="M118" t="n">
        <v>0</v>
      </c>
      <c r="N118" t="n">
        <v>0</v>
      </c>
      <c r="O118" t="n">
        <v>0</v>
      </c>
      <c r="P118" t="n">
        <v>0</v>
      </c>
      <c r="Q118" t="n">
        <v>0</v>
      </c>
      <c r="R118" s="2" t="inlineStr"/>
    </row>
    <row r="119" ht="15" customHeight="1">
      <c r="A119" t="inlineStr">
        <is>
          <t>A 12562-2023</t>
        </is>
      </c>
      <c r="B119" s="1" t="n">
        <v>45000</v>
      </c>
      <c r="C119" s="1" t="n">
        <v>46168</v>
      </c>
      <c r="D119" t="inlineStr">
        <is>
          <t>STOCKHOLMS LÄN</t>
        </is>
      </c>
      <c r="E119" t="inlineStr">
        <is>
          <t>VALLENTUNA</t>
        </is>
      </c>
      <c r="G119" t="n">
        <v>2.1</v>
      </c>
      <c r="H119" t="n">
        <v>0</v>
      </c>
      <c r="I119" t="n">
        <v>0</v>
      </c>
      <c r="J119" t="n">
        <v>0</v>
      </c>
      <c r="K119" t="n">
        <v>0</v>
      </c>
      <c r="L119" t="n">
        <v>0</v>
      </c>
      <c r="M119" t="n">
        <v>0</v>
      </c>
      <c r="N119" t="n">
        <v>0</v>
      </c>
      <c r="O119" t="n">
        <v>0</v>
      </c>
      <c r="P119" t="n">
        <v>0</v>
      </c>
      <c r="Q119" t="n">
        <v>0</v>
      </c>
      <c r="R119" s="2" t="inlineStr"/>
    </row>
    <row r="120" ht="15" customHeight="1">
      <c r="A120" t="inlineStr">
        <is>
          <t>A 34441-2023</t>
        </is>
      </c>
      <c r="B120" s="1" t="n">
        <v>45139</v>
      </c>
      <c r="C120" s="1" t="n">
        <v>46168</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34445-2023</t>
        </is>
      </c>
      <c r="B121" s="1" t="n">
        <v>45139</v>
      </c>
      <c r="C121" s="1" t="n">
        <v>46168</v>
      </c>
      <c r="D121" t="inlineStr">
        <is>
          <t>STOCKHOLMS LÄN</t>
        </is>
      </c>
      <c r="E121" t="inlineStr">
        <is>
          <t>VALLENTUNA</t>
        </is>
      </c>
      <c r="G121" t="n">
        <v>0.9</v>
      </c>
      <c r="H121" t="n">
        <v>0</v>
      </c>
      <c r="I121" t="n">
        <v>0</v>
      </c>
      <c r="J121" t="n">
        <v>0</v>
      </c>
      <c r="K121" t="n">
        <v>0</v>
      </c>
      <c r="L121" t="n">
        <v>0</v>
      </c>
      <c r="M121" t="n">
        <v>0</v>
      </c>
      <c r="N121" t="n">
        <v>0</v>
      </c>
      <c r="O121" t="n">
        <v>0</v>
      </c>
      <c r="P121" t="n">
        <v>0</v>
      </c>
      <c r="Q121" t="n">
        <v>0</v>
      </c>
      <c r="R121" s="2" t="inlineStr"/>
    </row>
    <row r="122" ht="15" customHeight="1">
      <c r="A122" t="inlineStr">
        <is>
          <t>A 23986-2023</t>
        </is>
      </c>
      <c r="B122" s="1" t="n">
        <v>45078</v>
      </c>
      <c r="C122" s="1" t="n">
        <v>46168</v>
      </c>
      <c r="D122" t="inlineStr">
        <is>
          <t>STOCKHOLMS LÄN</t>
        </is>
      </c>
      <c r="E122" t="inlineStr">
        <is>
          <t>VALLENTUNA</t>
        </is>
      </c>
      <c r="F122" t="inlineStr">
        <is>
          <t>Kyrkan</t>
        </is>
      </c>
      <c r="G122" t="n">
        <v>5.7</v>
      </c>
      <c r="H122" t="n">
        <v>0</v>
      </c>
      <c r="I122" t="n">
        <v>0</v>
      </c>
      <c r="J122" t="n">
        <v>0</v>
      </c>
      <c r="K122" t="n">
        <v>0</v>
      </c>
      <c r="L122" t="n">
        <v>0</v>
      </c>
      <c r="M122" t="n">
        <v>0</v>
      </c>
      <c r="N122" t="n">
        <v>0</v>
      </c>
      <c r="O122" t="n">
        <v>0</v>
      </c>
      <c r="P122" t="n">
        <v>0</v>
      </c>
      <c r="Q122" t="n">
        <v>0</v>
      </c>
      <c r="R122" s="2" t="inlineStr"/>
    </row>
    <row r="123" ht="15" customHeight="1">
      <c r="A123" t="inlineStr">
        <is>
          <t>A 15300-2023</t>
        </is>
      </c>
      <c r="B123" s="1" t="n">
        <v>45019</v>
      </c>
      <c r="C123" s="1" t="n">
        <v>46168</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17389-2026</t>
        </is>
      </c>
      <c r="B124" s="1" t="n">
        <v>46119.80603009259</v>
      </c>
      <c r="C124" s="1" t="n">
        <v>46168</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17387-2026</t>
        </is>
      </c>
      <c r="B125" s="1" t="n">
        <v>46119.79578703704</v>
      </c>
      <c r="C125" s="1" t="n">
        <v>46168</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17388-2026</t>
        </is>
      </c>
      <c r="B126" s="1" t="n">
        <v>46119.79952546296</v>
      </c>
      <c r="C126" s="1" t="n">
        <v>46168</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46168</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46168</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20914-2026</t>
        </is>
      </c>
      <c r="B129" s="1" t="n">
        <v>46142</v>
      </c>
      <c r="C129" s="1" t="n">
        <v>46168</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46168</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46168</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46168</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46168</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46168</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24068-2024</t>
        </is>
      </c>
      <c r="B135" s="1" t="n">
        <v>45456</v>
      </c>
      <c r="C135" s="1" t="n">
        <v>46168</v>
      </c>
      <c r="D135" t="inlineStr">
        <is>
          <t>STOCKHOLMS LÄN</t>
        </is>
      </c>
      <c r="E135" t="inlineStr">
        <is>
          <t>VALLENTUNA</t>
        </is>
      </c>
      <c r="G135" t="n">
        <v>7.4</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46168</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46168</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46168</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46168</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61442-2024</t>
        </is>
      </c>
      <c r="B140" s="1" t="n">
        <v>45646.47003472222</v>
      </c>
      <c r="C140" s="1" t="n">
        <v>46168</v>
      </c>
      <c r="D140" t="inlineStr">
        <is>
          <t>STOCKHOLMS LÄN</t>
        </is>
      </c>
      <c r="E140" t="inlineStr">
        <is>
          <t>VALLENTUNA</t>
        </is>
      </c>
      <c r="G140" t="n">
        <v>4.6</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46168</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38102-2024</t>
        </is>
      </c>
      <c r="B142" s="1" t="n">
        <v>45545.36349537037</v>
      </c>
      <c r="C142" s="1" t="n">
        <v>46168</v>
      </c>
      <c r="D142" t="inlineStr">
        <is>
          <t>STOCKHOLMS LÄN</t>
        </is>
      </c>
      <c r="E142" t="inlineStr">
        <is>
          <t>VALLENTUNA</t>
        </is>
      </c>
      <c r="G142" t="n">
        <v>3.2</v>
      </c>
      <c r="H142" t="n">
        <v>0</v>
      </c>
      <c r="I142" t="n">
        <v>0</v>
      </c>
      <c r="J142" t="n">
        <v>0</v>
      </c>
      <c r="K142" t="n">
        <v>0</v>
      </c>
      <c r="L142" t="n">
        <v>0</v>
      </c>
      <c r="M142" t="n">
        <v>0</v>
      </c>
      <c r="N142" t="n">
        <v>0</v>
      </c>
      <c r="O142" t="n">
        <v>0</v>
      </c>
      <c r="P142" t="n">
        <v>0</v>
      </c>
      <c r="Q142" t="n">
        <v>0</v>
      </c>
      <c r="R142" s="2" t="inlineStr"/>
    </row>
    <row r="143" ht="15" customHeight="1">
      <c r="A143" t="inlineStr">
        <is>
          <t>A 17340-2025</t>
        </is>
      </c>
      <c r="B143" s="1" t="n">
        <v>45756</v>
      </c>
      <c r="C143" s="1" t="n">
        <v>46168</v>
      </c>
      <c r="D143" t="inlineStr">
        <is>
          <t>STOCKHOLMS LÄN</t>
        </is>
      </c>
      <c r="E143" t="inlineStr">
        <is>
          <t>VALLENTUNA</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20791-2025</t>
        </is>
      </c>
      <c r="B144" s="1" t="n">
        <v>45776.62738425926</v>
      </c>
      <c r="C144" s="1" t="n">
        <v>46168</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row r="145" ht="15" customHeight="1">
      <c r="A145" t="inlineStr">
        <is>
          <t>A 10073-2024</t>
        </is>
      </c>
      <c r="B145" s="1" t="n">
        <v>45364.40821759259</v>
      </c>
      <c r="C145" s="1" t="n">
        <v>46168</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34452-2021</t>
        </is>
      </c>
      <c r="B146" s="1" t="n">
        <v>44381</v>
      </c>
      <c r="C146" s="1" t="n">
        <v>46168</v>
      </c>
      <c r="D146" t="inlineStr">
        <is>
          <t>STOCKHOLMS LÄN</t>
        </is>
      </c>
      <c r="E146" t="inlineStr">
        <is>
          <t>VALLENTUNA</t>
        </is>
      </c>
      <c r="G146" t="n">
        <v>14.7</v>
      </c>
      <c r="H146" t="n">
        <v>0</v>
      </c>
      <c r="I146" t="n">
        <v>0</v>
      </c>
      <c r="J146" t="n">
        <v>0</v>
      </c>
      <c r="K146" t="n">
        <v>0</v>
      </c>
      <c r="L146" t="n">
        <v>0</v>
      </c>
      <c r="M146" t="n">
        <v>0</v>
      </c>
      <c r="N146" t="n">
        <v>0</v>
      </c>
      <c r="O146" t="n">
        <v>0</v>
      </c>
      <c r="P146" t="n">
        <v>0</v>
      </c>
      <c r="Q146" t="n">
        <v>0</v>
      </c>
      <c r="R146" s="2" t="inlineStr"/>
    </row>
    <row r="147" ht="15" customHeight="1">
      <c r="A147" t="inlineStr">
        <is>
          <t>A 12621-2024</t>
        </is>
      </c>
      <c r="B147" s="1" t="n">
        <v>45383.6325</v>
      </c>
      <c r="C147" s="1" t="n">
        <v>46168</v>
      </c>
      <c r="D147" t="inlineStr">
        <is>
          <t>STOCKHOLMS LÄN</t>
        </is>
      </c>
      <c r="E147" t="inlineStr">
        <is>
          <t>VALLENTUNA</t>
        </is>
      </c>
      <c r="G147" t="n">
        <v>4.4</v>
      </c>
      <c r="H147" t="n">
        <v>0</v>
      </c>
      <c r="I147" t="n">
        <v>0</v>
      </c>
      <c r="J147" t="n">
        <v>0</v>
      </c>
      <c r="K147" t="n">
        <v>0</v>
      </c>
      <c r="L147" t="n">
        <v>0</v>
      </c>
      <c r="M147" t="n">
        <v>0</v>
      </c>
      <c r="N147" t="n">
        <v>0</v>
      </c>
      <c r="O147" t="n">
        <v>0</v>
      </c>
      <c r="P147" t="n">
        <v>0</v>
      </c>
      <c r="Q147" t="n">
        <v>0</v>
      </c>
      <c r="R147" s="2" t="inlineStr"/>
    </row>
    <row r="148">
      <c r="A148" t="inlineStr">
        <is>
          <t>A 46381-2023</t>
        </is>
      </c>
      <c r="B148" s="1" t="n">
        <v>45193</v>
      </c>
      <c r="C148" s="1" t="n">
        <v>46168</v>
      </c>
      <c r="D148" t="inlineStr">
        <is>
          <t>STOCKHOLMS LÄN</t>
        </is>
      </c>
      <c r="E148" t="inlineStr">
        <is>
          <t>VALLENTUNA</t>
        </is>
      </c>
      <c r="G148" t="n">
        <v>2.9</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2026-05-26T10:51:24Z</dcterms:created>
  <dcterms:modified xmlns:dcterms="http://purl.org/dc/terms/" xmlns:xsi="http://www.w3.org/2001/XMLSchema-instance" xsi:type="dcterms:W3CDTF">2026-05-26T10:51:24Z</dcterms:modified>
</cp:coreProperties>
</file>