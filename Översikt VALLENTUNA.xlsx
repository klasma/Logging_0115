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46112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46112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46112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46112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46112</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46112</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46112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46112</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46112</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46112</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46112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46112</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46112</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46112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46112</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46112</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12401-2026</t>
        </is>
      </c>
      <c r="B31" s="1" t="n">
        <v>46090</v>
      </c>
      <c r="C31" s="1" t="n">
        <v>46112</v>
      </c>
      <c r="D31" t="inlineStr">
        <is>
          <t>STOCKHOLMS LÄN</t>
        </is>
      </c>
      <c r="E31" t="inlineStr">
        <is>
          <t>VALLENTUNA</t>
        </is>
      </c>
      <c r="G31" t="n">
        <v>5.9</v>
      </c>
      <c r="H31" t="n">
        <v>1</v>
      </c>
      <c r="I31" t="n">
        <v>0</v>
      </c>
      <c r="J31" t="n">
        <v>1</v>
      </c>
      <c r="K31" t="n">
        <v>0</v>
      </c>
      <c r="L31" t="n">
        <v>0</v>
      </c>
      <c r="M31" t="n">
        <v>0</v>
      </c>
      <c r="N31" t="n">
        <v>0</v>
      </c>
      <c r="O31" t="n">
        <v>1</v>
      </c>
      <c r="P31" t="n">
        <v>0</v>
      </c>
      <c r="Q31" t="n">
        <v>1</v>
      </c>
      <c r="R31" s="2" t="inlineStr">
        <is>
          <t>Spillkråka</t>
        </is>
      </c>
      <c r="S31">
        <f>HYPERLINK("https://klasma.github.io/Logging_0115/artfynd/A 12401-2026 artfynd.xlsx", "A 12401-2026")</f>
        <v/>
      </c>
      <c r="T31">
        <f>HYPERLINK("https://klasma.github.io/Logging_0115/kartor/A 12401-2026 karta.png", "A 12401-2026")</f>
        <v/>
      </c>
      <c r="V31">
        <f>HYPERLINK("https://klasma.github.io/Logging_0115/klagomål/A 12401-2026 FSC-klagomål.docx", "A 12401-2026")</f>
        <v/>
      </c>
      <c r="W31">
        <f>HYPERLINK("https://klasma.github.io/Logging_0115/klagomålsmail/A 12401-2026 FSC-klagomål mail.docx", "A 12401-2026")</f>
        <v/>
      </c>
      <c r="X31">
        <f>HYPERLINK("https://klasma.github.io/Logging_0115/tillsyn/A 12401-2026 tillsynsbegäran.docx", "A 12401-2026")</f>
        <v/>
      </c>
      <c r="Y31">
        <f>HYPERLINK("https://klasma.github.io/Logging_0115/tillsynsmail/A 12401-2026 tillsynsbegäran mail.docx", "A 12401-2026")</f>
        <v/>
      </c>
      <c r="Z31">
        <f>HYPERLINK("https://klasma.github.io/Logging_0115/fåglar/A 12401-2026 prioriterade fågelarter.docx", "A 12401-2026")</f>
        <v/>
      </c>
    </row>
    <row r="32" ht="15" customHeight="1">
      <c r="A32" t="inlineStr">
        <is>
          <t>A 54481-2025</t>
        </is>
      </c>
      <c r="B32" s="1" t="n">
        <v>45965.58837962963</v>
      </c>
      <c r="C32" s="1" t="n">
        <v>46112</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34460-2023</t>
        </is>
      </c>
      <c r="B33" s="1" t="n">
        <v>45139</v>
      </c>
      <c r="C33" s="1" t="n">
        <v>46112</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17348-2025</t>
        </is>
      </c>
      <c r="B34" s="1" t="n">
        <v>45756</v>
      </c>
      <c r="C34" s="1" t="n">
        <v>46112</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63539-2025</t>
        </is>
      </c>
      <c r="B35" s="1" t="n">
        <v>46013.58824074074</v>
      </c>
      <c r="C35" s="1" t="n">
        <v>46112</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63543-2025</t>
        </is>
      </c>
      <c r="B36" s="1" t="n">
        <v>46013.59207175926</v>
      </c>
      <c r="C36" s="1" t="n">
        <v>46112</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34458-2023</t>
        </is>
      </c>
      <c r="B37" s="1" t="n">
        <v>45139</v>
      </c>
      <c r="C37" s="1" t="n">
        <v>46112</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21-2022</t>
        </is>
      </c>
      <c r="B38" s="1" t="n">
        <v>44560</v>
      </c>
      <c r="C38" s="1" t="n">
        <v>46112</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46112</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46112</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46112</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46112</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46112</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46112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46112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46112</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46112</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46112</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46112</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46112</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46112</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46112</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46112</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17340-2025</t>
        </is>
      </c>
      <c r="B64" s="1" t="n">
        <v>45756</v>
      </c>
      <c r="C64" s="1" t="n">
        <v>46112</v>
      </c>
      <c r="D64" t="inlineStr">
        <is>
          <t>STOCKHOLMS LÄN</t>
        </is>
      </c>
      <c r="E64" t="inlineStr">
        <is>
          <t>VALLENTUNA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46112</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45496-2023</t>
        </is>
      </c>
      <c r="B66" s="1" t="n">
        <v>45194</v>
      </c>
      <c r="C66" s="1" t="n">
        <v>46112</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29704-2023</t>
        </is>
      </c>
      <c r="B67" s="1" t="n">
        <v>45107</v>
      </c>
      <c r="C67" s="1" t="n">
        <v>46112</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30902-2025</t>
        </is>
      </c>
      <c r="B68" s="1" t="n">
        <v>45832.36104166666</v>
      </c>
      <c r="C68" s="1" t="n">
        <v>46112</v>
      </c>
      <c r="D68" t="inlineStr">
        <is>
          <t>STOCKHOLMS LÄN</t>
        </is>
      </c>
      <c r="E68" t="inlineStr">
        <is>
          <t>VALLENTUNA</t>
        </is>
      </c>
      <c r="G68" t="n">
        <v>8.199999999999999</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46112</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46112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13836-2022</t>
        </is>
      </c>
      <c r="B71" s="1" t="n">
        <v>44649</v>
      </c>
      <c r="C71" s="1" t="n">
        <v>46112</v>
      </c>
      <c r="D71" t="inlineStr">
        <is>
          <t>STOCKHOLMS LÄN</t>
        </is>
      </c>
      <c r="E71" t="inlineStr">
        <is>
          <t>VALLENTUNA</t>
        </is>
      </c>
      <c r="G71" t="n">
        <v>3.5</v>
      </c>
      <c r="H71" t="n">
        <v>0</v>
      </c>
      <c r="I71" t="n">
        <v>0</v>
      </c>
      <c r="J71" t="n">
        <v>0</v>
      </c>
      <c r="K71" t="n">
        <v>0</v>
      </c>
      <c r="L71" t="n">
        <v>0</v>
      </c>
      <c r="M71" t="n">
        <v>0</v>
      </c>
      <c r="N71" t="n">
        <v>0</v>
      </c>
      <c r="O71" t="n">
        <v>0</v>
      </c>
      <c r="P71" t="n">
        <v>0</v>
      </c>
      <c r="Q71" t="n">
        <v>0</v>
      </c>
      <c r="R71" s="2" t="inlineStr"/>
    </row>
    <row r="72" ht="15" customHeight="1">
      <c r="A72" t="inlineStr">
        <is>
          <t>A 28431-2025</t>
        </is>
      </c>
      <c r="B72" s="1" t="n">
        <v>45819.38072916667</v>
      </c>
      <c r="C72" s="1" t="n">
        <v>46112</v>
      </c>
      <c r="D72" t="inlineStr">
        <is>
          <t>STOCKHOLMS LÄN</t>
        </is>
      </c>
      <c r="E72" t="inlineStr">
        <is>
          <t>VALLENTUNA</t>
        </is>
      </c>
      <c r="G72" t="n">
        <v>1.5</v>
      </c>
      <c r="H72" t="n">
        <v>0</v>
      </c>
      <c r="I72" t="n">
        <v>0</v>
      </c>
      <c r="J72" t="n">
        <v>0</v>
      </c>
      <c r="K72" t="n">
        <v>0</v>
      </c>
      <c r="L72" t="n">
        <v>0</v>
      </c>
      <c r="M72" t="n">
        <v>0</v>
      </c>
      <c r="N72" t="n">
        <v>0</v>
      </c>
      <c r="O72" t="n">
        <v>0</v>
      </c>
      <c r="P72" t="n">
        <v>0</v>
      </c>
      <c r="Q72" t="n">
        <v>0</v>
      </c>
      <c r="R72" s="2" t="inlineStr"/>
    </row>
    <row r="73" ht="15" customHeight="1">
      <c r="A73" t="inlineStr">
        <is>
          <t>A 4804-2024</t>
        </is>
      </c>
      <c r="B73" s="1" t="n">
        <v>45328</v>
      </c>
      <c r="C73" s="1" t="n">
        <v>46112</v>
      </c>
      <c r="D73" t="inlineStr">
        <is>
          <t>STOCKHOLMS LÄN</t>
        </is>
      </c>
      <c r="E73" t="inlineStr">
        <is>
          <t>VALLENTUNA</t>
        </is>
      </c>
      <c r="G73" t="n">
        <v>3</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46112</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24707-2023</t>
        </is>
      </c>
      <c r="B75" s="1" t="n">
        <v>45084</v>
      </c>
      <c r="C75" s="1" t="n">
        <v>46112</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44346-2021</t>
        </is>
      </c>
      <c r="B76" s="1" t="n">
        <v>44434</v>
      </c>
      <c r="C76" s="1" t="n">
        <v>46112</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46112</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48038-2025</t>
        </is>
      </c>
      <c r="B78" s="1" t="n">
        <v>45932.66008101852</v>
      </c>
      <c r="C78" s="1" t="n">
        <v>46112</v>
      </c>
      <c r="D78" t="inlineStr">
        <is>
          <t>STOCKHOLMS LÄN</t>
        </is>
      </c>
      <c r="E78" t="inlineStr">
        <is>
          <t>VALLENTUNA</t>
        </is>
      </c>
      <c r="G78" t="n">
        <v>0.5</v>
      </c>
      <c r="H78" t="n">
        <v>0</v>
      </c>
      <c r="I78" t="n">
        <v>0</v>
      </c>
      <c r="J78" t="n">
        <v>0</v>
      </c>
      <c r="K78" t="n">
        <v>0</v>
      </c>
      <c r="L78" t="n">
        <v>0</v>
      </c>
      <c r="M78" t="n">
        <v>0</v>
      </c>
      <c r="N78" t="n">
        <v>0</v>
      </c>
      <c r="O78" t="n">
        <v>0</v>
      </c>
      <c r="P78" t="n">
        <v>0</v>
      </c>
      <c r="Q78" t="n">
        <v>0</v>
      </c>
      <c r="R78" s="2" t="inlineStr"/>
    </row>
    <row r="79" ht="15" customHeight="1">
      <c r="A79" t="inlineStr">
        <is>
          <t>A 5910-2022</t>
        </is>
      </c>
      <c r="B79" s="1" t="n">
        <v>44597</v>
      </c>
      <c r="C79" s="1" t="n">
        <v>46112</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12396-2026</t>
        </is>
      </c>
      <c r="B80" s="1" t="n">
        <v>46090.38930555555</v>
      </c>
      <c r="C80" s="1" t="n">
        <v>46112</v>
      </c>
      <c r="D80" t="inlineStr">
        <is>
          <t>STOCKHOLMS LÄN</t>
        </is>
      </c>
      <c r="E80" t="inlineStr">
        <is>
          <t>VALLENTUNA</t>
        </is>
      </c>
      <c r="G80" t="n">
        <v>3</v>
      </c>
      <c r="H80" t="n">
        <v>0</v>
      </c>
      <c r="I80" t="n">
        <v>0</v>
      </c>
      <c r="J80" t="n">
        <v>0</v>
      </c>
      <c r="K80" t="n">
        <v>0</v>
      </c>
      <c r="L80" t="n">
        <v>0</v>
      </c>
      <c r="M80" t="n">
        <v>0</v>
      </c>
      <c r="N80" t="n">
        <v>0</v>
      </c>
      <c r="O80" t="n">
        <v>0</v>
      </c>
      <c r="P80" t="n">
        <v>0</v>
      </c>
      <c r="Q80" t="n">
        <v>0</v>
      </c>
      <c r="R80" s="2" t="inlineStr"/>
    </row>
    <row r="81" ht="15" customHeight="1">
      <c r="A81" t="inlineStr">
        <is>
          <t>A 12400-2026</t>
        </is>
      </c>
      <c r="B81" s="1" t="n">
        <v>46090.39423611111</v>
      </c>
      <c r="C81" s="1" t="n">
        <v>46112</v>
      </c>
      <c r="D81" t="inlineStr">
        <is>
          <t>STOCKHOLMS LÄN</t>
        </is>
      </c>
      <c r="E81" t="inlineStr">
        <is>
          <t>VALLENTUNA</t>
        </is>
      </c>
      <c r="G81" t="n">
        <v>1.9</v>
      </c>
      <c r="H81" t="n">
        <v>0</v>
      </c>
      <c r="I81" t="n">
        <v>0</v>
      </c>
      <c r="J81" t="n">
        <v>0</v>
      </c>
      <c r="K81" t="n">
        <v>0</v>
      </c>
      <c r="L81" t="n">
        <v>0</v>
      </c>
      <c r="M81" t="n">
        <v>0</v>
      </c>
      <c r="N81" t="n">
        <v>0</v>
      </c>
      <c r="O81" t="n">
        <v>0</v>
      </c>
      <c r="P81" t="n">
        <v>0</v>
      </c>
      <c r="Q81" t="n">
        <v>0</v>
      </c>
      <c r="R81" s="2" t="inlineStr"/>
    </row>
    <row r="82" ht="15" customHeight="1">
      <c r="A82" t="inlineStr">
        <is>
          <t>A 24994-2021</t>
        </is>
      </c>
      <c r="B82" s="1" t="n">
        <v>44341</v>
      </c>
      <c r="C82" s="1" t="n">
        <v>46112</v>
      </c>
      <c r="D82" t="inlineStr">
        <is>
          <t>STOCKHOLMS LÄN</t>
        </is>
      </c>
      <c r="E82" t="inlineStr">
        <is>
          <t>VALLENTUNA</t>
        </is>
      </c>
      <c r="G82" t="n">
        <v>2.6</v>
      </c>
      <c r="H82" t="n">
        <v>0</v>
      </c>
      <c r="I82" t="n">
        <v>0</v>
      </c>
      <c r="J82" t="n">
        <v>0</v>
      </c>
      <c r="K82" t="n">
        <v>0</v>
      </c>
      <c r="L82" t="n">
        <v>0</v>
      </c>
      <c r="M82" t="n">
        <v>0</v>
      </c>
      <c r="N82" t="n">
        <v>0</v>
      </c>
      <c r="O82" t="n">
        <v>0</v>
      </c>
      <c r="P82" t="n">
        <v>0</v>
      </c>
      <c r="Q82" t="n">
        <v>0</v>
      </c>
      <c r="R82" s="2" t="inlineStr"/>
    </row>
    <row r="83" ht="15" customHeight="1">
      <c r="A83" t="inlineStr">
        <is>
          <t>A 60795-2023</t>
        </is>
      </c>
      <c r="B83" s="1" t="n">
        <v>45260</v>
      </c>
      <c r="C83" s="1" t="n">
        <v>46112</v>
      </c>
      <c r="D83" t="inlineStr">
        <is>
          <t>STOCKHOLMS LÄN</t>
        </is>
      </c>
      <c r="E83" t="inlineStr">
        <is>
          <t>VALLENTUNA</t>
        </is>
      </c>
      <c r="G83" t="n">
        <v>2.2</v>
      </c>
      <c r="H83" t="n">
        <v>0</v>
      </c>
      <c r="I83" t="n">
        <v>0</v>
      </c>
      <c r="J83" t="n">
        <v>0</v>
      </c>
      <c r="K83" t="n">
        <v>0</v>
      </c>
      <c r="L83" t="n">
        <v>0</v>
      </c>
      <c r="M83" t="n">
        <v>0</v>
      </c>
      <c r="N83" t="n">
        <v>0</v>
      </c>
      <c r="O83" t="n">
        <v>0</v>
      </c>
      <c r="P83" t="n">
        <v>0</v>
      </c>
      <c r="Q83" t="n">
        <v>0</v>
      </c>
      <c r="R83" s="2" t="inlineStr"/>
    </row>
    <row r="84" ht="15" customHeight="1">
      <c r="A84" t="inlineStr">
        <is>
          <t>A 60997-2022</t>
        </is>
      </c>
      <c r="B84" s="1" t="n">
        <v>44914.70746527778</v>
      </c>
      <c r="C84" s="1" t="n">
        <v>46112</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46112</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46112</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8565-2025</t>
        </is>
      </c>
      <c r="B87" s="1" t="n">
        <v>45709</v>
      </c>
      <c r="C87" s="1" t="n">
        <v>46112</v>
      </c>
      <c r="D87" t="inlineStr">
        <is>
          <t>STOCKHOLMS LÄN</t>
        </is>
      </c>
      <c r="E87" t="inlineStr">
        <is>
          <t>VALLENTUNA</t>
        </is>
      </c>
      <c r="F87" t="inlineStr">
        <is>
          <t>Kommuner</t>
        </is>
      </c>
      <c r="G87" t="n">
        <v>4.2</v>
      </c>
      <c r="H87" t="n">
        <v>0</v>
      </c>
      <c r="I87" t="n">
        <v>0</v>
      </c>
      <c r="J87" t="n">
        <v>0</v>
      </c>
      <c r="K87" t="n">
        <v>0</v>
      </c>
      <c r="L87" t="n">
        <v>0</v>
      </c>
      <c r="M87" t="n">
        <v>0</v>
      </c>
      <c r="N87" t="n">
        <v>0</v>
      </c>
      <c r="O87" t="n">
        <v>0</v>
      </c>
      <c r="P87" t="n">
        <v>0</v>
      </c>
      <c r="Q87" t="n">
        <v>0</v>
      </c>
      <c r="R87" s="2" t="inlineStr"/>
    </row>
    <row r="88" ht="15" customHeight="1">
      <c r="A88" t="inlineStr">
        <is>
          <t>A 12830-2026</t>
        </is>
      </c>
      <c r="B88" s="1" t="n">
        <v>46092.42290509259</v>
      </c>
      <c r="C88" s="1" t="n">
        <v>46112</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12819-2026</t>
        </is>
      </c>
      <c r="B89" s="1" t="n">
        <v>46092.40896990741</v>
      </c>
      <c r="C89" s="1" t="n">
        <v>46112</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8787-2024</t>
        </is>
      </c>
      <c r="B90" s="1" t="n">
        <v>45356</v>
      </c>
      <c r="C90" s="1" t="n">
        <v>46112</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12822-2026</t>
        </is>
      </c>
      <c r="B91" s="1" t="n">
        <v>46092.41358796296</v>
      </c>
      <c r="C91" s="1" t="n">
        <v>46112</v>
      </c>
      <c r="D91" t="inlineStr">
        <is>
          <t>STOCKHOLMS LÄN</t>
        </is>
      </c>
      <c r="E91" t="inlineStr">
        <is>
          <t>VALLENTUNA</t>
        </is>
      </c>
      <c r="G91" t="n">
        <v>2.7</v>
      </c>
      <c r="H91" t="n">
        <v>0</v>
      </c>
      <c r="I91" t="n">
        <v>0</v>
      </c>
      <c r="J91" t="n">
        <v>0</v>
      </c>
      <c r="K91" t="n">
        <v>0</v>
      </c>
      <c r="L91" t="n">
        <v>0</v>
      </c>
      <c r="M91" t="n">
        <v>0</v>
      </c>
      <c r="N91" t="n">
        <v>0</v>
      </c>
      <c r="O91" t="n">
        <v>0</v>
      </c>
      <c r="P91" t="n">
        <v>0</v>
      </c>
      <c r="Q91" t="n">
        <v>0</v>
      </c>
      <c r="R91" s="2" t="inlineStr"/>
    </row>
    <row r="92" ht="15" customHeight="1">
      <c r="A92" t="inlineStr">
        <is>
          <t>A 12828-2026</t>
        </is>
      </c>
      <c r="B92" s="1" t="n">
        <v>46092.41760416667</v>
      </c>
      <c r="C92" s="1" t="n">
        <v>46112</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46112</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46112</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27868-2025</t>
        </is>
      </c>
      <c r="B95" s="1" t="n">
        <v>45817</v>
      </c>
      <c r="C95" s="1" t="n">
        <v>46112</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46112</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46112</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46112</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54460-2025</t>
        </is>
      </c>
      <c r="B99" s="1" t="n">
        <v>45965.56219907408</v>
      </c>
      <c r="C99" s="1" t="n">
        <v>46112</v>
      </c>
      <c r="D99" t="inlineStr">
        <is>
          <t>STOCKHOLMS LÄN</t>
        </is>
      </c>
      <c r="E99" t="inlineStr">
        <is>
          <t>VALLENTUNA</t>
        </is>
      </c>
      <c r="G99" t="n">
        <v>22.9</v>
      </c>
      <c r="H99" t="n">
        <v>0</v>
      </c>
      <c r="I99" t="n">
        <v>0</v>
      </c>
      <c r="J99" t="n">
        <v>0</v>
      </c>
      <c r="K99" t="n">
        <v>0</v>
      </c>
      <c r="L99" t="n">
        <v>0</v>
      </c>
      <c r="M99" t="n">
        <v>0</v>
      </c>
      <c r="N99" t="n">
        <v>0</v>
      </c>
      <c r="O99" t="n">
        <v>0</v>
      </c>
      <c r="P99" t="n">
        <v>0</v>
      </c>
      <c r="Q99" t="n">
        <v>0</v>
      </c>
      <c r="R99" s="2" t="inlineStr"/>
    </row>
    <row r="100" ht="15" customHeight="1">
      <c r="A100" t="inlineStr">
        <is>
          <t>A 6298-2026</t>
        </is>
      </c>
      <c r="B100" s="1" t="n">
        <v>46055.5656712963</v>
      </c>
      <c r="C100" s="1" t="n">
        <v>46112</v>
      </c>
      <c r="D100" t="inlineStr">
        <is>
          <t>STOCKHOLMS LÄN</t>
        </is>
      </c>
      <c r="E100" t="inlineStr">
        <is>
          <t>VALLENTUNA</t>
        </is>
      </c>
      <c r="G100" t="n">
        <v>3.3</v>
      </c>
      <c r="H100" t="n">
        <v>0</v>
      </c>
      <c r="I100" t="n">
        <v>0</v>
      </c>
      <c r="J100" t="n">
        <v>0</v>
      </c>
      <c r="K100" t="n">
        <v>0</v>
      </c>
      <c r="L100" t="n">
        <v>0</v>
      </c>
      <c r="M100" t="n">
        <v>0</v>
      </c>
      <c r="N100" t="n">
        <v>0</v>
      </c>
      <c r="O100" t="n">
        <v>0</v>
      </c>
      <c r="P100" t="n">
        <v>0</v>
      </c>
      <c r="Q100" t="n">
        <v>0</v>
      </c>
      <c r="R100" s="2" t="inlineStr"/>
    </row>
    <row r="101" ht="15" customHeight="1">
      <c r="A101" t="inlineStr">
        <is>
          <t>A 54466-2025</t>
        </is>
      </c>
      <c r="B101" s="1" t="n">
        <v>45965.56984953704</v>
      </c>
      <c r="C101" s="1" t="n">
        <v>46112</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46112</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46112</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34441-2023</t>
        </is>
      </c>
      <c r="B104" s="1" t="n">
        <v>45139</v>
      </c>
      <c r="C104" s="1" t="n">
        <v>46112</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34445-2023</t>
        </is>
      </c>
      <c r="B105" s="1" t="n">
        <v>45139</v>
      </c>
      <c r="C105" s="1" t="n">
        <v>46112</v>
      </c>
      <c r="D105" t="inlineStr">
        <is>
          <t>STOCKHOLMS LÄN</t>
        </is>
      </c>
      <c r="E105" t="inlineStr">
        <is>
          <t>VALLENTUNA</t>
        </is>
      </c>
      <c r="G105" t="n">
        <v>0.9</v>
      </c>
      <c r="H105" t="n">
        <v>0</v>
      </c>
      <c r="I105" t="n">
        <v>0</v>
      </c>
      <c r="J105" t="n">
        <v>0</v>
      </c>
      <c r="K105" t="n">
        <v>0</v>
      </c>
      <c r="L105" t="n">
        <v>0</v>
      </c>
      <c r="M105" t="n">
        <v>0</v>
      </c>
      <c r="N105" t="n">
        <v>0</v>
      </c>
      <c r="O105" t="n">
        <v>0</v>
      </c>
      <c r="P105" t="n">
        <v>0</v>
      </c>
      <c r="Q105" t="n">
        <v>0</v>
      </c>
      <c r="R105" s="2" t="inlineStr"/>
    </row>
    <row r="106" ht="15" customHeight="1">
      <c r="A106" t="inlineStr">
        <is>
          <t>A 735-2024</t>
        </is>
      </c>
      <c r="B106" s="1" t="n">
        <v>45300</v>
      </c>
      <c r="C106" s="1" t="n">
        <v>46112</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12585-2023</t>
        </is>
      </c>
      <c r="B107" s="1" t="n">
        <v>45000.41373842592</v>
      </c>
      <c r="C107" s="1" t="n">
        <v>46112</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8077-2022</t>
        </is>
      </c>
      <c r="B108" s="1" t="n">
        <v>44609</v>
      </c>
      <c r="C108" s="1" t="n">
        <v>46112</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27870-2025</t>
        </is>
      </c>
      <c r="B109" s="1" t="n">
        <v>45817</v>
      </c>
      <c r="C109" s="1" t="n">
        <v>46112</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47140-2024</t>
        </is>
      </c>
      <c r="B110" s="1" t="n">
        <v>45586.58753472222</v>
      </c>
      <c r="C110" s="1" t="n">
        <v>46112</v>
      </c>
      <c r="D110" t="inlineStr">
        <is>
          <t>STOCKHOLMS LÄN</t>
        </is>
      </c>
      <c r="E110" t="inlineStr">
        <is>
          <t>VALLENTUNA</t>
        </is>
      </c>
      <c r="G110" t="n">
        <v>1</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46112</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61646-2025</t>
        </is>
      </c>
      <c r="B112" s="1" t="n">
        <v>46002</v>
      </c>
      <c r="C112" s="1" t="n">
        <v>46112</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21765-2023</t>
        </is>
      </c>
      <c r="B113" s="1" t="n">
        <v>45064</v>
      </c>
      <c r="C113" s="1" t="n">
        <v>46112</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46112</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414-2026</t>
        </is>
      </c>
      <c r="B115" s="1" t="n">
        <v>46028.76050925926</v>
      </c>
      <c r="C115" s="1" t="n">
        <v>46112</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46112</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24068-2024</t>
        </is>
      </c>
      <c r="B117" s="1" t="n">
        <v>45456</v>
      </c>
      <c r="C117" s="1" t="n">
        <v>46112</v>
      </c>
      <c r="D117" t="inlineStr">
        <is>
          <t>STOCKHOLMS LÄN</t>
        </is>
      </c>
      <c r="E117" t="inlineStr">
        <is>
          <t>VALLENTUNA</t>
        </is>
      </c>
      <c r="G117" t="n">
        <v>7.4</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46112</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46112</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46112</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19503-2023</t>
        </is>
      </c>
      <c r="B121" s="1" t="n">
        <v>45050.47333333334</v>
      </c>
      <c r="C121" s="1" t="n">
        <v>46112</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46112</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3698-2022</t>
        </is>
      </c>
      <c r="B123" s="1" t="n">
        <v>44586</v>
      </c>
      <c r="C123" s="1" t="n">
        <v>46112</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38102-2024</t>
        </is>
      </c>
      <c r="B124" s="1" t="n">
        <v>45545.36349537037</v>
      </c>
      <c r="C124" s="1" t="n">
        <v>46112</v>
      </c>
      <c r="D124" t="inlineStr">
        <is>
          <t>STOCKHOLMS LÄN</t>
        </is>
      </c>
      <c r="E124" t="inlineStr">
        <is>
          <t>VALLENTUNA</t>
        </is>
      </c>
      <c r="G124" t="n">
        <v>3.2</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46112</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24943-2024</t>
        </is>
      </c>
      <c r="B126" s="1" t="n">
        <v>45461.62585648148</v>
      </c>
      <c r="C126" s="1" t="n">
        <v>46112</v>
      </c>
      <c r="D126" t="inlineStr">
        <is>
          <t>STOCKHOLMS LÄN</t>
        </is>
      </c>
      <c r="E126" t="inlineStr">
        <is>
          <t>VALLENTUNA</t>
        </is>
      </c>
      <c r="G126" t="n">
        <v>2</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46112</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46112</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46112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46112</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7264-2022</t>
        </is>
      </c>
      <c r="B131" s="1" t="n">
        <v>44606</v>
      </c>
      <c r="C131" s="1" t="n">
        <v>46112</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19356-2025</t>
        </is>
      </c>
      <c r="B132" s="1" t="n">
        <v>45769.62061342593</v>
      </c>
      <c r="C132" s="1" t="n">
        <v>46112</v>
      </c>
      <c r="D132" t="inlineStr">
        <is>
          <t>STOCKHOLMS LÄN</t>
        </is>
      </c>
      <c r="E132" t="inlineStr">
        <is>
          <t>VALLENTUNA</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46112</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46112</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46112</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61442-2024</t>
        </is>
      </c>
      <c r="B136" s="1" t="n">
        <v>45646.47003472222</v>
      </c>
      <c r="C136" s="1" t="n">
        <v>46112</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48068-2021</t>
        </is>
      </c>
      <c r="B137" s="1" t="n">
        <v>44449.42270833333</v>
      </c>
      <c r="C137" s="1" t="n">
        <v>46112</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46112</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46112</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46112</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46112</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46112</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ht="15" customHeight="1">
      <c r="A143" t="inlineStr">
        <is>
          <t>A 46381-2023</t>
        </is>
      </c>
      <c r="B143" s="1" t="n">
        <v>45193</v>
      </c>
      <c r="C143" s="1" t="n">
        <v>46112</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23009-2024</t>
        </is>
      </c>
      <c r="B144" s="1" t="n">
        <v>45450.34506944445</v>
      </c>
      <c r="C144" s="1" t="n">
        <v>46112</v>
      </c>
      <c r="D144" t="inlineStr">
        <is>
          <t>STOCKHOLMS LÄN</t>
        </is>
      </c>
      <c r="E144" t="inlineStr">
        <is>
          <t>VALLENTUNA</t>
        </is>
      </c>
      <c r="G144" t="n">
        <v>1.4</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46112</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23923-2025</t>
        </is>
      </c>
      <c r="B146" s="1" t="n">
        <v>45795.39648148148</v>
      </c>
      <c r="C146" s="1" t="n">
        <v>46112</v>
      </c>
      <c r="D146" t="inlineStr">
        <is>
          <t>STOCKHOLMS LÄN</t>
        </is>
      </c>
      <c r="E146" t="inlineStr">
        <is>
          <t>VALLENTUNA</t>
        </is>
      </c>
      <c r="G146" t="n">
        <v>2.3</v>
      </c>
      <c r="H146" t="n">
        <v>0</v>
      </c>
      <c r="I146" t="n">
        <v>0</v>
      </c>
      <c r="J146" t="n">
        <v>0</v>
      </c>
      <c r="K146" t="n">
        <v>0</v>
      </c>
      <c r="L146" t="n">
        <v>0</v>
      </c>
      <c r="M146" t="n">
        <v>0</v>
      </c>
      <c r="N146" t="n">
        <v>0</v>
      </c>
      <c r="O146" t="n">
        <v>0</v>
      </c>
      <c r="P146" t="n">
        <v>0</v>
      </c>
      <c r="Q146" t="n">
        <v>0</v>
      </c>
      <c r="R146" s="2" t="inlineStr"/>
    </row>
    <row r="147">
      <c r="A147" t="inlineStr">
        <is>
          <t>A 25984-2025</t>
        </is>
      </c>
      <c r="B147" s="1" t="n">
        <v>45804.64016203704</v>
      </c>
      <c r="C147" s="1" t="n">
        <v>46112</v>
      </c>
      <c r="D147" t="inlineStr">
        <is>
          <t>STOCKHOLMS LÄN</t>
        </is>
      </c>
      <c r="E147" t="inlineStr">
        <is>
          <t>VALLENTUNA</t>
        </is>
      </c>
      <c r="G147" t="n">
        <v>2.5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2026-03-31T10:50:54Z</dcterms:created>
  <dcterms:modified xmlns:dcterms="http://purl.org/dc/terms/" xmlns:xsi="http://www.w3.org/2001/XMLSchema-instance" xsi:type="dcterms:W3CDTF">2026-03-31T10:50:54Z</dcterms:modified>
</cp:coreProperties>
</file>