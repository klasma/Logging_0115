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45892</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45892</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45892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45892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45892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45892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45892</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45892</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45892</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45892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18446-2025</t>
        </is>
      </c>
      <c r="B12" s="1" t="n">
        <v>45762</v>
      </c>
      <c r="C12" s="1" t="n">
        <v>45892</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8500-2022</t>
        </is>
      </c>
      <c r="B13" s="1" t="n">
        <v>44613</v>
      </c>
      <c r="C13" s="1" t="n">
        <v>45892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45892</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45892</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45892</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45892</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45892</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9745-2022</t>
        </is>
      </c>
      <c r="B19" s="1" t="n">
        <v>44618</v>
      </c>
      <c r="C19" s="1" t="n">
        <v>45892</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45892</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41021-2023</t>
        </is>
      </c>
      <c r="B21" s="1" t="n">
        <v>45173</v>
      </c>
      <c r="C21" s="1" t="n">
        <v>45892</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8817-2025</t>
        </is>
      </c>
      <c r="B22" s="1" t="n">
        <v>45712.70987268518</v>
      </c>
      <c r="C22" s="1" t="n">
        <v>45892</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45892</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45892</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45892</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45892</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21-2022</t>
        </is>
      </c>
      <c r="B27" s="1" t="n">
        <v>44560</v>
      </c>
      <c r="C27" s="1" t="n">
        <v>45892</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27870-2025</t>
        </is>
      </c>
      <c r="B28" s="1" t="n">
        <v>45817</v>
      </c>
      <c r="C28" s="1" t="n">
        <v>45892</v>
      </c>
      <c r="D28" t="inlineStr">
        <is>
          <t>STOCKHOLMS LÄN</t>
        </is>
      </c>
      <c r="E28" t="inlineStr">
        <is>
          <t>VALLENTUNA</t>
        </is>
      </c>
      <c r="G28" t="n">
        <v>5</v>
      </c>
      <c r="H28" t="n">
        <v>0</v>
      </c>
      <c r="I28" t="n">
        <v>0</v>
      </c>
      <c r="J28" t="n">
        <v>1</v>
      </c>
      <c r="K28" t="n">
        <v>0</v>
      </c>
      <c r="L28" t="n">
        <v>0</v>
      </c>
      <c r="M28" t="n">
        <v>0</v>
      </c>
      <c r="N28" t="n">
        <v>0</v>
      </c>
      <c r="O28" t="n">
        <v>1</v>
      </c>
      <c r="P28" t="n">
        <v>0</v>
      </c>
      <c r="Q28" t="n">
        <v>1</v>
      </c>
      <c r="R28" s="2" t="inlineStr">
        <is>
          <t>Bronspraktbagge</t>
        </is>
      </c>
      <c r="S28">
        <f>HYPERLINK("https://klasma.github.io/Logging_0115/artfynd/A 27870-2025 artfynd.xlsx", "A 27870-2025")</f>
        <v/>
      </c>
      <c r="T28">
        <f>HYPERLINK("https://klasma.github.io/Logging_0115/kartor/A 27870-2025 karta.png", "A 27870-2025")</f>
        <v/>
      </c>
      <c r="V28">
        <f>HYPERLINK("https://klasma.github.io/Logging_0115/klagomål/A 27870-2025 FSC-klagomål.docx", "A 27870-2025")</f>
        <v/>
      </c>
      <c r="W28">
        <f>HYPERLINK("https://klasma.github.io/Logging_0115/klagomålsmail/A 27870-2025 FSC-klagomål mail.docx", "A 27870-2025")</f>
        <v/>
      </c>
      <c r="X28">
        <f>HYPERLINK("https://klasma.github.io/Logging_0115/tillsyn/A 27870-2025 tillsynsbegäran.docx", "A 27870-2025")</f>
        <v/>
      </c>
      <c r="Y28">
        <f>HYPERLINK("https://klasma.github.io/Logging_0115/tillsynsmail/A 27870-2025 tillsynsbegäran mail.docx", "A 27870-2025")</f>
        <v/>
      </c>
    </row>
    <row r="29" ht="15" customHeight="1">
      <c r="A29" t="inlineStr">
        <is>
          <t>A 7890-2023</t>
        </is>
      </c>
      <c r="B29" s="1" t="n">
        <v>44973</v>
      </c>
      <c r="C29" s="1" t="n">
        <v>45892</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45892</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8946-2025</t>
        </is>
      </c>
      <c r="B31" s="1" t="n">
        <v>45712</v>
      </c>
      <c r="C31" s="1" t="n">
        <v>45892</v>
      </c>
      <c r="D31" t="inlineStr">
        <is>
          <t>STOCKHOLMS LÄN</t>
        </is>
      </c>
      <c r="E31" t="inlineStr">
        <is>
          <t>VALLENTUNA</t>
        </is>
      </c>
      <c r="G31" t="n">
        <v>4.4</v>
      </c>
      <c r="H31" t="n">
        <v>0</v>
      </c>
      <c r="I31" t="n">
        <v>0</v>
      </c>
      <c r="J31" t="n">
        <v>1</v>
      </c>
      <c r="K31" t="n">
        <v>0</v>
      </c>
      <c r="L31" t="n">
        <v>0</v>
      </c>
      <c r="M31" t="n">
        <v>0</v>
      </c>
      <c r="N31" t="n">
        <v>0</v>
      </c>
      <c r="O31" t="n">
        <v>1</v>
      </c>
      <c r="P31" t="n">
        <v>0</v>
      </c>
      <c r="Q31" t="n">
        <v>1</v>
      </c>
      <c r="R31" s="2" t="inlineStr">
        <is>
          <t>Granticka</t>
        </is>
      </c>
      <c r="S31">
        <f>HYPERLINK("https://klasma.github.io/Logging_0115/artfynd/A 8946-2025 artfynd.xlsx", "A 8946-2025")</f>
        <v/>
      </c>
      <c r="T31">
        <f>HYPERLINK("https://klasma.github.io/Logging_0115/kartor/A 8946-2025 karta.png", "A 8946-2025")</f>
        <v/>
      </c>
      <c r="V31">
        <f>HYPERLINK("https://klasma.github.io/Logging_0115/klagomål/A 8946-2025 FSC-klagomål.docx", "A 8946-2025")</f>
        <v/>
      </c>
      <c r="W31">
        <f>HYPERLINK("https://klasma.github.io/Logging_0115/klagomålsmail/A 8946-2025 FSC-klagomål mail.docx", "A 8946-2025")</f>
        <v/>
      </c>
      <c r="X31">
        <f>HYPERLINK("https://klasma.github.io/Logging_0115/tillsyn/A 8946-2025 tillsynsbegäran.docx", "A 8946-2025")</f>
        <v/>
      </c>
      <c r="Y31">
        <f>HYPERLINK("https://klasma.github.io/Logging_0115/tillsynsmail/A 8946-2025 tillsynsbegäran mail.docx", "A 8946-2025")</f>
        <v/>
      </c>
    </row>
    <row r="32" ht="15" customHeight="1">
      <c r="A32" t="inlineStr">
        <is>
          <t>A 17341-2025</t>
        </is>
      </c>
      <c r="B32" s="1" t="n">
        <v>45756</v>
      </c>
      <c r="C32" s="1" t="n">
        <v>45892</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20612-2021</t>
        </is>
      </c>
      <c r="B33" s="1" t="n">
        <v>44315</v>
      </c>
      <c r="C33" s="1" t="n">
        <v>45892</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45892</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45892</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45892</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45892</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45892</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45892</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45892</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45892</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45892</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45892</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45892</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45892</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48078-2021</t>
        </is>
      </c>
      <c r="B46" s="1" t="n">
        <v>44449.42578703703</v>
      </c>
      <c r="C46" s="1" t="n">
        <v>45892</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45892</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45892</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45892</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45892</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45892</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45892</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45892</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14775-2024</t>
        </is>
      </c>
      <c r="B54" s="1" t="n">
        <v>45397.73675925926</v>
      </c>
      <c r="C54" s="1" t="n">
        <v>45892</v>
      </c>
      <c r="D54" t="inlineStr">
        <is>
          <t>STOCKHOLMS LÄN</t>
        </is>
      </c>
      <c r="E54" t="inlineStr">
        <is>
          <t>VALLENTUNA</t>
        </is>
      </c>
      <c r="G54" t="n">
        <v>1.7</v>
      </c>
      <c r="H54" t="n">
        <v>0</v>
      </c>
      <c r="I54" t="n">
        <v>0</v>
      </c>
      <c r="J54" t="n">
        <v>0</v>
      </c>
      <c r="K54" t="n">
        <v>0</v>
      </c>
      <c r="L54" t="n">
        <v>0</v>
      </c>
      <c r="M54" t="n">
        <v>0</v>
      </c>
      <c r="N54" t="n">
        <v>0</v>
      </c>
      <c r="O54" t="n">
        <v>0</v>
      </c>
      <c r="P54" t="n">
        <v>0</v>
      </c>
      <c r="Q54" t="n">
        <v>0</v>
      </c>
      <c r="R54" s="2" t="inlineStr"/>
    </row>
    <row r="55" ht="15" customHeight="1">
      <c r="A55" t="inlineStr">
        <is>
          <t>A 1385-2024</t>
        </is>
      </c>
      <c r="B55" s="1" t="n">
        <v>45303</v>
      </c>
      <c r="C55" s="1" t="n">
        <v>45892</v>
      </c>
      <c r="D55" t="inlineStr">
        <is>
          <t>STOCKHOLMS LÄN</t>
        </is>
      </c>
      <c r="E55" t="inlineStr">
        <is>
          <t>VALLENTUNA</t>
        </is>
      </c>
      <c r="G55" t="n">
        <v>2.6</v>
      </c>
      <c r="H55" t="n">
        <v>0</v>
      </c>
      <c r="I55" t="n">
        <v>0</v>
      </c>
      <c r="J55" t="n">
        <v>0</v>
      </c>
      <c r="K55" t="n">
        <v>0</v>
      </c>
      <c r="L55" t="n">
        <v>0</v>
      </c>
      <c r="M55" t="n">
        <v>0</v>
      </c>
      <c r="N55" t="n">
        <v>0</v>
      </c>
      <c r="O55" t="n">
        <v>0</v>
      </c>
      <c r="P55" t="n">
        <v>0</v>
      </c>
      <c r="Q55" t="n">
        <v>0</v>
      </c>
      <c r="R55" s="2" t="inlineStr"/>
    </row>
    <row r="56" ht="15" customHeight="1">
      <c r="A56" t="inlineStr">
        <is>
          <t>A 8565-2025</t>
        </is>
      </c>
      <c r="B56" s="1" t="n">
        <v>45709</v>
      </c>
      <c r="C56" s="1" t="n">
        <v>45892</v>
      </c>
      <c r="D56" t="inlineStr">
        <is>
          <t>STOCKHOLMS LÄN</t>
        </is>
      </c>
      <c r="E56" t="inlineStr">
        <is>
          <t>VALLENTUNA</t>
        </is>
      </c>
      <c r="F56" t="inlineStr">
        <is>
          <t>Kommuner</t>
        </is>
      </c>
      <c r="G56" t="n">
        <v>4.2</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45892</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8787-2024</t>
        </is>
      </c>
      <c r="B58" s="1" t="n">
        <v>45356</v>
      </c>
      <c r="C58" s="1" t="n">
        <v>45892</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60818-2023</t>
        </is>
      </c>
      <c r="B59" s="1" t="n">
        <v>45259</v>
      </c>
      <c r="C59" s="1" t="n">
        <v>45892</v>
      </c>
      <c r="D59" t="inlineStr">
        <is>
          <t>STOCKHOLMS LÄN</t>
        </is>
      </c>
      <c r="E59" t="inlineStr">
        <is>
          <t>VALLENTUNA</t>
        </is>
      </c>
      <c r="G59" t="n">
        <v>9.4</v>
      </c>
      <c r="H59" t="n">
        <v>0</v>
      </c>
      <c r="I59" t="n">
        <v>0</v>
      </c>
      <c r="J59" t="n">
        <v>0</v>
      </c>
      <c r="K59" t="n">
        <v>0</v>
      </c>
      <c r="L59" t="n">
        <v>0</v>
      </c>
      <c r="M59" t="n">
        <v>0</v>
      </c>
      <c r="N59" t="n">
        <v>0</v>
      </c>
      <c r="O59" t="n">
        <v>0</v>
      </c>
      <c r="P59" t="n">
        <v>0</v>
      </c>
      <c r="Q59" t="n">
        <v>0</v>
      </c>
      <c r="R59" s="2" t="inlineStr"/>
    </row>
    <row r="60" ht="15" customHeight="1">
      <c r="A60" t="inlineStr">
        <is>
          <t>A 14782-2024</t>
        </is>
      </c>
      <c r="B60" s="1" t="n">
        <v>45397.74266203704</v>
      </c>
      <c r="C60" s="1" t="n">
        <v>45892</v>
      </c>
      <c r="D60" t="inlineStr">
        <is>
          <t>STOCKHOLMS LÄN</t>
        </is>
      </c>
      <c r="E60" t="inlineStr">
        <is>
          <t>VALLENTUNA</t>
        </is>
      </c>
      <c r="G60" t="n">
        <v>3.1</v>
      </c>
      <c r="H60" t="n">
        <v>0</v>
      </c>
      <c r="I60" t="n">
        <v>0</v>
      </c>
      <c r="J60" t="n">
        <v>0</v>
      </c>
      <c r="K60" t="n">
        <v>0</v>
      </c>
      <c r="L60" t="n">
        <v>0</v>
      </c>
      <c r="M60" t="n">
        <v>0</v>
      </c>
      <c r="N60" t="n">
        <v>0</v>
      </c>
      <c r="O60" t="n">
        <v>0</v>
      </c>
      <c r="P60" t="n">
        <v>0</v>
      </c>
      <c r="Q60" t="n">
        <v>0</v>
      </c>
      <c r="R60" s="2" t="inlineStr"/>
    </row>
    <row r="61" ht="15" customHeight="1">
      <c r="A61" t="inlineStr">
        <is>
          <t>A 52562-2023</t>
        </is>
      </c>
      <c r="B61" s="1" t="n">
        <v>45225</v>
      </c>
      <c r="C61" s="1" t="n">
        <v>45892</v>
      </c>
      <c r="D61" t="inlineStr">
        <is>
          <t>STOCKHOLMS LÄN</t>
        </is>
      </c>
      <c r="E61" t="inlineStr">
        <is>
          <t>VALLENTUNA</t>
        </is>
      </c>
      <c r="G61" t="n">
        <v>3.4</v>
      </c>
      <c r="H61" t="n">
        <v>0</v>
      </c>
      <c r="I61" t="n">
        <v>0</v>
      </c>
      <c r="J61" t="n">
        <v>0</v>
      </c>
      <c r="K61" t="n">
        <v>0</v>
      </c>
      <c r="L61" t="n">
        <v>0</v>
      </c>
      <c r="M61" t="n">
        <v>0</v>
      </c>
      <c r="N61" t="n">
        <v>0</v>
      </c>
      <c r="O61" t="n">
        <v>0</v>
      </c>
      <c r="P61" t="n">
        <v>0</v>
      </c>
      <c r="Q61" t="n">
        <v>0</v>
      </c>
      <c r="R61" s="2" t="inlineStr"/>
    </row>
    <row r="62" ht="15" customHeight="1">
      <c r="A62" t="inlineStr">
        <is>
          <t>A 68938-2020</t>
        </is>
      </c>
      <c r="B62" s="1" t="n">
        <v>44187</v>
      </c>
      <c r="C62" s="1" t="n">
        <v>45892</v>
      </c>
      <c r="D62" t="inlineStr">
        <is>
          <t>STOCKHOLMS LÄN</t>
        </is>
      </c>
      <c r="E62" t="inlineStr">
        <is>
          <t>VALLENTUNA</t>
        </is>
      </c>
      <c r="G62" t="n">
        <v>3</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45892</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52542-2023</t>
        </is>
      </c>
      <c r="B64" s="1" t="n">
        <v>45225</v>
      </c>
      <c r="C64" s="1" t="n">
        <v>45892</v>
      </c>
      <c r="D64" t="inlineStr">
        <is>
          <t>STOCKHOLMS LÄN</t>
        </is>
      </c>
      <c r="E64" t="inlineStr">
        <is>
          <t>VALLENTUNA</t>
        </is>
      </c>
      <c r="G64" t="n">
        <v>3.8</v>
      </c>
      <c r="H64" t="n">
        <v>0</v>
      </c>
      <c r="I64" t="n">
        <v>0</v>
      </c>
      <c r="J64" t="n">
        <v>0</v>
      </c>
      <c r="K64" t="n">
        <v>0</v>
      </c>
      <c r="L64" t="n">
        <v>0</v>
      </c>
      <c r="M64" t="n">
        <v>0</v>
      </c>
      <c r="N64" t="n">
        <v>0</v>
      </c>
      <c r="O64" t="n">
        <v>0</v>
      </c>
      <c r="P64" t="n">
        <v>0</v>
      </c>
      <c r="Q64" t="n">
        <v>0</v>
      </c>
      <c r="R64" s="2" t="inlineStr"/>
    </row>
    <row r="65" ht="15" customHeight="1">
      <c r="A65" t="inlineStr">
        <is>
          <t>A 2318-2024</t>
        </is>
      </c>
      <c r="B65" s="1" t="n">
        <v>45310</v>
      </c>
      <c r="C65" s="1" t="n">
        <v>45892</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9063-2024</t>
        </is>
      </c>
      <c r="B66" s="1" t="n">
        <v>45357.72652777778</v>
      </c>
      <c r="C66" s="1" t="n">
        <v>45892</v>
      </c>
      <c r="D66" t="inlineStr">
        <is>
          <t>STOCKHOLMS LÄN</t>
        </is>
      </c>
      <c r="E66" t="inlineStr">
        <is>
          <t>VALLENTUNA</t>
        </is>
      </c>
      <c r="G66" t="n">
        <v>4.1</v>
      </c>
      <c r="H66" t="n">
        <v>0</v>
      </c>
      <c r="I66" t="n">
        <v>0</v>
      </c>
      <c r="J66" t="n">
        <v>0</v>
      </c>
      <c r="K66" t="n">
        <v>0</v>
      </c>
      <c r="L66" t="n">
        <v>0</v>
      </c>
      <c r="M66" t="n">
        <v>0</v>
      </c>
      <c r="N66" t="n">
        <v>0</v>
      </c>
      <c r="O66" t="n">
        <v>0</v>
      </c>
      <c r="P66" t="n">
        <v>0</v>
      </c>
      <c r="Q66" t="n">
        <v>0</v>
      </c>
      <c r="R66" s="2" t="inlineStr"/>
    </row>
    <row r="67" ht="15" customHeight="1">
      <c r="A67" t="inlineStr">
        <is>
          <t>A 21445-2023</t>
        </is>
      </c>
      <c r="B67" s="1" t="n">
        <v>45063</v>
      </c>
      <c r="C67" s="1" t="n">
        <v>45892</v>
      </c>
      <c r="D67" t="inlineStr">
        <is>
          <t>STOCKHOLMS LÄN</t>
        </is>
      </c>
      <c r="E67" t="inlineStr">
        <is>
          <t>VALLENTUNA</t>
        </is>
      </c>
      <c r="G67" t="n">
        <v>3.1</v>
      </c>
      <c r="H67" t="n">
        <v>0</v>
      </c>
      <c r="I67" t="n">
        <v>0</v>
      </c>
      <c r="J67" t="n">
        <v>0</v>
      </c>
      <c r="K67" t="n">
        <v>0</v>
      </c>
      <c r="L67" t="n">
        <v>0</v>
      </c>
      <c r="M67" t="n">
        <v>0</v>
      </c>
      <c r="N67" t="n">
        <v>0</v>
      </c>
      <c r="O67" t="n">
        <v>0</v>
      </c>
      <c r="P67" t="n">
        <v>0</v>
      </c>
      <c r="Q67" t="n">
        <v>0</v>
      </c>
      <c r="R67" s="2" t="inlineStr"/>
    </row>
    <row r="68" ht="15" customHeight="1">
      <c r="A68" t="inlineStr">
        <is>
          <t>A 7264-2022</t>
        </is>
      </c>
      <c r="B68" s="1" t="n">
        <v>44606</v>
      </c>
      <c r="C68" s="1" t="n">
        <v>45892</v>
      </c>
      <c r="D68" t="inlineStr">
        <is>
          <t>STOCKHOLMS LÄN</t>
        </is>
      </c>
      <c r="E68" t="inlineStr">
        <is>
          <t>VALLENTUNA</t>
        </is>
      </c>
      <c r="G68" t="n">
        <v>2.4</v>
      </c>
      <c r="H68" t="n">
        <v>0</v>
      </c>
      <c r="I68" t="n">
        <v>0</v>
      </c>
      <c r="J68" t="n">
        <v>0</v>
      </c>
      <c r="K68" t="n">
        <v>0</v>
      </c>
      <c r="L68" t="n">
        <v>0</v>
      </c>
      <c r="M68" t="n">
        <v>0</v>
      </c>
      <c r="N68" t="n">
        <v>0</v>
      </c>
      <c r="O68" t="n">
        <v>0</v>
      </c>
      <c r="P68" t="n">
        <v>0</v>
      </c>
      <c r="Q68" t="n">
        <v>0</v>
      </c>
      <c r="R68" s="2" t="inlineStr"/>
    </row>
    <row r="69" ht="15" customHeight="1">
      <c r="A69" t="inlineStr">
        <is>
          <t>A 14485-2024</t>
        </is>
      </c>
      <c r="B69" s="1" t="n">
        <v>45394.57304398148</v>
      </c>
      <c r="C69" s="1" t="n">
        <v>45892</v>
      </c>
      <c r="D69" t="inlineStr">
        <is>
          <t>STOCKHOLMS LÄN</t>
        </is>
      </c>
      <c r="E69" t="inlineStr">
        <is>
          <t>VALLENTUNA</t>
        </is>
      </c>
      <c r="G69" t="n">
        <v>5.1</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45892</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34441-2023</t>
        </is>
      </c>
      <c r="B71" s="1" t="n">
        <v>45139</v>
      </c>
      <c r="C71" s="1" t="n">
        <v>45892</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34445-2023</t>
        </is>
      </c>
      <c r="B72" s="1" t="n">
        <v>45139</v>
      </c>
      <c r="C72" s="1" t="n">
        <v>45892</v>
      </c>
      <c r="D72" t="inlineStr">
        <is>
          <t>STOCKHOLMS LÄN</t>
        </is>
      </c>
      <c r="E72" t="inlineStr">
        <is>
          <t>VALLENTUNA</t>
        </is>
      </c>
      <c r="G72" t="n">
        <v>0.9</v>
      </c>
      <c r="H72" t="n">
        <v>0</v>
      </c>
      <c r="I72" t="n">
        <v>0</v>
      </c>
      <c r="J72" t="n">
        <v>0</v>
      </c>
      <c r="K72" t="n">
        <v>0</v>
      </c>
      <c r="L72" t="n">
        <v>0</v>
      </c>
      <c r="M72" t="n">
        <v>0</v>
      </c>
      <c r="N72" t="n">
        <v>0</v>
      </c>
      <c r="O72" t="n">
        <v>0</v>
      </c>
      <c r="P72" t="n">
        <v>0</v>
      </c>
      <c r="Q72" t="n">
        <v>0</v>
      </c>
      <c r="R72" s="2" t="inlineStr"/>
    </row>
    <row r="73" ht="15" customHeight="1">
      <c r="A73" t="inlineStr">
        <is>
          <t>A 34460-2023</t>
        </is>
      </c>
      <c r="B73" s="1" t="n">
        <v>45139</v>
      </c>
      <c r="C73" s="1" t="n">
        <v>45892</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26390-2023</t>
        </is>
      </c>
      <c r="B74" s="1" t="n">
        <v>45086</v>
      </c>
      <c r="C74" s="1" t="n">
        <v>45892</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19356-2025</t>
        </is>
      </c>
      <c r="B75" s="1" t="n">
        <v>45769.62061342593</v>
      </c>
      <c r="C75" s="1" t="n">
        <v>45892</v>
      </c>
      <c r="D75" t="inlineStr">
        <is>
          <t>STOCKHOLMS LÄN</t>
        </is>
      </c>
      <c r="E75" t="inlineStr">
        <is>
          <t>VALLENTUNA</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735-2024</t>
        </is>
      </c>
      <c r="B76" s="1" t="n">
        <v>45300</v>
      </c>
      <c r="C76" s="1" t="n">
        <v>45892</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11950-2025</t>
        </is>
      </c>
      <c r="B77" s="1" t="n">
        <v>45728.55622685186</v>
      </c>
      <c r="C77" s="1" t="n">
        <v>45892</v>
      </c>
      <c r="D77" t="inlineStr">
        <is>
          <t>STOCKHOLMS LÄN</t>
        </is>
      </c>
      <c r="E77" t="inlineStr">
        <is>
          <t>VALLENTUNA</t>
        </is>
      </c>
      <c r="G77" t="n">
        <v>1.4</v>
      </c>
      <c r="H77" t="n">
        <v>0</v>
      </c>
      <c r="I77" t="n">
        <v>0</v>
      </c>
      <c r="J77" t="n">
        <v>0</v>
      </c>
      <c r="K77" t="n">
        <v>0</v>
      </c>
      <c r="L77" t="n">
        <v>0</v>
      </c>
      <c r="M77" t="n">
        <v>0</v>
      </c>
      <c r="N77" t="n">
        <v>0</v>
      </c>
      <c r="O77" t="n">
        <v>0</v>
      </c>
      <c r="P77" t="n">
        <v>0</v>
      </c>
      <c r="Q77" t="n">
        <v>0</v>
      </c>
      <c r="R77" s="2" t="inlineStr"/>
    </row>
    <row r="78" ht="15" customHeight="1">
      <c r="A78" t="inlineStr">
        <is>
          <t>A 12585-2023</t>
        </is>
      </c>
      <c r="B78" s="1" t="n">
        <v>45000.41373842592</v>
      </c>
      <c r="C78" s="1" t="n">
        <v>45892</v>
      </c>
      <c r="D78" t="inlineStr">
        <is>
          <t>STOCKHOLMS LÄN</t>
        </is>
      </c>
      <c r="E78" t="inlineStr">
        <is>
          <t>VALLENTUNA</t>
        </is>
      </c>
      <c r="G78" t="n">
        <v>3.7</v>
      </c>
      <c r="H78" t="n">
        <v>0</v>
      </c>
      <c r="I78" t="n">
        <v>0</v>
      </c>
      <c r="J78" t="n">
        <v>0</v>
      </c>
      <c r="K78" t="n">
        <v>0</v>
      </c>
      <c r="L78" t="n">
        <v>0</v>
      </c>
      <c r="M78" t="n">
        <v>0</v>
      </c>
      <c r="N78" t="n">
        <v>0</v>
      </c>
      <c r="O78" t="n">
        <v>0</v>
      </c>
      <c r="P78" t="n">
        <v>0</v>
      </c>
      <c r="Q78" t="n">
        <v>0</v>
      </c>
      <c r="R78" s="2" t="inlineStr"/>
    </row>
    <row r="79" ht="15" customHeight="1">
      <c r="A79" t="inlineStr">
        <is>
          <t>A 14489-2024</t>
        </is>
      </c>
      <c r="B79" s="1" t="n">
        <v>45394.58053240741</v>
      </c>
      <c r="C79" s="1" t="n">
        <v>45892</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15268-2023</t>
        </is>
      </c>
      <c r="B80" s="1" t="n">
        <v>45019.41045138889</v>
      </c>
      <c r="C80" s="1" t="n">
        <v>45892</v>
      </c>
      <c r="D80" t="inlineStr">
        <is>
          <t>STOCKHOLMS LÄN</t>
        </is>
      </c>
      <c r="E80" t="inlineStr">
        <is>
          <t>VALLENTUNA</t>
        </is>
      </c>
      <c r="G80" t="n">
        <v>2.2</v>
      </c>
      <c r="H80" t="n">
        <v>0</v>
      </c>
      <c r="I80" t="n">
        <v>0</v>
      </c>
      <c r="J80" t="n">
        <v>0</v>
      </c>
      <c r="K80" t="n">
        <v>0</v>
      </c>
      <c r="L80" t="n">
        <v>0</v>
      </c>
      <c r="M80" t="n">
        <v>0</v>
      </c>
      <c r="N80" t="n">
        <v>0</v>
      </c>
      <c r="O80" t="n">
        <v>0</v>
      </c>
      <c r="P80" t="n">
        <v>0</v>
      </c>
      <c r="Q80" t="n">
        <v>0</v>
      </c>
      <c r="R80" s="2" t="inlineStr"/>
    </row>
    <row r="81" ht="15" customHeight="1">
      <c r="A81" t="inlineStr">
        <is>
          <t>A 61442-2024</t>
        </is>
      </c>
      <c r="B81" s="1" t="n">
        <v>45646.47003472222</v>
      </c>
      <c r="C81" s="1" t="n">
        <v>45892</v>
      </c>
      <c r="D81" t="inlineStr">
        <is>
          <t>STOCKHOLMS LÄN</t>
        </is>
      </c>
      <c r="E81" t="inlineStr">
        <is>
          <t>VALLENTUNA</t>
        </is>
      </c>
      <c r="G81" t="n">
        <v>4.6</v>
      </c>
      <c r="H81" t="n">
        <v>0</v>
      </c>
      <c r="I81" t="n">
        <v>0</v>
      </c>
      <c r="J81" t="n">
        <v>0</v>
      </c>
      <c r="K81" t="n">
        <v>0</v>
      </c>
      <c r="L81" t="n">
        <v>0</v>
      </c>
      <c r="M81" t="n">
        <v>0</v>
      </c>
      <c r="N81" t="n">
        <v>0</v>
      </c>
      <c r="O81" t="n">
        <v>0</v>
      </c>
      <c r="P81" t="n">
        <v>0</v>
      </c>
      <c r="Q81" t="n">
        <v>0</v>
      </c>
      <c r="R81" s="2" t="inlineStr"/>
    </row>
    <row r="82" ht="15" customHeight="1">
      <c r="A82" t="inlineStr">
        <is>
          <t>A 48068-2021</t>
        </is>
      </c>
      <c r="B82" s="1" t="n">
        <v>44449.42270833333</v>
      </c>
      <c r="C82" s="1" t="n">
        <v>45892</v>
      </c>
      <c r="D82" t="inlineStr">
        <is>
          <t>STOCKHOLMS LÄN</t>
        </is>
      </c>
      <c r="E82" t="inlineStr">
        <is>
          <t>VALLENTUNA</t>
        </is>
      </c>
      <c r="G82" t="n">
        <v>1.3</v>
      </c>
      <c r="H82" t="n">
        <v>0</v>
      </c>
      <c r="I82" t="n">
        <v>0</v>
      </c>
      <c r="J82" t="n">
        <v>0</v>
      </c>
      <c r="K82" t="n">
        <v>0</v>
      </c>
      <c r="L82" t="n">
        <v>0</v>
      </c>
      <c r="M82" t="n">
        <v>0</v>
      </c>
      <c r="N82" t="n">
        <v>0</v>
      </c>
      <c r="O82" t="n">
        <v>0</v>
      </c>
      <c r="P82" t="n">
        <v>0</v>
      </c>
      <c r="Q82" t="n">
        <v>0</v>
      </c>
      <c r="R82" s="2" t="inlineStr"/>
    </row>
    <row r="83" ht="15" customHeight="1">
      <c r="A83" t="inlineStr">
        <is>
          <t>A 45499-2023</t>
        </is>
      </c>
      <c r="B83" s="1" t="n">
        <v>45194</v>
      </c>
      <c r="C83" s="1" t="n">
        <v>45892</v>
      </c>
      <c r="D83" t="inlineStr">
        <is>
          <t>STOCKHOLMS LÄN</t>
        </is>
      </c>
      <c r="E83" t="inlineStr">
        <is>
          <t>VALLENTUNA</t>
        </is>
      </c>
      <c r="G83" t="n">
        <v>2.5</v>
      </c>
      <c r="H83" t="n">
        <v>0</v>
      </c>
      <c r="I83" t="n">
        <v>0</v>
      </c>
      <c r="J83" t="n">
        <v>0</v>
      </c>
      <c r="K83" t="n">
        <v>0</v>
      </c>
      <c r="L83" t="n">
        <v>0</v>
      </c>
      <c r="M83" t="n">
        <v>0</v>
      </c>
      <c r="N83" t="n">
        <v>0</v>
      </c>
      <c r="O83" t="n">
        <v>0</v>
      </c>
      <c r="P83" t="n">
        <v>0</v>
      </c>
      <c r="Q83" t="n">
        <v>0</v>
      </c>
      <c r="R83" s="2" t="inlineStr"/>
    </row>
    <row r="84" ht="15" customHeight="1">
      <c r="A84" t="inlineStr">
        <is>
          <t>A 47204-2024</t>
        </is>
      </c>
      <c r="B84" s="1" t="n">
        <v>45586.63575231482</v>
      </c>
      <c r="C84" s="1" t="n">
        <v>45892</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20786-2025</t>
        </is>
      </c>
      <c r="B85" s="1" t="n">
        <v>45776.62273148148</v>
      </c>
      <c r="C85" s="1" t="n">
        <v>45892</v>
      </c>
      <c r="D85" t="inlineStr">
        <is>
          <t>STOCKHOLMS LÄN</t>
        </is>
      </c>
      <c r="E85" t="inlineStr">
        <is>
          <t>VALLENTUNA</t>
        </is>
      </c>
      <c r="G85" t="n">
        <v>7.6</v>
      </c>
      <c r="H85" t="n">
        <v>0</v>
      </c>
      <c r="I85" t="n">
        <v>0</v>
      </c>
      <c r="J85" t="n">
        <v>0</v>
      </c>
      <c r="K85" t="n">
        <v>0</v>
      </c>
      <c r="L85" t="n">
        <v>0</v>
      </c>
      <c r="M85" t="n">
        <v>0</v>
      </c>
      <c r="N85" t="n">
        <v>0</v>
      </c>
      <c r="O85" t="n">
        <v>0</v>
      </c>
      <c r="P85" t="n">
        <v>0</v>
      </c>
      <c r="Q85" t="n">
        <v>0</v>
      </c>
      <c r="R85" s="2" t="inlineStr"/>
    </row>
    <row r="86" ht="15" customHeight="1">
      <c r="A86" t="inlineStr">
        <is>
          <t>A 8077-2022</t>
        </is>
      </c>
      <c r="B86" s="1" t="n">
        <v>44609</v>
      </c>
      <c r="C86" s="1" t="n">
        <v>45892</v>
      </c>
      <c r="D86" t="inlineStr">
        <is>
          <t>STOCKHOLMS LÄN</t>
        </is>
      </c>
      <c r="E86" t="inlineStr">
        <is>
          <t>VALLENTUNA</t>
        </is>
      </c>
      <c r="G86" t="n">
        <v>1.3</v>
      </c>
      <c r="H86" t="n">
        <v>0</v>
      </c>
      <c r="I86" t="n">
        <v>0</v>
      </c>
      <c r="J86" t="n">
        <v>0</v>
      </c>
      <c r="K86" t="n">
        <v>0</v>
      </c>
      <c r="L86" t="n">
        <v>0</v>
      </c>
      <c r="M86" t="n">
        <v>0</v>
      </c>
      <c r="N86" t="n">
        <v>0</v>
      </c>
      <c r="O86" t="n">
        <v>0</v>
      </c>
      <c r="P86" t="n">
        <v>0</v>
      </c>
      <c r="Q86" t="n">
        <v>0</v>
      </c>
      <c r="R86" s="2" t="inlineStr"/>
    </row>
    <row r="87" ht="15" customHeight="1">
      <c r="A87" t="inlineStr">
        <is>
          <t>A 34452-2021</t>
        </is>
      </c>
      <c r="B87" s="1" t="n">
        <v>44381</v>
      </c>
      <c r="C87" s="1" t="n">
        <v>45892</v>
      </c>
      <c r="D87" t="inlineStr">
        <is>
          <t>STOCKHOLMS LÄN</t>
        </is>
      </c>
      <c r="E87" t="inlineStr">
        <is>
          <t>VALLENTUNA</t>
        </is>
      </c>
      <c r="G87" t="n">
        <v>14.7</v>
      </c>
      <c r="H87" t="n">
        <v>0</v>
      </c>
      <c r="I87" t="n">
        <v>0</v>
      </c>
      <c r="J87" t="n">
        <v>0</v>
      </c>
      <c r="K87" t="n">
        <v>0</v>
      </c>
      <c r="L87" t="n">
        <v>0</v>
      </c>
      <c r="M87" t="n">
        <v>0</v>
      </c>
      <c r="N87" t="n">
        <v>0</v>
      </c>
      <c r="O87" t="n">
        <v>0</v>
      </c>
      <c r="P87" t="n">
        <v>0</v>
      </c>
      <c r="Q87" t="n">
        <v>0</v>
      </c>
      <c r="R87" s="2" t="inlineStr"/>
    </row>
    <row r="88" ht="15" customHeight="1">
      <c r="A88" t="inlineStr">
        <is>
          <t>A 20791-2025</t>
        </is>
      </c>
      <c r="B88" s="1" t="n">
        <v>45776.62738425926</v>
      </c>
      <c r="C88" s="1" t="n">
        <v>45892</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10073-2024</t>
        </is>
      </c>
      <c r="B89" s="1" t="n">
        <v>45364.40821759259</v>
      </c>
      <c r="C89" s="1" t="n">
        <v>45892</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12621-2024</t>
        </is>
      </c>
      <c r="B90" s="1" t="n">
        <v>45383.6325</v>
      </c>
      <c r="C90" s="1" t="n">
        <v>45892</v>
      </c>
      <c r="D90" t="inlineStr">
        <is>
          <t>STOCKHOLMS LÄN</t>
        </is>
      </c>
      <c r="E90" t="inlineStr">
        <is>
          <t>VALLENTUNA</t>
        </is>
      </c>
      <c r="G90" t="n">
        <v>4.4</v>
      </c>
      <c r="H90" t="n">
        <v>0</v>
      </c>
      <c r="I90" t="n">
        <v>0</v>
      </c>
      <c r="J90" t="n">
        <v>0</v>
      </c>
      <c r="K90" t="n">
        <v>0</v>
      </c>
      <c r="L90" t="n">
        <v>0</v>
      </c>
      <c r="M90" t="n">
        <v>0</v>
      </c>
      <c r="N90" t="n">
        <v>0</v>
      </c>
      <c r="O90" t="n">
        <v>0</v>
      </c>
      <c r="P90" t="n">
        <v>0</v>
      </c>
      <c r="Q90" t="n">
        <v>0</v>
      </c>
      <c r="R90" s="2" t="inlineStr"/>
    </row>
    <row r="91" ht="15" customHeight="1">
      <c r="A91" t="inlineStr">
        <is>
          <t>A 20789-2025</t>
        </is>
      </c>
      <c r="B91" s="1" t="n">
        <v>45776.62518518518</v>
      </c>
      <c r="C91" s="1" t="n">
        <v>45892</v>
      </c>
      <c r="D91" t="inlineStr">
        <is>
          <t>STOCKHOLMS LÄN</t>
        </is>
      </c>
      <c r="E91" t="inlineStr">
        <is>
          <t>VALLENTUNA</t>
        </is>
      </c>
      <c r="G91" t="n">
        <v>1</v>
      </c>
      <c r="H91" t="n">
        <v>0</v>
      </c>
      <c r="I91" t="n">
        <v>0</v>
      </c>
      <c r="J91" t="n">
        <v>0</v>
      </c>
      <c r="K91" t="n">
        <v>0</v>
      </c>
      <c r="L91" t="n">
        <v>0</v>
      </c>
      <c r="M91" t="n">
        <v>0</v>
      </c>
      <c r="N91" t="n">
        <v>0</v>
      </c>
      <c r="O91" t="n">
        <v>0</v>
      </c>
      <c r="P91" t="n">
        <v>0</v>
      </c>
      <c r="Q91" t="n">
        <v>0</v>
      </c>
      <c r="R91" s="2" t="inlineStr"/>
    </row>
    <row r="92" ht="15" customHeight="1">
      <c r="A92" t="inlineStr">
        <is>
          <t>A 47140-2024</t>
        </is>
      </c>
      <c r="B92" s="1" t="n">
        <v>45586.58753472222</v>
      </c>
      <c r="C92" s="1" t="n">
        <v>45892</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15300-2023</t>
        </is>
      </c>
      <c r="B93" s="1" t="n">
        <v>45019</v>
      </c>
      <c r="C93" s="1" t="n">
        <v>45892</v>
      </c>
      <c r="D93" t="inlineStr">
        <is>
          <t>STOCKHOLMS LÄN</t>
        </is>
      </c>
      <c r="E93" t="inlineStr">
        <is>
          <t>VALLENTUNA</t>
        </is>
      </c>
      <c r="G93" t="n">
        <v>1.7</v>
      </c>
      <c r="H93" t="n">
        <v>0</v>
      </c>
      <c r="I93" t="n">
        <v>0</v>
      </c>
      <c r="J93" t="n">
        <v>0</v>
      </c>
      <c r="K93" t="n">
        <v>0</v>
      </c>
      <c r="L93" t="n">
        <v>0</v>
      </c>
      <c r="M93" t="n">
        <v>0</v>
      </c>
      <c r="N93" t="n">
        <v>0</v>
      </c>
      <c r="O93" t="n">
        <v>0</v>
      </c>
      <c r="P93" t="n">
        <v>0</v>
      </c>
      <c r="Q93" t="n">
        <v>0</v>
      </c>
      <c r="R93" s="2" t="inlineStr"/>
    </row>
    <row r="94" ht="15" customHeight="1">
      <c r="A94" t="inlineStr">
        <is>
          <t>A 46381-2023</t>
        </is>
      </c>
      <c r="B94" s="1" t="n">
        <v>45193</v>
      </c>
      <c r="C94" s="1" t="n">
        <v>45892</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23009-2024</t>
        </is>
      </c>
      <c r="B95" s="1" t="n">
        <v>45450.34506944445</v>
      </c>
      <c r="C95" s="1" t="n">
        <v>45892</v>
      </c>
      <c r="D95" t="inlineStr">
        <is>
          <t>STOCKHOLMS LÄN</t>
        </is>
      </c>
      <c r="E95" t="inlineStr">
        <is>
          <t>VALLENTUNA</t>
        </is>
      </c>
      <c r="G95" t="n">
        <v>1.4</v>
      </c>
      <c r="H95" t="n">
        <v>0</v>
      </c>
      <c r="I95" t="n">
        <v>0</v>
      </c>
      <c r="J95" t="n">
        <v>0</v>
      </c>
      <c r="K95" t="n">
        <v>0</v>
      </c>
      <c r="L95" t="n">
        <v>0</v>
      </c>
      <c r="M95" t="n">
        <v>0</v>
      </c>
      <c r="N95" t="n">
        <v>0</v>
      </c>
      <c r="O95" t="n">
        <v>0</v>
      </c>
      <c r="P95" t="n">
        <v>0</v>
      </c>
      <c r="Q95" t="n">
        <v>0</v>
      </c>
      <c r="R95" s="2" t="inlineStr"/>
    </row>
    <row r="96" ht="15" customHeight="1">
      <c r="A96" t="inlineStr">
        <is>
          <t>A 61027-2023</t>
        </is>
      </c>
      <c r="B96" s="1" t="n">
        <v>45261</v>
      </c>
      <c r="C96" s="1" t="n">
        <v>45892</v>
      </c>
      <c r="D96" t="inlineStr">
        <is>
          <t>STOCKHOLMS LÄN</t>
        </is>
      </c>
      <c r="E96" t="inlineStr">
        <is>
          <t>VALLENTUNA</t>
        </is>
      </c>
      <c r="G96" t="n">
        <v>7.1</v>
      </c>
      <c r="H96" t="n">
        <v>0</v>
      </c>
      <c r="I96" t="n">
        <v>0</v>
      </c>
      <c r="J96" t="n">
        <v>0</v>
      </c>
      <c r="K96" t="n">
        <v>0</v>
      </c>
      <c r="L96" t="n">
        <v>0</v>
      </c>
      <c r="M96" t="n">
        <v>0</v>
      </c>
      <c r="N96" t="n">
        <v>0</v>
      </c>
      <c r="O96" t="n">
        <v>0</v>
      </c>
      <c r="P96" t="n">
        <v>0</v>
      </c>
      <c r="Q96" t="n">
        <v>0</v>
      </c>
      <c r="R96" s="2" t="inlineStr"/>
    </row>
    <row r="97" ht="15" customHeight="1">
      <c r="A97" t="inlineStr">
        <is>
          <t>A 23923-2025</t>
        </is>
      </c>
      <c r="B97" s="1" t="n">
        <v>45795.39648148148</v>
      </c>
      <c r="C97" s="1" t="n">
        <v>45892</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61742-2022</t>
        </is>
      </c>
      <c r="B98" s="1" t="n">
        <v>44917</v>
      </c>
      <c r="C98" s="1" t="n">
        <v>45892</v>
      </c>
      <c r="D98" t="inlineStr">
        <is>
          <t>STOCKHOLMS LÄN</t>
        </is>
      </c>
      <c r="E98" t="inlineStr">
        <is>
          <t>VALLENTUNA</t>
        </is>
      </c>
      <c r="G98" t="n">
        <v>0.5</v>
      </c>
      <c r="H98" t="n">
        <v>0</v>
      </c>
      <c r="I98" t="n">
        <v>0</v>
      </c>
      <c r="J98" t="n">
        <v>0</v>
      </c>
      <c r="K98" t="n">
        <v>0</v>
      </c>
      <c r="L98" t="n">
        <v>0</v>
      </c>
      <c r="M98" t="n">
        <v>0</v>
      </c>
      <c r="N98" t="n">
        <v>0</v>
      </c>
      <c r="O98" t="n">
        <v>0</v>
      </c>
      <c r="P98" t="n">
        <v>0</v>
      </c>
      <c r="Q98" t="n">
        <v>0</v>
      </c>
      <c r="R98" s="2" t="inlineStr"/>
    </row>
    <row r="99" ht="15" customHeight="1">
      <c r="A99" t="inlineStr">
        <is>
          <t>A 21765-2023</t>
        </is>
      </c>
      <c r="B99" s="1" t="n">
        <v>45064</v>
      </c>
      <c r="C99" s="1" t="n">
        <v>45892</v>
      </c>
      <c r="D99" t="inlineStr">
        <is>
          <t>STOCKHOLMS LÄN</t>
        </is>
      </c>
      <c r="E99" t="inlineStr">
        <is>
          <t>VALLENTUNA</t>
        </is>
      </c>
      <c r="G99" t="n">
        <v>1.1</v>
      </c>
      <c r="H99" t="n">
        <v>0</v>
      </c>
      <c r="I99" t="n">
        <v>0</v>
      </c>
      <c r="J99" t="n">
        <v>0</v>
      </c>
      <c r="K99" t="n">
        <v>0</v>
      </c>
      <c r="L99" t="n">
        <v>0</v>
      </c>
      <c r="M99" t="n">
        <v>0</v>
      </c>
      <c r="N99" t="n">
        <v>0</v>
      </c>
      <c r="O99" t="n">
        <v>0</v>
      </c>
      <c r="P99" t="n">
        <v>0</v>
      </c>
      <c r="Q99" t="n">
        <v>0</v>
      </c>
      <c r="R99" s="2" t="inlineStr"/>
    </row>
    <row r="100" ht="15" customHeight="1">
      <c r="A100" t="inlineStr">
        <is>
          <t>A 21614-2022</t>
        </is>
      </c>
      <c r="B100" s="1" t="n">
        <v>44706</v>
      </c>
      <c r="C100" s="1" t="n">
        <v>45892</v>
      </c>
      <c r="D100" t="inlineStr">
        <is>
          <t>STOCKHOLMS LÄN</t>
        </is>
      </c>
      <c r="E100" t="inlineStr">
        <is>
          <t>VALLENTUNA</t>
        </is>
      </c>
      <c r="G100" t="n">
        <v>4</v>
      </c>
      <c r="H100" t="n">
        <v>0</v>
      </c>
      <c r="I100" t="n">
        <v>0</v>
      </c>
      <c r="J100" t="n">
        <v>0</v>
      </c>
      <c r="K100" t="n">
        <v>0</v>
      </c>
      <c r="L100" t="n">
        <v>0</v>
      </c>
      <c r="M100" t="n">
        <v>0</v>
      </c>
      <c r="N100" t="n">
        <v>0</v>
      </c>
      <c r="O100" t="n">
        <v>0</v>
      </c>
      <c r="P100" t="n">
        <v>0</v>
      </c>
      <c r="Q100" t="n">
        <v>0</v>
      </c>
      <c r="R100" s="2" t="inlineStr"/>
    </row>
    <row r="101" ht="15" customHeight="1">
      <c r="A101" t="inlineStr">
        <is>
          <t>A 68935-2020</t>
        </is>
      </c>
      <c r="B101" s="1" t="n">
        <v>44187</v>
      </c>
      <c r="C101" s="1" t="n">
        <v>45892</v>
      </c>
      <c r="D101" t="inlineStr">
        <is>
          <t>STOCKHOLMS LÄN</t>
        </is>
      </c>
      <c r="E101" t="inlineStr">
        <is>
          <t>VALLENTUNA</t>
        </is>
      </c>
      <c r="G101" t="n">
        <v>7.8</v>
      </c>
      <c r="H101" t="n">
        <v>0</v>
      </c>
      <c r="I101" t="n">
        <v>0</v>
      </c>
      <c r="J101" t="n">
        <v>0</v>
      </c>
      <c r="K101" t="n">
        <v>0</v>
      </c>
      <c r="L101" t="n">
        <v>0</v>
      </c>
      <c r="M101" t="n">
        <v>0</v>
      </c>
      <c r="N101" t="n">
        <v>0</v>
      </c>
      <c r="O101" t="n">
        <v>0</v>
      </c>
      <c r="P101" t="n">
        <v>0</v>
      </c>
      <c r="Q101" t="n">
        <v>0</v>
      </c>
      <c r="R101" s="2" t="inlineStr"/>
    </row>
    <row r="102" ht="15" customHeight="1">
      <c r="A102" t="inlineStr">
        <is>
          <t>A 23986-2023</t>
        </is>
      </c>
      <c r="B102" s="1" t="n">
        <v>45078</v>
      </c>
      <c r="C102" s="1" t="n">
        <v>45892</v>
      </c>
      <c r="D102" t="inlineStr">
        <is>
          <t>STOCKHOLMS LÄN</t>
        </is>
      </c>
      <c r="E102" t="inlineStr">
        <is>
          <t>VALLENTUNA</t>
        </is>
      </c>
      <c r="F102" t="inlineStr">
        <is>
          <t>Kyrkan</t>
        </is>
      </c>
      <c r="G102" t="n">
        <v>5.7</v>
      </c>
      <c r="H102" t="n">
        <v>0</v>
      </c>
      <c r="I102" t="n">
        <v>0</v>
      </c>
      <c r="J102" t="n">
        <v>0</v>
      </c>
      <c r="K102" t="n">
        <v>0</v>
      </c>
      <c r="L102" t="n">
        <v>0</v>
      </c>
      <c r="M102" t="n">
        <v>0</v>
      </c>
      <c r="N102" t="n">
        <v>0</v>
      </c>
      <c r="O102" t="n">
        <v>0</v>
      </c>
      <c r="P102" t="n">
        <v>0</v>
      </c>
      <c r="Q102" t="n">
        <v>0</v>
      </c>
      <c r="R102" s="2" t="inlineStr"/>
    </row>
    <row r="103" ht="15" customHeight="1">
      <c r="A103" t="inlineStr">
        <is>
          <t>A 61655-2020</t>
        </is>
      </c>
      <c r="B103" s="1" t="n">
        <v>44158</v>
      </c>
      <c r="C103" s="1" t="n">
        <v>45892</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17342-2025</t>
        </is>
      </c>
      <c r="B104" s="1" t="n">
        <v>45756</v>
      </c>
      <c r="C104" s="1" t="n">
        <v>45892</v>
      </c>
      <c r="D104" t="inlineStr">
        <is>
          <t>STOCKHOLMS LÄN</t>
        </is>
      </c>
      <c r="E104" t="inlineStr">
        <is>
          <t>VALLENTUNA</t>
        </is>
      </c>
      <c r="F104" t="inlineStr">
        <is>
          <t>Övriga Aktiebolag</t>
        </is>
      </c>
      <c r="G104" t="n">
        <v>3.9</v>
      </c>
      <c r="H104" t="n">
        <v>0</v>
      </c>
      <c r="I104" t="n">
        <v>0</v>
      </c>
      <c r="J104" t="n">
        <v>0</v>
      </c>
      <c r="K104" t="n">
        <v>0</v>
      </c>
      <c r="L104" t="n">
        <v>0</v>
      </c>
      <c r="M104" t="n">
        <v>0</v>
      </c>
      <c r="N104" t="n">
        <v>0</v>
      </c>
      <c r="O104" t="n">
        <v>0</v>
      </c>
      <c r="P104" t="n">
        <v>0</v>
      </c>
      <c r="Q104" t="n">
        <v>0</v>
      </c>
      <c r="R104" s="2" t="inlineStr"/>
    </row>
    <row r="105" ht="15" customHeight="1">
      <c r="A105" t="inlineStr">
        <is>
          <t>A 12562-2023</t>
        </is>
      </c>
      <c r="B105" s="1" t="n">
        <v>45000</v>
      </c>
      <c r="C105" s="1" t="n">
        <v>45892</v>
      </c>
      <c r="D105" t="inlineStr">
        <is>
          <t>STOCKHOLMS LÄN</t>
        </is>
      </c>
      <c r="E105" t="inlineStr">
        <is>
          <t>VALLENTUNA</t>
        </is>
      </c>
      <c r="G105" t="n">
        <v>2.1</v>
      </c>
      <c r="H105" t="n">
        <v>0</v>
      </c>
      <c r="I105" t="n">
        <v>0</v>
      </c>
      <c r="J105" t="n">
        <v>0</v>
      </c>
      <c r="K105" t="n">
        <v>0</v>
      </c>
      <c r="L105" t="n">
        <v>0</v>
      </c>
      <c r="M105" t="n">
        <v>0</v>
      </c>
      <c r="N105" t="n">
        <v>0</v>
      </c>
      <c r="O105" t="n">
        <v>0</v>
      </c>
      <c r="P105" t="n">
        <v>0</v>
      </c>
      <c r="Q105" t="n">
        <v>0</v>
      </c>
      <c r="R105" s="2" t="inlineStr"/>
    </row>
    <row r="106" ht="15" customHeight="1">
      <c r="A106" t="inlineStr">
        <is>
          <t>A 56152-2024</t>
        </is>
      </c>
      <c r="B106" s="1" t="n">
        <v>45624.52403935185</v>
      </c>
      <c r="C106" s="1" t="n">
        <v>45892</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14480-2024</t>
        </is>
      </c>
      <c r="B107" s="1" t="n">
        <v>45394.56777777777</v>
      </c>
      <c r="C107" s="1" t="n">
        <v>45892</v>
      </c>
      <c r="D107" t="inlineStr">
        <is>
          <t>STOCKHOLMS LÄN</t>
        </is>
      </c>
      <c r="E107" t="inlineStr">
        <is>
          <t>VALLENTUNA</t>
        </is>
      </c>
      <c r="G107" t="n">
        <v>1.8</v>
      </c>
      <c r="H107" t="n">
        <v>0</v>
      </c>
      <c r="I107" t="n">
        <v>0</v>
      </c>
      <c r="J107" t="n">
        <v>0</v>
      </c>
      <c r="K107" t="n">
        <v>0</v>
      </c>
      <c r="L107" t="n">
        <v>0</v>
      </c>
      <c r="M107" t="n">
        <v>0</v>
      </c>
      <c r="N107" t="n">
        <v>0</v>
      </c>
      <c r="O107" t="n">
        <v>0</v>
      </c>
      <c r="P107" t="n">
        <v>0</v>
      </c>
      <c r="Q107" t="n">
        <v>0</v>
      </c>
      <c r="R107" s="2" t="inlineStr"/>
    </row>
    <row r="108" ht="15" customHeight="1">
      <c r="A108" t="inlineStr">
        <is>
          <t>A 17340-2025</t>
        </is>
      </c>
      <c r="B108" s="1" t="n">
        <v>45756</v>
      </c>
      <c r="C108" s="1" t="n">
        <v>45892</v>
      </c>
      <c r="D108" t="inlineStr">
        <is>
          <t>STOCKHOLMS LÄN</t>
        </is>
      </c>
      <c r="E108" t="inlineStr">
        <is>
          <t>VALLENTUNA</t>
        </is>
      </c>
      <c r="F108" t="inlineStr">
        <is>
          <t>Övriga Aktiebolag</t>
        </is>
      </c>
      <c r="G108" t="n">
        <v>2.6</v>
      </c>
      <c r="H108" t="n">
        <v>0</v>
      </c>
      <c r="I108" t="n">
        <v>0</v>
      </c>
      <c r="J108" t="n">
        <v>0</v>
      </c>
      <c r="K108" t="n">
        <v>0</v>
      </c>
      <c r="L108" t="n">
        <v>0</v>
      </c>
      <c r="M108" t="n">
        <v>0</v>
      </c>
      <c r="N108" t="n">
        <v>0</v>
      </c>
      <c r="O108" t="n">
        <v>0</v>
      </c>
      <c r="P108" t="n">
        <v>0</v>
      </c>
      <c r="Q108" t="n">
        <v>0</v>
      </c>
      <c r="R108" s="2" t="inlineStr"/>
    </row>
    <row r="109" ht="15" customHeight="1">
      <c r="A109" t="inlineStr">
        <is>
          <t>A 34458-2023</t>
        </is>
      </c>
      <c r="B109" s="1" t="n">
        <v>45139</v>
      </c>
      <c r="C109" s="1" t="n">
        <v>45892</v>
      </c>
      <c r="D109" t="inlineStr">
        <is>
          <t>STOCKHOLMS LÄN</t>
        </is>
      </c>
      <c r="E109" t="inlineStr">
        <is>
          <t>VALLENTUNA</t>
        </is>
      </c>
      <c r="G109" t="n">
        <v>2.5</v>
      </c>
      <c r="H109" t="n">
        <v>0</v>
      </c>
      <c r="I109" t="n">
        <v>0</v>
      </c>
      <c r="J109" t="n">
        <v>0</v>
      </c>
      <c r="K109" t="n">
        <v>0</v>
      </c>
      <c r="L109" t="n">
        <v>0</v>
      </c>
      <c r="M109" t="n">
        <v>0</v>
      </c>
      <c r="N109" t="n">
        <v>0</v>
      </c>
      <c r="O109" t="n">
        <v>0</v>
      </c>
      <c r="P109" t="n">
        <v>0</v>
      </c>
      <c r="Q109" t="n">
        <v>0</v>
      </c>
      <c r="R109" s="2" t="inlineStr"/>
    </row>
    <row r="110" ht="15" customHeight="1">
      <c r="A110" t="inlineStr">
        <is>
          <t>A 25984-2025</t>
        </is>
      </c>
      <c r="B110" s="1" t="n">
        <v>45804.64016203704</v>
      </c>
      <c r="C110" s="1" t="n">
        <v>45892</v>
      </c>
      <c r="D110" t="inlineStr">
        <is>
          <t>STOCKHOLMS LÄN</t>
        </is>
      </c>
      <c r="E110" t="inlineStr">
        <is>
          <t>VALLENTUNA</t>
        </is>
      </c>
      <c r="G110" t="n">
        <v>2.5</v>
      </c>
      <c r="H110" t="n">
        <v>0</v>
      </c>
      <c r="I110" t="n">
        <v>0</v>
      </c>
      <c r="J110" t="n">
        <v>0</v>
      </c>
      <c r="K110" t="n">
        <v>0</v>
      </c>
      <c r="L110" t="n">
        <v>0</v>
      </c>
      <c r="M110" t="n">
        <v>0</v>
      </c>
      <c r="N110" t="n">
        <v>0</v>
      </c>
      <c r="O110" t="n">
        <v>0</v>
      </c>
      <c r="P110" t="n">
        <v>0</v>
      </c>
      <c r="Q110" t="n">
        <v>0</v>
      </c>
      <c r="R110" s="2" t="inlineStr"/>
    </row>
    <row r="111" ht="15" customHeight="1">
      <c r="A111" t="inlineStr">
        <is>
          <t>A 24068-2024</t>
        </is>
      </c>
      <c r="B111" s="1" t="n">
        <v>45456</v>
      </c>
      <c r="C111" s="1" t="n">
        <v>45892</v>
      </c>
      <c r="D111" t="inlineStr">
        <is>
          <t>STOCKHOLMS LÄN</t>
        </is>
      </c>
      <c r="E111" t="inlineStr">
        <is>
          <t>VALLENTUNA</t>
        </is>
      </c>
      <c r="G111" t="n">
        <v>7.4</v>
      </c>
      <c r="H111" t="n">
        <v>0</v>
      </c>
      <c r="I111" t="n">
        <v>0</v>
      </c>
      <c r="J111" t="n">
        <v>0</v>
      </c>
      <c r="K111" t="n">
        <v>0</v>
      </c>
      <c r="L111" t="n">
        <v>0</v>
      </c>
      <c r="M111" t="n">
        <v>0</v>
      </c>
      <c r="N111" t="n">
        <v>0</v>
      </c>
      <c r="O111" t="n">
        <v>0</v>
      </c>
      <c r="P111" t="n">
        <v>0</v>
      </c>
      <c r="Q111" t="n">
        <v>0</v>
      </c>
      <c r="R111" s="2" t="inlineStr"/>
    </row>
    <row r="112" ht="15" customHeight="1">
      <c r="A112" t="inlineStr">
        <is>
          <t>A 30913-2021</t>
        </is>
      </c>
      <c r="B112" s="1" t="n">
        <v>44365</v>
      </c>
      <c r="C112" s="1" t="n">
        <v>45892</v>
      </c>
      <c r="D112" t="inlineStr">
        <is>
          <t>STOCKHOLMS LÄN</t>
        </is>
      </c>
      <c r="E112" t="inlineStr">
        <is>
          <t>VALLENTUNA</t>
        </is>
      </c>
      <c r="F112" t="inlineStr">
        <is>
          <t>Övriga Aktiebolag</t>
        </is>
      </c>
      <c r="G112" t="n">
        <v>3.3</v>
      </c>
      <c r="H112" t="n">
        <v>0</v>
      </c>
      <c r="I112" t="n">
        <v>0</v>
      </c>
      <c r="J112" t="n">
        <v>0</v>
      </c>
      <c r="K112" t="n">
        <v>0</v>
      </c>
      <c r="L112" t="n">
        <v>0</v>
      </c>
      <c r="M112" t="n">
        <v>0</v>
      </c>
      <c r="N112" t="n">
        <v>0</v>
      </c>
      <c r="O112" t="n">
        <v>0</v>
      </c>
      <c r="P112" t="n">
        <v>0</v>
      </c>
      <c r="Q112" t="n">
        <v>0</v>
      </c>
      <c r="R112" s="2" t="inlineStr"/>
    </row>
    <row r="113" ht="15" customHeight="1">
      <c r="A113" t="inlineStr">
        <is>
          <t>A 45496-2023</t>
        </is>
      </c>
      <c r="B113" s="1" t="n">
        <v>45194</v>
      </c>
      <c r="C113" s="1" t="n">
        <v>45892</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29704-2023</t>
        </is>
      </c>
      <c r="B114" s="1" t="n">
        <v>45107</v>
      </c>
      <c r="C114" s="1" t="n">
        <v>45892</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45892</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45892</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3078-2023</t>
        </is>
      </c>
      <c r="B117" s="1" t="n">
        <v>44946.41527777778</v>
      </c>
      <c r="C117" s="1" t="n">
        <v>45892</v>
      </c>
      <c r="D117" t="inlineStr">
        <is>
          <t>STOCKHOLMS LÄN</t>
        </is>
      </c>
      <c r="E117" t="inlineStr">
        <is>
          <t>VALLENTUNA</t>
        </is>
      </c>
      <c r="G117" t="n">
        <v>3.9</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45892</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12609-2024</t>
        </is>
      </c>
      <c r="B119" s="1" t="n">
        <v>45382.8109375</v>
      </c>
      <c r="C119" s="1" t="n">
        <v>45892</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19503-2023</t>
        </is>
      </c>
      <c r="B120" s="1" t="n">
        <v>45050.47333333334</v>
      </c>
      <c r="C120" s="1" t="n">
        <v>45892</v>
      </c>
      <c r="D120" t="inlineStr">
        <is>
          <t>STOCKHOLMS LÄN</t>
        </is>
      </c>
      <c r="E120" t="inlineStr">
        <is>
          <t>VALLENTUNA</t>
        </is>
      </c>
      <c r="G120" t="n">
        <v>0.7</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45892</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27868-2025</t>
        </is>
      </c>
      <c r="B122" s="1" t="n">
        <v>45817</v>
      </c>
      <c r="C122" s="1" t="n">
        <v>45892</v>
      </c>
      <c r="D122" t="inlineStr">
        <is>
          <t>STOCKHOLMS LÄN</t>
        </is>
      </c>
      <c r="E122" t="inlineStr">
        <is>
          <t>VALLENTUNA</t>
        </is>
      </c>
      <c r="G122" t="n">
        <v>2.2</v>
      </c>
      <c r="H122" t="n">
        <v>0</v>
      </c>
      <c r="I122" t="n">
        <v>0</v>
      </c>
      <c r="J122" t="n">
        <v>0</v>
      </c>
      <c r="K122" t="n">
        <v>0</v>
      </c>
      <c r="L122" t="n">
        <v>0</v>
      </c>
      <c r="M122" t="n">
        <v>0</v>
      </c>
      <c r="N122" t="n">
        <v>0</v>
      </c>
      <c r="O122" t="n">
        <v>0</v>
      </c>
      <c r="P122" t="n">
        <v>0</v>
      </c>
      <c r="Q122" t="n">
        <v>0</v>
      </c>
      <c r="R122" s="2" t="inlineStr"/>
    </row>
    <row r="123" ht="15" customHeight="1">
      <c r="A123" t="inlineStr">
        <is>
          <t>A 21612-2021</t>
        </is>
      </c>
      <c r="B123" s="1" t="n">
        <v>44321</v>
      </c>
      <c r="C123" s="1" t="n">
        <v>45892</v>
      </c>
      <c r="D123" t="inlineStr">
        <is>
          <t>STOCKHOLMS LÄN</t>
        </is>
      </c>
      <c r="E123" t="inlineStr">
        <is>
          <t>VALLENTUNA</t>
        </is>
      </c>
      <c r="G123" t="n">
        <v>1.4</v>
      </c>
      <c r="H123" t="n">
        <v>0</v>
      </c>
      <c r="I123" t="n">
        <v>0</v>
      </c>
      <c r="J123" t="n">
        <v>0</v>
      </c>
      <c r="K123" t="n">
        <v>0</v>
      </c>
      <c r="L123" t="n">
        <v>0</v>
      </c>
      <c r="M123" t="n">
        <v>0</v>
      </c>
      <c r="N123" t="n">
        <v>0</v>
      </c>
      <c r="O123" t="n">
        <v>0</v>
      </c>
      <c r="P123" t="n">
        <v>0</v>
      </c>
      <c r="Q123" t="n">
        <v>0</v>
      </c>
      <c r="R123" s="2" t="inlineStr"/>
    </row>
    <row r="124" ht="15" customHeight="1">
      <c r="A124" t="inlineStr">
        <is>
          <t>A 4803-2024</t>
        </is>
      </c>
      <c r="B124" s="1" t="n">
        <v>45328</v>
      </c>
      <c r="C124" s="1" t="n">
        <v>45892</v>
      </c>
      <c r="D124" t="inlineStr">
        <is>
          <t>STOCKHOLMS LÄN</t>
        </is>
      </c>
      <c r="E124" t="inlineStr">
        <is>
          <t>VALLENTUNA</t>
        </is>
      </c>
      <c r="G124" t="n">
        <v>4.6</v>
      </c>
      <c r="H124" t="n">
        <v>0</v>
      </c>
      <c r="I124" t="n">
        <v>0</v>
      </c>
      <c r="J124" t="n">
        <v>0</v>
      </c>
      <c r="K124" t="n">
        <v>0</v>
      </c>
      <c r="L124" t="n">
        <v>0</v>
      </c>
      <c r="M124" t="n">
        <v>0</v>
      </c>
      <c r="N124" t="n">
        <v>0</v>
      </c>
      <c r="O124" t="n">
        <v>0</v>
      </c>
      <c r="P124" t="n">
        <v>0</v>
      </c>
      <c r="Q124" t="n">
        <v>0</v>
      </c>
      <c r="R124" s="2" t="inlineStr"/>
    </row>
    <row r="125" ht="15" customHeight="1">
      <c r="A125" t="inlineStr">
        <is>
          <t>A 4804-2024</t>
        </is>
      </c>
      <c r="B125" s="1" t="n">
        <v>45328</v>
      </c>
      <c r="C125" s="1" t="n">
        <v>45892</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3698-2022</t>
        </is>
      </c>
      <c r="B126" s="1" t="n">
        <v>44586</v>
      </c>
      <c r="C126" s="1" t="n">
        <v>45892</v>
      </c>
      <c r="D126" t="inlineStr">
        <is>
          <t>STOCKHOLMS LÄN</t>
        </is>
      </c>
      <c r="E126" t="inlineStr">
        <is>
          <t>VALLENTUNA</t>
        </is>
      </c>
      <c r="G126" t="n">
        <v>2.9</v>
      </c>
      <c r="H126" t="n">
        <v>0</v>
      </c>
      <c r="I126" t="n">
        <v>0</v>
      </c>
      <c r="J126" t="n">
        <v>0</v>
      </c>
      <c r="K126" t="n">
        <v>0</v>
      </c>
      <c r="L126" t="n">
        <v>0</v>
      </c>
      <c r="M126" t="n">
        <v>0</v>
      </c>
      <c r="N126" t="n">
        <v>0</v>
      </c>
      <c r="O126" t="n">
        <v>0</v>
      </c>
      <c r="P126" t="n">
        <v>0</v>
      </c>
      <c r="Q126" t="n">
        <v>0</v>
      </c>
      <c r="R126" s="2" t="inlineStr"/>
    </row>
    <row r="127" ht="15" customHeight="1">
      <c r="A127" t="inlineStr">
        <is>
          <t>A 38102-2024</t>
        </is>
      </c>
      <c r="B127" s="1" t="n">
        <v>45545.36349537037</v>
      </c>
      <c r="C127" s="1" t="n">
        <v>45892</v>
      </c>
      <c r="D127" t="inlineStr">
        <is>
          <t>STOCKHOLMS LÄN</t>
        </is>
      </c>
      <c r="E127" t="inlineStr">
        <is>
          <t>VALLENTUNA</t>
        </is>
      </c>
      <c r="G127" t="n">
        <v>3.2</v>
      </c>
      <c r="H127" t="n">
        <v>0</v>
      </c>
      <c r="I127" t="n">
        <v>0</v>
      </c>
      <c r="J127" t="n">
        <v>0</v>
      </c>
      <c r="K127" t="n">
        <v>0</v>
      </c>
      <c r="L127" t="n">
        <v>0</v>
      </c>
      <c r="M127" t="n">
        <v>0</v>
      </c>
      <c r="N127" t="n">
        <v>0</v>
      </c>
      <c r="O127" t="n">
        <v>0</v>
      </c>
      <c r="P127" t="n">
        <v>0</v>
      </c>
      <c r="Q127" t="n">
        <v>0</v>
      </c>
      <c r="R127" s="2" t="inlineStr"/>
    </row>
    <row r="128" ht="15" customHeight="1">
      <c r="A128" t="inlineStr">
        <is>
          <t>A 30902-2025</t>
        </is>
      </c>
      <c r="B128" s="1" t="n">
        <v>45832.36104166666</v>
      </c>
      <c r="C128" s="1" t="n">
        <v>45892</v>
      </c>
      <c r="D128" t="inlineStr">
        <is>
          <t>STOCKHOLMS LÄN</t>
        </is>
      </c>
      <c r="E128" t="inlineStr">
        <is>
          <t>VALLENTUNA</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45892</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24943-2024</t>
        </is>
      </c>
      <c r="B130" s="1" t="n">
        <v>45461.62585648148</v>
      </c>
      <c r="C130" s="1" t="n">
        <v>45892</v>
      </c>
      <c r="D130" t="inlineStr">
        <is>
          <t>STOCKHOLMS LÄN</t>
        </is>
      </c>
      <c r="E130" t="inlineStr">
        <is>
          <t>VALLENTUNA</t>
        </is>
      </c>
      <c r="G130" t="n">
        <v>2</v>
      </c>
      <c r="H130" t="n">
        <v>0</v>
      </c>
      <c r="I130" t="n">
        <v>0</v>
      </c>
      <c r="J130" t="n">
        <v>0</v>
      </c>
      <c r="K130" t="n">
        <v>0</v>
      </c>
      <c r="L130" t="n">
        <v>0</v>
      </c>
      <c r="M130" t="n">
        <v>0</v>
      </c>
      <c r="N130" t="n">
        <v>0</v>
      </c>
      <c r="O130" t="n">
        <v>0</v>
      </c>
      <c r="P130" t="n">
        <v>0</v>
      </c>
      <c r="Q130" t="n">
        <v>0</v>
      </c>
      <c r="R130" s="2" t="inlineStr"/>
    </row>
    <row r="131" ht="15" customHeight="1">
      <c r="A131" t="inlineStr">
        <is>
          <t>A 24707-2023</t>
        </is>
      </c>
      <c r="B131" s="1" t="n">
        <v>45084</v>
      </c>
      <c r="C131" s="1" t="n">
        <v>45892</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62402-2022</t>
        </is>
      </c>
      <c r="B132" s="1" t="n">
        <v>44923</v>
      </c>
      <c r="C132" s="1" t="n">
        <v>45892</v>
      </c>
      <c r="D132" t="inlineStr">
        <is>
          <t>STOCKHOLMS LÄN</t>
        </is>
      </c>
      <c r="E132" t="inlineStr">
        <is>
          <t>VALLENTUNA</t>
        </is>
      </c>
      <c r="G132" t="n">
        <v>3.8</v>
      </c>
      <c r="H132" t="n">
        <v>0</v>
      </c>
      <c r="I132" t="n">
        <v>0</v>
      </c>
      <c r="J132" t="n">
        <v>0</v>
      </c>
      <c r="K132" t="n">
        <v>0</v>
      </c>
      <c r="L132" t="n">
        <v>0</v>
      </c>
      <c r="M132" t="n">
        <v>0</v>
      </c>
      <c r="N132" t="n">
        <v>0</v>
      </c>
      <c r="O132" t="n">
        <v>0</v>
      </c>
      <c r="P132" t="n">
        <v>0</v>
      </c>
      <c r="Q132" t="n">
        <v>0</v>
      </c>
      <c r="R132" s="2" t="inlineStr"/>
    </row>
    <row r="133" ht="15" customHeight="1">
      <c r="A133" t="inlineStr">
        <is>
          <t>A 5910-2022</t>
        </is>
      </c>
      <c r="B133" s="1" t="n">
        <v>44597</v>
      </c>
      <c r="C133" s="1" t="n">
        <v>45892</v>
      </c>
      <c r="D133" t="inlineStr">
        <is>
          <t>STOCKHOLMS LÄN</t>
        </is>
      </c>
      <c r="E133" t="inlineStr">
        <is>
          <t>VALLENTUNA</t>
        </is>
      </c>
      <c r="G133" t="n">
        <v>0.6</v>
      </c>
      <c r="H133" t="n">
        <v>0</v>
      </c>
      <c r="I133" t="n">
        <v>0</v>
      </c>
      <c r="J133" t="n">
        <v>0</v>
      </c>
      <c r="K133" t="n">
        <v>0</v>
      </c>
      <c r="L133" t="n">
        <v>0</v>
      </c>
      <c r="M133" t="n">
        <v>0</v>
      </c>
      <c r="N133" t="n">
        <v>0</v>
      </c>
      <c r="O133" t="n">
        <v>0</v>
      </c>
      <c r="P133" t="n">
        <v>0</v>
      </c>
      <c r="Q133" t="n">
        <v>0</v>
      </c>
      <c r="R133" s="2" t="inlineStr"/>
    </row>
    <row r="134" ht="15" customHeight="1">
      <c r="A134" t="inlineStr">
        <is>
          <t>A 28431-2025</t>
        </is>
      </c>
      <c r="B134" s="1" t="n">
        <v>45819.38072916667</v>
      </c>
      <c r="C134" s="1" t="n">
        <v>45892</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48717-2024</t>
        </is>
      </c>
      <c r="B135" s="1" t="n">
        <v>45593</v>
      </c>
      <c r="C135" s="1" t="n">
        <v>45892</v>
      </c>
      <c r="D135" t="inlineStr">
        <is>
          <t>STOCKHOLMS LÄN</t>
        </is>
      </c>
      <c r="E135" t="inlineStr">
        <is>
          <t>VALLENTUNA</t>
        </is>
      </c>
      <c r="G135" t="n">
        <v>6.2</v>
      </c>
      <c r="H135" t="n">
        <v>0</v>
      </c>
      <c r="I135" t="n">
        <v>0</v>
      </c>
      <c r="J135" t="n">
        <v>0</v>
      </c>
      <c r="K135" t="n">
        <v>0</v>
      </c>
      <c r="L135" t="n">
        <v>0</v>
      </c>
      <c r="M135" t="n">
        <v>0</v>
      </c>
      <c r="N135" t="n">
        <v>0</v>
      </c>
      <c r="O135" t="n">
        <v>0</v>
      </c>
      <c r="P135" t="n">
        <v>0</v>
      </c>
      <c r="Q135" t="n">
        <v>0</v>
      </c>
      <c r="R135" s="2" t="inlineStr"/>
    </row>
    <row r="136" ht="15" customHeight="1">
      <c r="A136" t="inlineStr">
        <is>
          <t>A 24994-2021</t>
        </is>
      </c>
      <c r="B136" s="1" t="n">
        <v>44341</v>
      </c>
      <c r="C136" s="1" t="n">
        <v>45892</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22683-2023</t>
        </is>
      </c>
      <c r="B137" s="1" t="n">
        <v>45071</v>
      </c>
      <c r="C137" s="1" t="n">
        <v>45892</v>
      </c>
      <c r="D137" t="inlineStr">
        <is>
          <t>STOCKHOLMS LÄN</t>
        </is>
      </c>
      <c r="E137" t="inlineStr">
        <is>
          <t>VALLENTUNA</t>
        </is>
      </c>
      <c r="G137" t="n">
        <v>1.2</v>
      </c>
      <c r="H137" t="n">
        <v>0</v>
      </c>
      <c r="I137" t="n">
        <v>0</v>
      </c>
      <c r="J137" t="n">
        <v>0</v>
      </c>
      <c r="K137" t="n">
        <v>0</v>
      </c>
      <c r="L137" t="n">
        <v>0</v>
      </c>
      <c r="M137" t="n">
        <v>0</v>
      </c>
      <c r="N137" t="n">
        <v>0</v>
      </c>
      <c r="O137" t="n">
        <v>0</v>
      </c>
      <c r="P137" t="n">
        <v>0</v>
      </c>
      <c r="Q137" t="n">
        <v>0</v>
      </c>
      <c r="R137" s="2" t="inlineStr"/>
    </row>
    <row r="138" ht="15" customHeight="1">
      <c r="A138" t="inlineStr">
        <is>
          <t>A 60795-2023</t>
        </is>
      </c>
      <c r="B138" s="1" t="n">
        <v>45260</v>
      </c>
      <c r="C138" s="1" t="n">
        <v>45892</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60997-2022</t>
        </is>
      </c>
      <c r="B139" s="1" t="n">
        <v>44914.70746527778</v>
      </c>
      <c r="C139" s="1" t="n">
        <v>45892</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c r="A140" t="inlineStr">
        <is>
          <t>A 17411-2023</t>
        </is>
      </c>
      <c r="B140" s="1" t="n">
        <v>45035.82512731481</v>
      </c>
      <c r="C140" s="1" t="n">
        <v>45892</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2025-08-23T08:38:36Z</dcterms:created>
  <dcterms:modified xmlns:dcterms="http://purl.org/dc/terms/" xmlns:xsi="http://www.w3.org/2001/XMLSchema-instance" xsi:type="dcterms:W3CDTF">2025-08-23T08:38:36Z</dcterms:modified>
</cp:coreProperties>
</file>