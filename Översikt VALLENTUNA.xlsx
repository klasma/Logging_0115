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45904</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45904</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45904</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45904</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45904</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45904</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45904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45904</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45904</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45904</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45904</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754-2024</t>
        </is>
      </c>
      <c r="B18" s="1" t="n">
        <v>45300</v>
      </c>
      <c r="C18" s="1" t="n">
        <v>45904</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9745-2022</t>
        </is>
      </c>
      <c r="B19" s="1" t="n">
        <v>44618</v>
      </c>
      <c r="C19" s="1" t="n">
        <v>45904</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41021-2023</t>
        </is>
      </c>
      <c r="B20" s="1" t="n">
        <v>45173</v>
      </c>
      <c r="C20" s="1" t="n">
        <v>45904</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45904</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14508-2024</t>
        </is>
      </c>
      <c r="B22" s="1" t="n">
        <v>45394.61583333334</v>
      </c>
      <c r="C22" s="1" t="n">
        <v>45904</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45904</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21439-2025</t>
        </is>
      </c>
      <c r="B24" s="1" t="n">
        <v>45782.52939814814</v>
      </c>
      <c r="C24" s="1" t="n">
        <v>45904</v>
      </c>
      <c r="D24" t="inlineStr">
        <is>
          <t>STOCKHOLMS LÄN</t>
        </is>
      </c>
      <c r="E24" t="inlineStr">
        <is>
          <t>VALLENTUNA</t>
        </is>
      </c>
      <c r="G24" t="n">
        <v>2.1</v>
      </c>
      <c r="H24" t="n">
        <v>0</v>
      </c>
      <c r="I24" t="n">
        <v>1</v>
      </c>
      <c r="J24" t="n">
        <v>0</v>
      </c>
      <c r="K24" t="n">
        <v>0</v>
      </c>
      <c r="L24" t="n">
        <v>0</v>
      </c>
      <c r="M24" t="n">
        <v>0</v>
      </c>
      <c r="N24" t="n">
        <v>0</v>
      </c>
      <c r="O24" t="n">
        <v>0</v>
      </c>
      <c r="P24" t="n">
        <v>0</v>
      </c>
      <c r="Q24" t="n">
        <v>1</v>
      </c>
      <c r="R24" s="2" t="inlineStr">
        <is>
          <t>Mindre märgborre</t>
        </is>
      </c>
      <c r="S24">
        <f>HYPERLINK("https://klasma.github.io/Logging_0115/artfynd/A 21439-2025 artfynd.xlsx", "A 21439-2025")</f>
        <v/>
      </c>
      <c r="T24">
        <f>HYPERLINK("https://klasma.github.io/Logging_0115/kartor/A 21439-2025 karta.png", "A 21439-2025")</f>
        <v/>
      </c>
      <c r="V24">
        <f>HYPERLINK("https://klasma.github.io/Logging_0115/klagomål/A 21439-2025 FSC-klagomål.docx", "A 21439-2025")</f>
        <v/>
      </c>
      <c r="W24">
        <f>HYPERLINK("https://klasma.github.io/Logging_0115/klagomålsmail/A 21439-2025 FSC-klagomål mail.docx", "A 21439-2025")</f>
        <v/>
      </c>
      <c r="X24">
        <f>HYPERLINK("https://klasma.github.io/Logging_0115/tillsyn/A 21439-2025 tillsynsbegäran.docx", "A 21439-2025")</f>
        <v/>
      </c>
      <c r="Y24">
        <f>HYPERLINK("https://klasma.github.io/Logging_0115/tillsynsmail/A 21439-2025 tillsynsbegäran mail.docx", "A 21439-2025")</f>
        <v/>
      </c>
    </row>
    <row r="25" ht="15" customHeight="1">
      <c r="A25" t="inlineStr">
        <is>
          <t>A 17348-2025</t>
        </is>
      </c>
      <c r="B25" s="1" t="n">
        <v>45756</v>
      </c>
      <c r="C25" s="1" t="n">
        <v>45904</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22936-2025</t>
        </is>
      </c>
      <c r="B26" s="1" t="n">
        <v>45790.45738425926</v>
      </c>
      <c r="C26" s="1" t="n">
        <v>45904</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45904</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45904</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7890-2023</t>
        </is>
      </c>
      <c r="B29" s="1" t="n">
        <v>44973</v>
      </c>
      <c r="C29" s="1" t="n">
        <v>45904</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45904</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45904</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45904</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45904</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45904</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45904</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45904</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45904</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45904</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45904</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45904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45904</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45904</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45904</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45904</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7085-2022</t>
        </is>
      </c>
      <c r="B45" s="1" t="n">
        <v>44603</v>
      </c>
      <c r="C45" s="1" t="n">
        <v>45904</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45904</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45904</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45904</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45904</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45904</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45904</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45904</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45904</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45904</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14489-2024</t>
        </is>
      </c>
      <c r="B55" s="1" t="n">
        <v>45394.58053240741</v>
      </c>
      <c r="C55" s="1" t="n">
        <v>45904</v>
      </c>
      <c r="D55" t="inlineStr">
        <is>
          <t>STOCKHOLMS LÄN</t>
        </is>
      </c>
      <c r="E55" t="inlineStr">
        <is>
          <t>VALLENTUNA</t>
        </is>
      </c>
      <c r="G55" t="n">
        <v>2.3</v>
      </c>
      <c r="H55" t="n">
        <v>0</v>
      </c>
      <c r="I55" t="n">
        <v>0</v>
      </c>
      <c r="J55" t="n">
        <v>0</v>
      </c>
      <c r="K55" t="n">
        <v>0</v>
      </c>
      <c r="L55" t="n">
        <v>0</v>
      </c>
      <c r="M55" t="n">
        <v>0</v>
      </c>
      <c r="N55" t="n">
        <v>0</v>
      </c>
      <c r="O55" t="n">
        <v>0</v>
      </c>
      <c r="P55" t="n">
        <v>0</v>
      </c>
      <c r="Q55" t="n">
        <v>0</v>
      </c>
      <c r="R55" s="2" t="inlineStr"/>
    </row>
    <row r="56" ht="15" customHeight="1">
      <c r="A56" t="inlineStr">
        <is>
          <t>A 15268-2023</t>
        </is>
      </c>
      <c r="B56" s="1" t="n">
        <v>45019.41045138889</v>
      </c>
      <c r="C56" s="1" t="n">
        <v>45904</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61442-2024</t>
        </is>
      </c>
      <c r="B57" s="1" t="n">
        <v>45646.47003472222</v>
      </c>
      <c r="C57" s="1" t="n">
        <v>45904</v>
      </c>
      <c r="D57" t="inlineStr">
        <is>
          <t>STOCKHOLMS LÄN</t>
        </is>
      </c>
      <c r="E57" t="inlineStr">
        <is>
          <t>VALLENTUNA</t>
        </is>
      </c>
      <c r="G57" t="n">
        <v>4.6</v>
      </c>
      <c r="H57" t="n">
        <v>0</v>
      </c>
      <c r="I57" t="n">
        <v>0</v>
      </c>
      <c r="J57" t="n">
        <v>0</v>
      </c>
      <c r="K57" t="n">
        <v>0</v>
      </c>
      <c r="L57" t="n">
        <v>0</v>
      </c>
      <c r="M57" t="n">
        <v>0</v>
      </c>
      <c r="N57" t="n">
        <v>0</v>
      </c>
      <c r="O57" t="n">
        <v>0</v>
      </c>
      <c r="P57" t="n">
        <v>0</v>
      </c>
      <c r="Q57" t="n">
        <v>0</v>
      </c>
      <c r="R57" s="2" t="inlineStr"/>
    </row>
    <row r="58" ht="15" customHeight="1">
      <c r="A58" t="inlineStr">
        <is>
          <t>A 48068-2021</t>
        </is>
      </c>
      <c r="B58" s="1" t="n">
        <v>44449.42270833333</v>
      </c>
      <c r="C58" s="1" t="n">
        <v>45904</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45499-2023</t>
        </is>
      </c>
      <c r="B59" s="1" t="n">
        <v>45194</v>
      </c>
      <c r="C59" s="1" t="n">
        <v>45904</v>
      </c>
      <c r="D59" t="inlineStr">
        <is>
          <t>STOCKHOLMS LÄN</t>
        </is>
      </c>
      <c r="E59" t="inlineStr">
        <is>
          <t>VALLENTUNA</t>
        </is>
      </c>
      <c r="G59" t="n">
        <v>2.5</v>
      </c>
      <c r="H59" t="n">
        <v>0</v>
      </c>
      <c r="I59" t="n">
        <v>0</v>
      </c>
      <c r="J59" t="n">
        <v>0</v>
      </c>
      <c r="K59" t="n">
        <v>0</v>
      </c>
      <c r="L59" t="n">
        <v>0</v>
      </c>
      <c r="M59" t="n">
        <v>0</v>
      </c>
      <c r="N59" t="n">
        <v>0</v>
      </c>
      <c r="O59" t="n">
        <v>0</v>
      </c>
      <c r="P59" t="n">
        <v>0</v>
      </c>
      <c r="Q59" t="n">
        <v>0</v>
      </c>
      <c r="R59" s="2" t="inlineStr"/>
    </row>
    <row r="60" ht="15" customHeight="1">
      <c r="A60" t="inlineStr">
        <is>
          <t>A 735-2024</t>
        </is>
      </c>
      <c r="B60" s="1" t="n">
        <v>45300</v>
      </c>
      <c r="C60" s="1" t="n">
        <v>45904</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47204-2024</t>
        </is>
      </c>
      <c r="B61" s="1" t="n">
        <v>45586.63575231482</v>
      </c>
      <c r="C61" s="1" t="n">
        <v>45904</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20786-2025</t>
        </is>
      </c>
      <c r="B62" s="1" t="n">
        <v>45776.62273148148</v>
      </c>
      <c r="C62" s="1" t="n">
        <v>45904</v>
      </c>
      <c r="D62" t="inlineStr">
        <is>
          <t>STOCKHOLMS LÄN</t>
        </is>
      </c>
      <c r="E62" t="inlineStr">
        <is>
          <t>VALLENTUNA</t>
        </is>
      </c>
      <c r="G62" t="n">
        <v>7.6</v>
      </c>
      <c r="H62" t="n">
        <v>0</v>
      </c>
      <c r="I62" t="n">
        <v>0</v>
      </c>
      <c r="J62" t="n">
        <v>0</v>
      </c>
      <c r="K62" t="n">
        <v>0</v>
      </c>
      <c r="L62" t="n">
        <v>0</v>
      </c>
      <c r="M62" t="n">
        <v>0</v>
      </c>
      <c r="N62" t="n">
        <v>0</v>
      </c>
      <c r="O62" t="n">
        <v>0</v>
      </c>
      <c r="P62" t="n">
        <v>0</v>
      </c>
      <c r="Q62" t="n">
        <v>0</v>
      </c>
      <c r="R62" s="2" t="inlineStr"/>
    </row>
    <row r="63" ht="15" customHeight="1">
      <c r="A63" t="inlineStr">
        <is>
          <t>A 34452-2021</t>
        </is>
      </c>
      <c r="B63" s="1" t="n">
        <v>44381</v>
      </c>
      <c r="C63" s="1" t="n">
        <v>45904</v>
      </c>
      <c r="D63" t="inlineStr">
        <is>
          <t>STOCKHOLMS LÄN</t>
        </is>
      </c>
      <c r="E63" t="inlineStr">
        <is>
          <t>VALLENTUNA</t>
        </is>
      </c>
      <c r="G63" t="n">
        <v>14.7</v>
      </c>
      <c r="H63" t="n">
        <v>0</v>
      </c>
      <c r="I63" t="n">
        <v>0</v>
      </c>
      <c r="J63" t="n">
        <v>0</v>
      </c>
      <c r="K63" t="n">
        <v>0</v>
      </c>
      <c r="L63" t="n">
        <v>0</v>
      </c>
      <c r="M63" t="n">
        <v>0</v>
      </c>
      <c r="N63" t="n">
        <v>0</v>
      </c>
      <c r="O63" t="n">
        <v>0</v>
      </c>
      <c r="P63" t="n">
        <v>0</v>
      </c>
      <c r="Q63" t="n">
        <v>0</v>
      </c>
      <c r="R63" s="2" t="inlineStr"/>
    </row>
    <row r="64" ht="15" customHeight="1">
      <c r="A64" t="inlineStr">
        <is>
          <t>A 20791-2025</t>
        </is>
      </c>
      <c r="B64" s="1" t="n">
        <v>45776.62738425926</v>
      </c>
      <c r="C64" s="1" t="n">
        <v>45904</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68938-2020</t>
        </is>
      </c>
      <c r="B65" s="1" t="n">
        <v>44187</v>
      </c>
      <c r="C65" s="1" t="n">
        <v>45904</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10073-2024</t>
        </is>
      </c>
      <c r="B66" s="1" t="n">
        <v>45364.40821759259</v>
      </c>
      <c r="C66" s="1" t="n">
        <v>45904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12585-2023</t>
        </is>
      </c>
      <c r="B67" s="1" t="n">
        <v>45000.41373842592</v>
      </c>
      <c r="C67" s="1" t="n">
        <v>45904</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45904</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20789-2025</t>
        </is>
      </c>
      <c r="B69" s="1" t="n">
        <v>45776.62518518518</v>
      </c>
      <c r="C69" s="1" t="n">
        <v>45904</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45904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8077-2022</t>
        </is>
      </c>
      <c r="B71" s="1" t="n">
        <v>44609</v>
      </c>
      <c r="C71" s="1" t="n">
        <v>45904</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46381-2023</t>
        </is>
      </c>
      <c r="B72" s="1" t="n">
        <v>45193</v>
      </c>
      <c r="C72" s="1" t="n">
        <v>45904</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45904</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61027-2023</t>
        </is>
      </c>
      <c r="B74" s="1" t="n">
        <v>45261</v>
      </c>
      <c r="C74" s="1" t="n">
        <v>45904</v>
      </c>
      <c r="D74" t="inlineStr">
        <is>
          <t>STOCKHOLMS LÄN</t>
        </is>
      </c>
      <c r="E74" t="inlineStr">
        <is>
          <t>VALLENTUNA</t>
        </is>
      </c>
      <c r="G74" t="n">
        <v>7.1</v>
      </c>
      <c r="H74" t="n">
        <v>0</v>
      </c>
      <c r="I74" t="n">
        <v>0</v>
      </c>
      <c r="J74" t="n">
        <v>0</v>
      </c>
      <c r="K74" t="n">
        <v>0</v>
      </c>
      <c r="L74" t="n">
        <v>0</v>
      </c>
      <c r="M74" t="n">
        <v>0</v>
      </c>
      <c r="N74" t="n">
        <v>0</v>
      </c>
      <c r="O74" t="n">
        <v>0</v>
      </c>
      <c r="P74" t="n">
        <v>0</v>
      </c>
      <c r="Q74" t="n">
        <v>0</v>
      </c>
      <c r="R74" s="2" t="inlineStr"/>
    </row>
    <row r="75" ht="15" customHeight="1">
      <c r="A75" t="inlineStr">
        <is>
          <t>A 47140-2024</t>
        </is>
      </c>
      <c r="B75" s="1" t="n">
        <v>45586.58753472222</v>
      </c>
      <c r="C75" s="1" t="n">
        <v>45904</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26390-2023</t>
        </is>
      </c>
      <c r="B76" s="1" t="n">
        <v>45086</v>
      </c>
      <c r="C76" s="1" t="n">
        <v>45904</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23923-2025</t>
        </is>
      </c>
      <c r="B77" s="1" t="n">
        <v>45795.39648148148</v>
      </c>
      <c r="C77" s="1" t="n">
        <v>45904</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25984-2025</t>
        </is>
      </c>
      <c r="B78" s="1" t="n">
        <v>45804.64016203704</v>
      </c>
      <c r="C78" s="1" t="n">
        <v>45904</v>
      </c>
      <c r="D78" t="inlineStr">
        <is>
          <t>STOCKHOLMS LÄN</t>
        </is>
      </c>
      <c r="E78" t="inlineStr">
        <is>
          <t>VALLENTUNA</t>
        </is>
      </c>
      <c r="G78" t="n">
        <v>2.5</v>
      </c>
      <c r="H78" t="n">
        <v>0</v>
      </c>
      <c r="I78" t="n">
        <v>0</v>
      </c>
      <c r="J78" t="n">
        <v>0</v>
      </c>
      <c r="K78" t="n">
        <v>0</v>
      </c>
      <c r="L78" t="n">
        <v>0</v>
      </c>
      <c r="M78" t="n">
        <v>0</v>
      </c>
      <c r="N78" t="n">
        <v>0</v>
      </c>
      <c r="O78" t="n">
        <v>0</v>
      </c>
      <c r="P78" t="n">
        <v>0</v>
      </c>
      <c r="Q78" t="n">
        <v>0</v>
      </c>
      <c r="R78" s="2" t="inlineStr"/>
    </row>
    <row r="79" ht="15" customHeight="1">
      <c r="A79" t="inlineStr">
        <is>
          <t>A 15300-2023</t>
        </is>
      </c>
      <c r="B79" s="1" t="n">
        <v>45019</v>
      </c>
      <c r="C79" s="1" t="n">
        <v>45904</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21765-2023</t>
        </is>
      </c>
      <c r="B80" s="1" t="n">
        <v>45064</v>
      </c>
      <c r="C80" s="1" t="n">
        <v>45904</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21614-2022</t>
        </is>
      </c>
      <c r="B81" s="1" t="n">
        <v>44706</v>
      </c>
      <c r="C81" s="1" t="n">
        <v>45904</v>
      </c>
      <c r="D81" t="inlineStr">
        <is>
          <t>STOCKHOLMS LÄN</t>
        </is>
      </c>
      <c r="E81" t="inlineStr">
        <is>
          <t>VALLENTUNA</t>
        </is>
      </c>
      <c r="G81" t="n">
        <v>4</v>
      </c>
      <c r="H81" t="n">
        <v>0</v>
      </c>
      <c r="I81" t="n">
        <v>0</v>
      </c>
      <c r="J81" t="n">
        <v>0</v>
      </c>
      <c r="K81" t="n">
        <v>0</v>
      </c>
      <c r="L81" t="n">
        <v>0</v>
      </c>
      <c r="M81" t="n">
        <v>0</v>
      </c>
      <c r="N81" t="n">
        <v>0</v>
      </c>
      <c r="O81" t="n">
        <v>0</v>
      </c>
      <c r="P81" t="n">
        <v>0</v>
      </c>
      <c r="Q81" t="n">
        <v>0</v>
      </c>
      <c r="R81" s="2" t="inlineStr"/>
    </row>
    <row r="82" ht="15" customHeight="1">
      <c r="A82" t="inlineStr">
        <is>
          <t>A 23986-2023</t>
        </is>
      </c>
      <c r="B82" s="1" t="n">
        <v>45078</v>
      </c>
      <c r="C82" s="1" t="n">
        <v>45904</v>
      </c>
      <c r="D82" t="inlineStr">
        <is>
          <t>STOCKHOLMS LÄN</t>
        </is>
      </c>
      <c r="E82" t="inlineStr">
        <is>
          <t>VALLENTUNA</t>
        </is>
      </c>
      <c r="F82" t="inlineStr">
        <is>
          <t>Kyrkan</t>
        </is>
      </c>
      <c r="G82" t="n">
        <v>5.7</v>
      </c>
      <c r="H82" t="n">
        <v>0</v>
      </c>
      <c r="I82" t="n">
        <v>0</v>
      </c>
      <c r="J82" t="n">
        <v>0</v>
      </c>
      <c r="K82" t="n">
        <v>0</v>
      </c>
      <c r="L82" t="n">
        <v>0</v>
      </c>
      <c r="M82" t="n">
        <v>0</v>
      </c>
      <c r="N82" t="n">
        <v>0</v>
      </c>
      <c r="O82" t="n">
        <v>0</v>
      </c>
      <c r="P82" t="n">
        <v>0</v>
      </c>
      <c r="Q82" t="n">
        <v>0</v>
      </c>
      <c r="R82" s="2" t="inlineStr"/>
    </row>
    <row r="83" ht="15" customHeight="1">
      <c r="A83" t="inlineStr">
        <is>
          <t>A 61742-2022</t>
        </is>
      </c>
      <c r="B83" s="1" t="n">
        <v>44917</v>
      </c>
      <c r="C83" s="1" t="n">
        <v>45904</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56152-2024</t>
        </is>
      </c>
      <c r="B84" s="1" t="n">
        <v>45624.52403935185</v>
      </c>
      <c r="C84" s="1" t="n">
        <v>45904</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45904</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34458-2023</t>
        </is>
      </c>
      <c r="B86" s="1" t="n">
        <v>45139</v>
      </c>
      <c r="C86" s="1" t="n">
        <v>45904</v>
      </c>
      <c r="D86" t="inlineStr">
        <is>
          <t>STOCKHOLMS LÄN</t>
        </is>
      </c>
      <c r="E86" t="inlineStr">
        <is>
          <t>VALLENTUNA</t>
        </is>
      </c>
      <c r="G86" t="n">
        <v>2.5</v>
      </c>
      <c r="H86" t="n">
        <v>0</v>
      </c>
      <c r="I86" t="n">
        <v>0</v>
      </c>
      <c r="J86" t="n">
        <v>0</v>
      </c>
      <c r="K86" t="n">
        <v>0</v>
      </c>
      <c r="L86" t="n">
        <v>0</v>
      </c>
      <c r="M86" t="n">
        <v>0</v>
      </c>
      <c r="N86" t="n">
        <v>0</v>
      </c>
      <c r="O86" t="n">
        <v>0</v>
      </c>
      <c r="P86" t="n">
        <v>0</v>
      </c>
      <c r="Q86" t="n">
        <v>0</v>
      </c>
      <c r="R86" s="2" t="inlineStr"/>
    </row>
    <row r="87" ht="15" customHeight="1">
      <c r="A87" t="inlineStr">
        <is>
          <t>A 24068-2024</t>
        </is>
      </c>
      <c r="B87" s="1" t="n">
        <v>45456</v>
      </c>
      <c r="C87" s="1" t="n">
        <v>45904</v>
      </c>
      <c r="D87" t="inlineStr">
        <is>
          <t>STOCKHOLMS LÄN</t>
        </is>
      </c>
      <c r="E87" t="inlineStr">
        <is>
          <t>VALLENTUNA</t>
        </is>
      </c>
      <c r="G87" t="n">
        <v>7.4</v>
      </c>
      <c r="H87" t="n">
        <v>0</v>
      </c>
      <c r="I87" t="n">
        <v>0</v>
      </c>
      <c r="J87" t="n">
        <v>0</v>
      </c>
      <c r="K87" t="n">
        <v>0</v>
      </c>
      <c r="L87" t="n">
        <v>0</v>
      </c>
      <c r="M87" t="n">
        <v>0</v>
      </c>
      <c r="N87" t="n">
        <v>0</v>
      </c>
      <c r="O87" t="n">
        <v>0</v>
      </c>
      <c r="P87" t="n">
        <v>0</v>
      </c>
      <c r="Q87" t="n">
        <v>0</v>
      </c>
      <c r="R87" s="2" t="inlineStr"/>
    </row>
    <row r="88" ht="15" customHeight="1">
      <c r="A88" t="inlineStr">
        <is>
          <t>A 61655-2020</t>
        </is>
      </c>
      <c r="B88" s="1" t="n">
        <v>44158</v>
      </c>
      <c r="C88" s="1" t="n">
        <v>45904</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17342-2025</t>
        </is>
      </c>
      <c r="B89" s="1" t="n">
        <v>45756</v>
      </c>
      <c r="C89" s="1" t="n">
        <v>45904</v>
      </c>
      <c r="D89" t="inlineStr">
        <is>
          <t>STOCKHOLMS LÄN</t>
        </is>
      </c>
      <c r="E89" t="inlineStr">
        <is>
          <t>VALLENTUNA</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45904</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14480-2024</t>
        </is>
      </c>
      <c r="B91" s="1" t="n">
        <v>45394.56777777777</v>
      </c>
      <c r="C91" s="1" t="n">
        <v>45904</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3937-2022</t>
        </is>
      </c>
      <c r="B92" s="1" t="n">
        <v>44587</v>
      </c>
      <c r="C92" s="1" t="n">
        <v>45904</v>
      </c>
      <c r="D92" t="inlineStr">
        <is>
          <t>STOCKHOLMS LÄN</t>
        </is>
      </c>
      <c r="E92" t="inlineStr">
        <is>
          <t>VALLENTUNA</t>
        </is>
      </c>
      <c r="G92" t="n">
        <v>6.6</v>
      </c>
      <c r="H92" t="n">
        <v>0</v>
      </c>
      <c r="I92" t="n">
        <v>0</v>
      </c>
      <c r="J92" t="n">
        <v>0</v>
      </c>
      <c r="K92" t="n">
        <v>0</v>
      </c>
      <c r="L92" t="n">
        <v>0</v>
      </c>
      <c r="M92" t="n">
        <v>0</v>
      </c>
      <c r="N92" t="n">
        <v>0</v>
      </c>
      <c r="O92" t="n">
        <v>0</v>
      </c>
      <c r="P92" t="n">
        <v>0</v>
      </c>
      <c r="Q92" t="n">
        <v>0</v>
      </c>
      <c r="R92" s="2" t="inlineStr"/>
    </row>
    <row r="93" ht="15" customHeight="1">
      <c r="A93" t="inlineStr">
        <is>
          <t>A 17340-2025</t>
        </is>
      </c>
      <c r="B93" s="1" t="n">
        <v>45756</v>
      </c>
      <c r="C93" s="1" t="n">
        <v>45904</v>
      </c>
      <c r="D93" t="inlineStr">
        <is>
          <t>STOCKHOLMS LÄN</t>
        </is>
      </c>
      <c r="E93" t="inlineStr">
        <is>
          <t>VALLENTUNA</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23013-2024</t>
        </is>
      </c>
      <c r="B94" s="1" t="n">
        <v>45450.35116898148</v>
      </c>
      <c r="C94" s="1" t="n">
        <v>45904</v>
      </c>
      <c r="D94" t="inlineStr">
        <is>
          <t>STOCKHOLMS LÄN</t>
        </is>
      </c>
      <c r="E94" t="inlineStr">
        <is>
          <t>VALLENTUNA</t>
        </is>
      </c>
      <c r="G94" t="n">
        <v>0.4</v>
      </c>
      <c r="H94" t="n">
        <v>0</v>
      </c>
      <c r="I94" t="n">
        <v>0</v>
      </c>
      <c r="J94" t="n">
        <v>0</v>
      </c>
      <c r="K94" t="n">
        <v>0</v>
      </c>
      <c r="L94" t="n">
        <v>0</v>
      </c>
      <c r="M94" t="n">
        <v>0</v>
      </c>
      <c r="N94" t="n">
        <v>0</v>
      </c>
      <c r="O94" t="n">
        <v>0</v>
      </c>
      <c r="P94" t="n">
        <v>0</v>
      </c>
      <c r="Q94" t="n">
        <v>0</v>
      </c>
      <c r="R94" s="2" t="inlineStr"/>
    </row>
    <row r="95" ht="15" customHeight="1">
      <c r="A95" t="inlineStr">
        <is>
          <t>A 3078-2023</t>
        </is>
      </c>
      <c r="B95" s="1" t="n">
        <v>44946.41527777778</v>
      </c>
      <c r="C95" s="1" t="n">
        <v>45904</v>
      </c>
      <c r="D95" t="inlineStr">
        <is>
          <t>STOCKHOLMS LÄN</t>
        </is>
      </c>
      <c r="E95" t="inlineStr">
        <is>
          <t>VALLENTUNA</t>
        </is>
      </c>
      <c r="G95" t="n">
        <v>3.9</v>
      </c>
      <c r="H95" t="n">
        <v>0</v>
      </c>
      <c r="I95" t="n">
        <v>0</v>
      </c>
      <c r="J95" t="n">
        <v>0</v>
      </c>
      <c r="K95" t="n">
        <v>0</v>
      </c>
      <c r="L95" t="n">
        <v>0</v>
      </c>
      <c r="M95" t="n">
        <v>0</v>
      </c>
      <c r="N95" t="n">
        <v>0</v>
      </c>
      <c r="O95" t="n">
        <v>0</v>
      </c>
      <c r="P95" t="n">
        <v>0</v>
      </c>
      <c r="Q95" t="n">
        <v>0</v>
      </c>
      <c r="R95" s="2" t="inlineStr"/>
    </row>
    <row r="96" ht="15" customHeight="1">
      <c r="A96" t="inlineStr">
        <is>
          <t>A 30902-2025</t>
        </is>
      </c>
      <c r="B96" s="1" t="n">
        <v>45832.36104166666</v>
      </c>
      <c r="C96" s="1" t="n">
        <v>45904</v>
      </c>
      <c r="D96" t="inlineStr">
        <is>
          <t>STOCKHOLMS LÄN</t>
        </is>
      </c>
      <c r="E96" t="inlineStr">
        <is>
          <t>VALLENTUNA</t>
        </is>
      </c>
      <c r="G96" t="n">
        <v>8.199999999999999</v>
      </c>
      <c r="H96" t="n">
        <v>0</v>
      </c>
      <c r="I96" t="n">
        <v>0</v>
      </c>
      <c r="J96" t="n">
        <v>0</v>
      </c>
      <c r="K96" t="n">
        <v>0</v>
      </c>
      <c r="L96" t="n">
        <v>0</v>
      </c>
      <c r="M96" t="n">
        <v>0</v>
      </c>
      <c r="N96" t="n">
        <v>0</v>
      </c>
      <c r="O96" t="n">
        <v>0</v>
      </c>
      <c r="P96" t="n">
        <v>0</v>
      </c>
      <c r="Q96" t="n">
        <v>0</v>
      </c>
      <c r="R96" s="2" t="inlineStr"/>
    </row>
    <row r="97" ht="15" customHeight="1">
      <c r="A97" t="inlineStr">
        <is>
          <t>A 30913-2021</t>
        </is>
      </c>
      <c r="B97" s="1" t="n">
        <v>44365</v>
      </c>
      <c r="C97" s="1" t="n">
        <v>45904</v>
      </c>
      <c r="D97" t="inlineStr">
        <is>
          <t>STOCKHOLMS LÄN</t>
        </is>
      </c>
      <c r="E97" t="inlineStr">
        <is>
          <t>VALLENTUNA</t>
        </is>
      </c>
      <c r="F97" t="inlineStr">
        <is>
          <t>Övriga Aktiebolag</t>
        </is>
      </c>
      <c r="G97" t="n">
        <v>3.3</v>
      </c>
      <c r="H97" t="n">
        <v>0</v>
      </c>
      <c r="I97" t="n">
        <v>0</v>
      </c>
      <c r="J97" t="n">
        <v>0</v>
      </c>
      <c r="K97" t="n">
        <v>0</v>
      </c>
      <c r="L97" t="n">
        <v>0</v>
      </c>
      <c r="M97" t="n">
        <v>0</v>
      </c>
      <c r="N97" t="n">
        <v>0</v>
      </c>
      <c r="O97" t="n">
        <v>0</v>
      </c>
      <c r="P97" t="n">
        <v>0</v>
      </c>
      <c r="Q97" t="n">
        <v>0</v>
      </c>
      <c r="R97" s="2" t="inlineStr"/>
    </row>
    <row r="98" ht="15" customHeight="1">
      <c r="A98" t="inlineStr">
        <is>
          <t>A 45496-2023</t>
        </is>
      </c>
      <c r="B98" s="1" t="n">
        <v>45194</v>
      </c>
      <c r="C98" s="1" t="n">
        <v>45904</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6593-2021</t>
        </is>
      </c>
      <c r="B99" s="1" t="n">
        <v>44236</v>
      </c>
      <c r="C99" s="1" t="n">
        <v>45904</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29704-2023</t>
        </is>
      </c>
      <c r="B100" s="1" t="n">
        <v>45107</v>
      </c>
      <c r="C100" s="1" t="n">
        <v>45904</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19503-2023</t>
        </is>
      </c>
      <c r="B101" s="1" t="n">
        <v>45050.47333333334</v>
      </c>
      <c r="C101" s="1" t="n">
        <v>45904</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45382.8109375</v>
      </c>
      <c r="C102" s="1" t="n">
        <v>45904</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28431-2025</t>
        </is>
      </c>
      <c r="B103" s="1" t="n">
        <v>45819.38072916667</v>
      </c>
      <c r="C103" s="1" t="n">
        <v>45904</v>
      </c>
      <c r="D103" t="inlineStr">
        <is>
          <t>STOCKHOLMS LÄN</t>
        </is>
      </c>
      <c r="E103" t="inlineStr">
        <is>
          <t>VALLENTUNA</t>
        </is>
      </c>
      <c r="G103" t="n">
        <v>1.5</v>
      </c>
      <c r="H103" t="n">
        <v>0</v>
      </c>
      <c r="I103" t="n">
        <v>0</v>
      </c>
      <c r="J103" t="n">
        <v>0</v>
      </c>
      <c r="K103" t="n">
        <v>0</v>
      </c>
      <c r="L103" t="n">
        <v>0</v>
      </c>
      <c r="M103" t="n">
        <v>0</v>
      </c>
      <c r="N103" t="n">
        <v>0</v>
      </c>
      <c r="O103" t="n">
        <v>0</v>
      </c>
      <c r="P103" t="n">
        <v>0</v>
      </c>
      <c r="Q103" t="n">
        <v>0</v>
      </c>
      <c r="R103" s="2" t="inlineStr"/>
    </row>
    <row r="104" ht="15" customHeight="1">
      <c r="A104" t="inlineStr">
        <is>
          <t>A 21612-2021</t>
        </is>
      </c>
      <c r="B104" s="1" t="n">
        <v>44321</v>
      </c>
      <c r="C104" s="1" t="n">
        <v>45904</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13836-2022</t>
        </is>
      </c>
      <c r="B105" s="1" t="n">
        <v>44649</v>
      </c>
      <c r="C105" s="1" t="n">
        <v>45904</v>
      </c>
      <c r="D105" t="inlineStr">
        <is>
          <t>STOCKHOLMS LÄN</t>
        </is>
      </c>
      <c r="E105" t="inlineStr">
        <is>
          <t>VALLENTUNA</t>
        </is>
      </c>
      <c r="G105" t="n">
        <v>3.5</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45904</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45904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38102-2024</t>
        </is>
      </c>
      <c r="B108" s="1" t="n">
        <v>45545.36349537037</v>
      </c>
      <c r="C108" s="1" t="n">
        <v>45904</v>
      </c>
      <c r="D108" t="inlineStr">
        <is>
          <t>STOCKHOLMS LÄN</t>
        </is>
      </c>
      <c r="E108" t="inlineStr">
        <is>
          <t>VALLENTUNA</t>
        </is>
      </c>
      <c r="G108" t="n">
        <v>3.2</v>
      </c>
      <c r="H108" t="n">
        <v>0</v>
      </c>
      <c r="I108" t="n">
        <v>0</v>
      </c>
      <c r="J108" t="n">
        <v>0</v>
      </c>
      <c r="K108" t="n">
        <v>0</v>
      </c>
      <c r="L108" t="n">
        <v>0</v>
      </c>
      <c r="M108" t="n">
        <v>0</v>
      </c>
      <c r="N108" t="n">
        <v>0</v>
      </c>
      <c r="O108" t="n">
        <v>0</v>
      </c>
      <c r="P108" t="n">
        <v>0</v>
      </c>
      <c r="Q108" t="n">
        <v>0</v>
      </c>
      <c r="R108" s="2" t="inlineStr"/>
    </row>
    <row r="109" ht="15" customHeight="1">
      <c r="A109" t="inlineStr">
        <is>
          <t>A 4804-2024</t>
        </is>
      </c>
      <c r="B109" s="1" t="n">
        <v>45328</v>
      </c>
      <c r="C109" s="1" t="n">
        <v>45904</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41206-2025</t>
        </is>
      </c>
      <c r="B110" s="1" t="n">
        <v>45898</v>
      </c>
      <c r="C110" s="1" t="n">
        <v>45904</v>
      </c>
      <c r="D110" t="inlineStr">
        <is>
          <t>STOCKHOLMS LÄN</t>
        </is>
      </c>
      <c r="E110" t="inlineStr">
        <is>
          <t>VALLENTUNA</t>
        </is>
      </c>
      <c r="G110" t="n">
        <v>10</v>
      </c>
      <c r="H110" t="n">
        <v>0</v>
      </c>
      <c r="I110" t="n">
        <v>0</v>
      </c>
      <c r="J110" t="n">
        <v>0</v>
      </c>
      <c r="K110" t="n">
        <v>0</v>
      </c>
      <c r="L110" t="n">
        <v>0</v>
      </c>
      <c r="M110" t="n">
        <v>0</v>
      </c>
      <c r="N110" t="n">
        <v>0</v>
      </c>
      <c r="O110" t="n">
        <v>0</v>
      </c>
      <c r="P110" t="n">
        <v>0</v>
      </c>
      <c r="Q110" t="n">
        <v>0</v>
      </c>
      <c r="R110" s="2" t="inlineStr"/>
    </row>
    <row r="111" ht="15" customHeight="1">
      <c r="A111" t="inlineStr">
        <is>
          <t>A 12234-2022</t>
        </is>
      </c>
      <c r="B111" s="1" t="n">
        <v>44637</v>
      </c>
      <c r="C111" s="1" t="n">
        <v>45904</v>
      </c>
      <c r="D111" t="inlineStr">
        <is>
          <t>STOCKHOLMS LÄN</t>
        </is>
      </c>
      <c r="E111" t="inlineStr">
        <is>
          <t>VALLENTUNA</t>
        </is>
      </c>
      <c r="G111" t="n">
        <v>2.4</v>
      </c>
      <c r="H111" t="n">
        <v>0</v>
      </c>
      <c r="I111" t="n">
        <v>0</v>
      </c>
      <c r="J111" t="n">
        <v>0</v>
      </c>
      <c r="K111" t="n">
        <v>0</v>
      </c>
      <c r="L111" t="n">
        <v>0</v>
      </c>
      <c r="M111" t="n">
        <v>0</v>
      </c>
      <c r="N111" t="n">
        <v>0</v>
      </c>
      <c r="O111" t="n">
        <v>0</v>
      </c>
      <c r="P111" t="n">
        <v>0</v>
      </c>
      <c r="Q111" t="n">
        <v>0</v>
      </c>
      <c r="R111" s="2" t="inlineStr"/>
    </row>
    <row r="112" ht="15" customHeight="1">
      <c r="A112" t="inlineStr">
        <is>
          <t>A 27868-2025</t>
        </is>
      </c>
      <c r="B112" s="1" t="n">
        <v>45817</v>
      </c>
      <c r="C112" s="1" t="n">
        <v>45904</v>
      </c>
      <c r="D112" t="inlineStr">
        <is>
          <t>STOCKHOLMS LÄN</t>
        </is>
      </c>
      <c r="E112" t="inlineStr">
        <is>
          <t>VALLENTUNA</t>
        </is>
      </c>
      <c r="G112" t="n">
        <v>2.2</v>
      </c>
      <c r="H112" t="n">
        <v>0</v>
      </c>
      <c r="I112" t="n">
        <v>0</v>
      </c>
      <c r="J112" t="n">
        <v>0</v>
      </c>
      <c r="K112" t="n">
        <v>0</v>
      </c>
      <c r="L112" t="n">
        <v>0</v>
      </c>
      <c r="M112" t="n">
        <v>0</v>
      </c>
      <c r="N112" t="n">
        <v>0</v>
      </c>
      <c r="O112" t="n">
        <v>0</v>
      </c>
      <c r="P112" t="n">
        <v>0</v>
      </c>
      <c r="Q112" t="n">
        <v>0</v>
      </c>
      <c r="R112" s="2" t="inlineStr"/>
    </row>
    <row r="113" ht="15" customHeight="1">
      <c r="A113" t="inlineStr">
        <is>
          <t>A 48717-2024</t>
        </is>
      </c>
      <c r="B113" s="1" t="n">
        <v>45593</v>
      </c>
      <c r="C113" s="1" t="n">
        <v>45904</v>
      </c>
      <c r="D113" t="inlineStr">
        <is>
          <t>STOCKHOLMS LÄN</t>
        </is>
      </c>
      <c r="E113" t="inlineStr">
        <is>
          <t>VALLENTUNA</t>
        </is>
      </c>
      <c r="G113" t="n">
        <v>6.2</v>
      </c>
      <c r="H113" t="n">
        <v>0</v>
      </c>
      <c r="I113" t="n">
        <v>0</v>
      </c>
      <c r="J113" t="n">
        <v>0</v>
      </c>
      <c r="K113" t="n">
        <v>0</v>
      </c>
      <c r="L113" t="n">
        <v>0</v>
      </c>
      <c r="M113" t="n">
        <v>0</v>
      </c>
      <c r="N113" t="n">
        <v>0</v>
      </c>
      <c r="O113" t="n">
        <v>0</v>
      </c>
      <c r="P113" t="n">
        <v>0</v>
      </c>
      <c r="Q113" t="n">
        <v>0</v>
      </c>
      <c r="R113" s="2" t="inlineStr"/>
    </row>
    <row r="114" ht="15" customHeight="1">
      <c r="A114" t="inlineStr">
        <is>
          <t>A 24943-2024</t>
        </is>
      </c>
      <c r="B114" s="1" t="n">
        <v>45461.62585648148</v>
      </c>
      <c r="C114" s="1" t="n">
        <v>45904</v>
      </c>
      <c r="D114" t="inlineStr">
        <is>
          <t>STOCKHOLMS LÄN</t>
        </is>
      </c>
      <c r="E114" t="inlineStr">
        <is>
          <t>VALLENTUNA</t>
        </is>
      </c>
      <c r="G114" t="n">
        <v>2</v>
      </c>
      <c r="H114" t="n">
        <v>0</v>
      </c>
      <c r="I114" t="n">
        <v>0</v>
      </c>
      <c r="J114" t="n">
        <v>0</v>
      </c>
      <c r="K114" t="n">
        <v>0</v>
      </c>
      <c r="L114" t="n">
        <v>0</v>
      </c>
      <c r="M114" t="n">
        <v>0</v>
      </c>
      <c r="N114" t="n">
        <v>0</v>
      </c>
      <c r="O114" t="n">
        <v>0</v>
      </c>
      <c r="P114" t="n">
        <v>0</v>
      </c>
      <c r="Q114" t="n">
        <v>0</v>
      </c>
      <c r="R114" s="2" t="inlineStr"/>
    </row>
    <row r="115" ht="15" customHeight="1">
      <c r="A115" t="inlineStr">
        <is>
          <t>A 24707-2023</t>
        </is>
      </c>
      <c r="B115" s="1" t="n">
        <v>45084</v>
      </c>
      <c r="C115" s="1" t="n">
        <v>45904</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62402-2022</t>
        </is>
      </c>
      <c r="B116" s="1" t="n">
        <v>44923</v>
      </c>
      <c r="C116" s="1" t="n">
        <v>45904</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45904</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24994-2021</t>
        </is>
      </c>
      <c r="B118" s="1" t="n">
        <v>44341</v>
      </c>
      <c r="C118" s="1" t="n">
        <v>45904</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22683-2023</t>
        </is>
      </c>
      <c r="B119" s="1" t="n">
        <v>45071</v>
      </c>
      <c r="C119" s="1" t="n">
        <v>45904</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60795-2023</t>
        </is>
      </c>
      <c r="B120" s="1" t="n">
        <v>45260</v>
      </c>
      <c r="C120" s="1" t="n">
        <v>45904</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45904</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17411-2023</t>
        </is>
      </c>
      <c r="B122" s="1" t="n">
        <v>45035.82512731481</v>
      </c>
      <c r="C122" s="1" t="n">
        <v>45904</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1385-2024</t>
        </is>
      </c>
      <c r="B123" s="1" t="n">
        <v>45303</v>
      </c>
      <c r="C123" s="1" t="n">
        <v>45904</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14775-2024</t>
        </is>
      </c>
      <c r="B124" s="1" t="n">
        <v>45397.73675925926</v>
      </c>
      <c r="C124" s="1" t="n">
        <v>45904</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8565-2025</t>
        </is>
      </c>
      <c r="B125" s="1" t="n">
        <v>45709</v>
      </c>
      <c r="C125" s="1" t="n">
        <v>45904</v>
      </c>
      <c r="D125" t="inlineStr">
        <is>
          <t>STOCKHOLMS LÄN</t>
        </is>
      </c>
      <c r="E125" t="inlineStr">
        <is>
          <t>VALLENTUNA</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8787-2024</t>
        </is>
      </c>
      <c r="B126" s="1" t="n">
        <v>45356</v>
      </c>
      <c r="C126" s="1" t="n">
        <v>45904</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45904</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45904</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52562-2023</t>
        </is>
      </c>
      <c r="B129" s="1" t="n">
        <v>45225</v>
      </c>
      <c r="C129" s="1" t="n">
        <v>45904</v>
      </c>
      <c r="D129" t="inlineStr">
        <is>
          <t>STOCKHOLMS LÄN</t>
        </is>
      </c>
      <c r="E129" t="inlineStr">
        <is>
          <t>VALLENTUNA</t>
        </is>
      </c>
      <c r="G129" t="n">
        <v>3.4</v>
      </c>
      <c r="H129" t="n">
        <v>0</v>
      </c>
      <c r="I129" t="n">
        <v>0</v>
      </c>
      <c r="J129" t="n">
        <v>0</v>
      </c>
      <c r="K129" t="n">
        <v>0</v>
      </c>
      <c r="L129" t="n">
        <v>0</v>
      </c>
      <c r="M129" t="n">
        <v>0</v>
      </c>
      <c r="N129" t="n">
        <v>0</v>
      </c>
      <c r="O129" t="n">
        <v>0</v>
      </c>
      <c r="P129" t="n">
        <v>0</v>
      </c>
      <c r="Q129" t="n">
        <v>0</v>
      </c>
      <c r="R129" s="2" t="inlineStr"/>
    </row>
    <row r="130" ht="15" customHeight="1">
      <c r="A130" t="inlineStr">
        <is>
          <t>A 49530-2023</t>
        </is>
      </c>
      <c r="B130" s="1" t="n">
        <v>45205</v>
      </c>
      <c r="C130" s="1" t="n">
        <v>45904</v>
      </c>
      <c r="D130" t="inlineStr">
        <is>
          <t>STOCKHOLMS LÄN</t>
        </is>
      </c>
      <c r="E130" t="inlineStr">
        <is>
          <t>VALLENTUNA</t>
        </is>
      </c>
      <c r="G130" t="n">
        <v>1.2</v>
      </c>
      <c r="H130" t="n">
        <v>0</v>
      </c>
      <c r="I130" t="n">
        <v>0</v>
      </c>
      <c r="J130" t="n">
        <v>0</v>
      </c>
      <c r="K130" t="n">
        <v>0</v>
      </c>
      <c r="L130" t="n">
        <v>0</v>
      </c>
      <c r="M130" t="n">
        <v>0</v>
      </c>
      <c r="N130" t="n">
        <v>0</v>
      </c>
      <c r="O130" t="n">
        <v>0</v>
      </c>
      <c r="P130" t="n">
        <v>0</v>
      </c>
      <c r="Q130" t="n">
        <v>0</v>
      </c>
      <c r="R130" s="2" t="inlineStr"/>
    </row>
    <row r="131" ht="15" customHeight="1">
      <c r="A131" t="inlineStr">
        <is>
          <t>A 52542-2023</t>
        </is>
      </c>
      <c r="B131" s="1" t="n">
        <v>45225</v>
      </c>
      <c r="C131" s="1" t="n">
        <v>45904</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2318-2024</t>
        </is>
      </c>
      <c r="B132" s="1" t="n">
        <v>45310</v>
      </c>
      <c r="C132" s="1" t="n">
        <v>45904</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7264-2022</t>
        </is>
      </c>
      <c r="B133" s="1" t="n">
        <v>44606</v>
      </c>
      <c r="C133" s="1" t="n">
        <v>45904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9063-2024</t>
        </is>
      </c>
      <c r="B134" s="1" t="n">
        <v>45357.72652777778</v>
      </c>
      <c r="C134" s="1" t="n">
        <v>45904</v>
      </c>
      <c r="D134" t="inlineStr">
        <is>
          <t>STOCKHOLMS LÄN</t>
        </is>
      </c>
      <c r="E134" t="inlineStr">
        <is>
          <t>VALLENTUNA</t>
        </is>
      </c>
      <c r="G134" t="n">
        <v>4.1</v>
      </c>
      <c r="H134" t="n">
        <v>0</v>
      </c>
      <c r="I134" t="n">
        <v>0</v>
      </c>
      <c r="J134" t="n">
        <v>0</v>
      </c>
      <c r="K134" t="n">
        <v>0</v>
      </c>
      <c r="L134" t="n">
        <v>0</v>
      </c>
      <c r="M134" t="n">
        <v>0</v>
      </c>
      <c r="N134" t="n">
        <v>0</v>
      </c>
      <c r="O134" t="n">
        <v>0</v>
      </c>
      <c r="P134" t="n">
        <v>0</v>
      </c>
      <c r="Q134" t="n">
        <v>0</v>
      </c>
      <c r="R134" s="2" t="inlineStr"/>
    </row>
    <row r="135" ht="15" customHeight="1">
      <c r="A135" t="inlineStr">
        <is>
          <t>A 21445-2023</t>
        </is>
      </c>
      <c r="B135" s="1" t="n">
        <v>45063</v>
      </c>
      <c r="C135" s="1" t="n">
        <v>45904</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14485-2024</t>
        </is>
      </c>
      <c r="B136" s="1" t="n">
        <v>45394.57304398148</v>
      </c>
      <c r="C136" s="1" t="n">
        <v>45904</v>
      </c>
      <c r="D136" t="inlineStr">
        <is>
          <t>STOCKHOLMS LÄN</t>
        </is>
      </c>
      <c r="E136" t="inlineStr">
        <is>
          <t>VALLENTUNA</t>
        </is>
      </c>
      <c r="G136" t="n">
        <v>5.1</v>
      </c>
      <c r="H136" t="n">
        <v>0</v>
      </c>
      <c r="I136" t="n">
        <v>0</v>
      </c>
      <c r="J136" t="n">
        <v>0</v>
      </c>
      <c r="K136" t="n">
        <v>0</v>
      </c>
      <c r="L136" t="n">
        <v>0</v>
      </c>
      <c r="M136" t="n">
        <v>0</v>
      </c>
      <c r="N136" t="n">
        <v>0</v>
      </c>
      <c r="O136" t="n">
        <v>0</v>
      </c>
      <c r="P136" t="n">
        <v>0</v>
      </c>
      <c r="Q136" t="n">
        <v>0</v>
      </c>
      <c r="R136" s="2" t="inlineStr"/>
    </row>
    <row r="137" ht="15" customHeight="1">
      <c r="A137" t="inlineStr">
        <is>
          <t>A 19356-2025</t>
        </is>
      </c>
      <c r="B137" s="1" t="n">
        <v>45769.62061342593</v>
      </c>
      <c r="C137" s="1" t="n">
        <v>45904</v>
      </c>
      <c r="D137" t="inlineStr">
        <is>
          <t>STOCKHOLMS LÄN</t>
        </is>
      </c>
      <c r="E137" t="inlineStr">
        <is>
          <t>VALLENTUNA</t>
        </is>
      </c>
      <c r="F137" t="inlineStr">
        <is>
          <t>Övriga Aktiebolag</t>
        </is>
      </c>
      <c r="G137" t="n">
        <v>1.6</v>
      </c>
      <c r="H137" t="n">
        <v>0</v>
      </c>
      <c r="I137" t="n">
        <v>0</v>
      </c>
      <c r="J137" t="n">
        <v>0</v>
      </c>
      <c r="K137" t="n">
        <v>0</v>
      </c>
      <c r="L137" t="n">
        <v>0</v>
      </c>
      <c r="M137" t="n">
        <v>0</v>
      </c>
      <c r="N137" t="n">
        <v>0</v>
      </c>
      <c r="O137" t="n">
        <v>0</v>
      </c>
      <c r="P137" t="n">
        <v>0</v>
      </c>
      <c r="Q137" t="n">
        <v>0</v>
      </c>
      <c r="R137" s="2" t="inlineStr"/>
    </row>
    <row r="138" ht="15" customHeight="1">
      <c r="A138" t="inlineStr">
        <is>
          <t>A 11950-2025</t>
        </is>
      </c>
      <c r="B138" s="1" t="n">
        <v>45728.55622685186</v>
      </c>
      <c r="C138" s="1" t="n">
        <v>45904</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34441-2023</t>
        </is>
      </c>
      <c r="B139" s="1" t="n">
        <v>45139</v>
      </c>
      <c r="C139" s="1" t="n">
        <v>45904</v>
      </c>
      <c r="D139" t="inlineStr">
        <is>
          <t>STOCKHOLMS LÄN</t>
        </is>
      </c>
      <c r="E139" t="inlineStr">
        <is>
          <t>VALLENTUNA</t>
        </is>
      </c>
      <c r="G139" t="n">
        <v>1.6</v>
      </c>
      <c r="H139" t="n">
        <v>0</v>
      </c>
      <c r="I139" t="n">
        <v>0</v>
      </c>
      <c r="J139" t="n">
        <v>0</v>
      </c>
      <c r="K139" t="n">
        <v>0</v>
      </c>
      <c r="L139" t="n">
        <v>0</v>
      </c>
      <c r="M139" t="n">
        <v>0</v>
      </c>
      <c r="N139" t="n">
        <v>0</v>
      </c>
      <c r="O139" t="n">
        <v>0</v>
      </c>
      <c r="P139" t="n">
        <v>0</v>
      </c>
      <c r="Q139" t="n">
        <v>0</v>
      </c>
      <c r="R139" s="2" t="inlineStr"/>
    </row>
    <row r="140" ht="15" customHeight="1">
      <c r="A140" t="inlineStr">
        <is>
          <t>A 34445-2023</t>
        </is>
      </c>
      <c r="B140" s="1" t="n">
        <v>45139</v>
      </c>
      <c r="C140" s="1" t="n">
        <v>45904</v>
      </c>
      <c r="D140" t="inlineStr">
        <is>
          <t>STOCKHOLMS LÄN</t>
        </is>
      </c>
      <c r="E140" t="inlineStr">
        <is>
          <t>VALLENTUNA</t>
        </is>
      </c>
      <c r="G140" t="n">
        <v>0.9</v>
      </c>
      <c r="H140" t="n">
        <v>0</v>
      </c>
      <c r="I140" t="n">
        <v>0</v>
      </c>
      <c r="J140" t="n">
        <v>0</v>
      </c>
      <c r="K140" t="n">
        <v>0</v>
      </c>
      <c r="L140" t="n">
        <v>0</v>
      </c>
      <c r="M140" t="n">
        <v>0</v>
      </c>
      <c r="N140" t="n">
        <v>0</v>
      </c>
      <c r="O140" t="n">
        <v>0</v>
      </c>
      <c r="P140" t="n">
        <v>0</v>
      </c>
      <c r="Q140" t="n">
        <v>0</v>
      </c>
      <c r="R140" s="2" t="inlineStr"/>
    </row>
    <row r="141">
      <c r="A141" t="inlineStr">
        <is>
          <t>A 34460-2023</t>
        </is>
      </c>
      <c r="B141" s="1" t="n">
        <v>45139</v>
      </c>
      <c r="C141" s="1" t="n">
        <v>45904</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2025-09-04T17:45:06Z</dcterms:created>
  <dcterms:modified xmlns:dcterms="http://purl.org/dc/terms/" xmlns:xsi="http://www.w3.org/2001/XMLSchema-instance" xsi:type="dcterms:W3CDTF">2025-09-04T17:45:06Z</dcterms:modified>
</cp:coreProperties>
</file>