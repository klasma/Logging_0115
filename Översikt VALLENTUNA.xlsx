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46201</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46201</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46201</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46201</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46201</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46201</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46201</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46201</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46201</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62402-2022</t>
        </is>
      </c>
      <c r="B11" s="1" t="n">
        <v>44923</v>
      </c>
      <c r="C11" s="1" t="n">
        <v>46201</v>
      </c>
      <c r="D11" t="inlineStr">
        <is>
          <t>STOCKHOLMS LÄN</t>
        </is>
      </c>
      <c r="E11" t="inlineStr">
        <is>
          <t>VALLENTUNA</t>
        </is>
      </c>
      <c r="G11" t="n">
        <v>3.8</v>
      </c>
      <c r="H11" t="n">
        <v>0</v>
      </c>
      <c r="I11" t="n">
        <v>2</v>
      </c>
      <c r="J11" t="n">
        <v>4</v>
      </c>
      <c r="K11" t="n">
        <v>0</v>
      </c>
      <c r="L11" t="n">
        <v>0</v>
      </c>
      <c r="M11" t="n">
        <v>0</v>
      </c>
      <c r="N11" t="n">
        <v>0</v>
      </c>
      <c r="O11" t="n">
        <v>4</v>
      </c>
      <c r="P11" t="n">
        <v>0</v>
      </c>
      <c r="Q11" t="n">
        <v>6</v>
      </c>
      <c r="R11" s="2" t="inlineStr">
        <is>
          <t>Denisespindling
Kryddspindling
Motaggsvamp
Orange taggsvamp
Anisspindling
Brandticka</t>
        </is>
      </c>
      <c r="S11">
        <f>HYPERLINK("https://klasma.github.io/Logging_0115/artfynd/A 62402-2022 artfynd.xlsx", "A 62402-2022")</f>
        <v/>
      </c>
      <c r="T11">
        <f>HYPERLINK("https://klasma.github.io/Logging_0115/kartor/A 62402-2022 karta.png", "A 62402-2022")</f>
        <v/>
      </c>
      <c r="V11">
        <f>HYPERLINK("https://klasma.github.io/Logging_0115/klagomål/A 62402-2022 FSC-klagomål.docx", "A 62402-2022")</f>
        <v/>
      </c>
      <c r="W11">
        <f>HYPERLINK("https://klasma.github.io/Logging_0115/klagomålsmail/A 62402-2022 FSC-klagomål mail.docx", "A 62402-2022")</f>
        <v/>
      </c>
      <c r="X11">
        <f>HYPERLINK("https://klasma.github.io/Logging_0115/tillsyn/A 62402-2022 tillsynsbegäran.docx", "A 62402-2022")</f>
        <v/>
      </c>
      <c r="Y11">
        <f>HYPERLINK("https://klasma.github.io/Logging_0115/tillsynsmail/A 62402-2022 tillsynsbegäran mail.docx", "A 62402-2022")</f>
        <v/>
      </c>
    </row>
    <row r="12" ht="15" customHeight="1">
      <c r="A12" t="inlineStr">
        <is>
          <t>A 8500-2022</t>
        </is>
      </c>
      <c r="B12" s="1" t="n">
        <v>44613</v>
      </c>
      <c r="C12" s="1" t="n">
        <v>46201</v>
      </c>
      <c r="D12" t="inlineStr">
        <is>
          <t>STOCKHOLMS LÄN</t>
        </is>
      </c>
      <c r="E12" t="inlineStr">
        <is>
          <t>VALLENTUNA</t>
        </is>
      </c>
      <c r="G12" t="n">
        <v>5</v>
      </c>
      <c r="H12" t="n">
        <v>2</v>
      </c>
      <c r="I12" t="n">
        <v>4</v>
      </c>
      <c r="J12" t="n">
        <v>0</v>
      </c>
      <c r="K12" t="n">
        <v>1</v>
      </c>
      <c r="L12" t="n">
        <v>0</v>
      </c>
      <c r="M12" t="n">
        <v>0</v>
      </c>
      <c r="N12" t="n">
        <v>0</v>
      </c>
      <c r="O12" t="n">
        <v>1</v>
      </c>
      <c r="P12" t="n">
        <v>1</v>
      </c>
      <c r="Q12" t="n">
        <v>6</v>
      </c>
      <c r="R12" s="2" t="inlineStr">
        <is>
          <t>Knärot
Björksplintborre
Blåmossa
Bronshjon
Vedticka
Spillkråka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17342-2025</t>
        </is>
      </c>
      <c r="B13" s="1" t="n">
        <v>45756</v>
      </c>
      <c r="C13" s="1" t="n">
        <v>46201</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9745-2022</t>
        </is>
      </c>
      <c r="B14" s="1" t="n">
        <v>44618</v>
      </c>
      <c r="C14" s="1" t="n">
        <v>46201</v>
      </c>
      <c r="D14" t="inlineStr">
        <is>
          <t>STOCKHOLMS LÄN</t>
        </is>
      </c>
      <c r="E14" t="inlineStr">
        <is>
          <t>VALLENTUNA</t>
        </is>
      </c>
      <c r="G14" t="n">
        <v>5.9</v>
      </c>
      <c r="H14" t="n">
        <v>1</v>
      </c>
      <c r="I14" t="n">
        <v>2</v>
      </c>
      <c r="J14" t="n">
        <v>0</v>
      </c>
      <c r="K14" t="n">
        <v>0</v>
      </c>
      <c r="L14" t="n">
        <v>0</v>
      </c>
      <c r="M14" t="n">
        <v>0</v>
      </c>
      <c r="N14" t="n">
        <v>0</v>
      </c>
      <c r="O14" t="n">
        <v>0</v>
      </c>
      <c r="P14" t="n">
        <v>0</v>
      </c>
      <c r="Q14" t="n">
        <v>3</v>
      </c>
      <c r="R14" s="2" t="inlineStr">
        <is>
          <t>Björksplintborre
Vedticka
Spillkråka</t>
        </is>
      </c>
      <c r="S14">
        <f>HYPERLINK("https://klasma.github.io/Logging_0115/artfynd/A 9745-2022 artfynd.xlsx", "A 9745-2022")</f>
        <v/>
      </c>
      <c r="T14">
        <f>HYPERLINK("https://klasma.github.io/Logging_0115/kartor/A 9745-2022 karta.png", "A 9745-2022")</f>
        <v/>
      </c>
      <c r="V14">
        <f>HYPERLINK("https://klasma.github.io/Logging_0115/klagomål/A 9745-2022 FSC-klagomål.docx", "A 9745-2022")</f>
        <v/>
      </c>
      <c r="W14">
        <f>HYPERLINK("https://klasma.github.io/Logging_0115/klagomålsmail/A 9745-2022 FSC-klagomål mail.docx", "A 9745-2022")</f>
        <v/>
      </c>
      <c r="X14">
        <f>HYPERLINK("https://klasma.github.io/Logging_0115/tillsyn/A 9745-2022 tillsynsbegäran.docx", "A 9745-2022")</f>
        <v/>
      </c>
      <c r="Y14">
        <f>HYPERLINK("https://klasma.github.io/Logging_0115/tillsynsmail/A 9745-2022 tillsynsbegäran mail.docx", "A 9745-2022")</f>
        <v/>
      </c>
      <c r="Z14">
        <f>HYPERLINK("https://klasma.github.io/Logging_0115/fåglar/A 9745-2022 prioriterade fågelarter.docx", "A 9745-2022")</f>
        <v/>
      </c>
    </row>
    <row r="15" ht="15" customHeight="1">
      <c r="A15" t="inlineStr">
        <is>
          <t>A 14508-2024</t>
        </is>
      </c>
      <c r="B15" s="1" t="n">
        <v>45394</v>
      </c>
      <c r="C15" s="1" t="n">
        <v>46201</v>
      </c>
      <c r="D15" t="inlineStr">
        <is>
          <t>STOCKHOLMS LÄN</t>
        </is>
      </c>
      <c r="E15" t="inlineStr">
        <is>
          <t>VALLENTUNA</t>
        </is>
      </c>
      <c r="G15" t="n">
        <v>1.7</v>
      </c>
      <c r="H15" t="n">
        <v>2</v>
      </c>
      <c r="I15" t="n">
        <v>0</v>
      </c>
      <c r="J15" t="n">
        <v>2</v>
      </c>
      <c r="K15" t="n">
        <v>1</v>
      </c>
      <c r="L15" t="n">
        <v>0</v>
      </c>
      <c r="M15" t="n">
        <v>0</v>
      </c>
      <c r="N15" t="n">
        <v>0</v>
      </c>
      <c r="O15" t="n">
        <v>3</v>
      </c>
      <c r="P15" t="n">
        <v>1</v>
      </c>
      <c r="Q15" t="n">
        <v>3</v>
      </c>
      <c r="R15" s="2" t="inlineStr">
        <is>
          <t>Hussvala
Berggräsfjäril
Mindre hackspett</t>
        </is>
      </c>
      <c r="S15">
        <f>HYPERLINK("https://klasma.github.io/Logging_0115/artfynd/A 14508-2024 artfynd.xlsx", "A 14508-2024")</f>
        <v/>
      </c>
      <c r="T15">
        <f>HYPERLINK("https://klasma.github.io/Logging_0115/kartor/A 14508-2024 karta.png", "A 14508-2024")</f>
        <v/>
      </c>
      <c r="V15">
        <f>HYPERLINK("https://klasma.github.io/Logging_0115/klagomål/A 14508-2024 FSC-klagomål.docx", "A 14508-2024")</f>
        <v/>
      </c>
      <c r="W15">
        <f>HYPERLINK("https://klasma.github.io/Logging_0115/klagomålsmail/A 14508-2024 FSC-klagomål mail.docx", "A 14508-2024")</f>
        <v/>
      </c>
      <c r="X15">
        <f>HYPERLINK("https://klasma.github.io/Logging_0115/tillsyn/A 14508-2024 tillsynsbegäran.docx", "A 14508-2024")</f>
        <v/>
      </c>
      <c r="Y15">
        <f>HYPERLINK("https://klasma.github.io/Logging_0115/tillsynsmail/A 14508-2024 tillsynsbegäran mail.docx", "A 14508-2024")</f>
        <v/>
      </c>
      <c r="Z15">
        <f>HYPERLINK("https://klasma.github.io/Logging_0115/fåglar/A 14508-2024 prioriterade fågelarter.docx", "A 14508-2024")</f>
        <v/>
      </c>
    </row>
    <row r="16" ht="15" customHeight="1">
      <c r="A16" t="inlineStr">
        <is>
          <t>A 34452-2021</t>
        </is>
      </c>
      <c r="B16" s="1" t="n">
        <v>44381</v>
      </c>
      <c r="C16" s="1" t="n">
        <v>46201</v>
      </c>
      <c r="D16" t="inlineStr">
        <is>
          <t>STOCKHOLMS LÄN</t>
        </is>
      </c>
      <c r="E16" t="inlineStr">
        <is>
          <t>VALLENTUNA</t>
        </is>
      </c>
      <c r="G16" t="n">
        <v>14.7</v>
      </c>
      <c r="H16" t="n">
        <v>0</v>
      </c>
      <c r="I16" t="n">
        <v>0</v>
      </c>
      <c r="J16" t="n">
        <v>0</v>
      </c>
      <c r="K16" t="n">
        <v>0</v>
      </c>
      <c r="L16" t="n">
        <v>0</v>
      </c>
      <c r="M16" t="n">
        <v>0</v>
      </c>
      <c r="N16" t="n">
        <v>0</v>
      </c>
      <c r="O16" t="n">
        <v>0</v>
      </c>
      <c r="P16" t="n">
        <v>0</v>
      </c>
      <c r="Q16" t="n">
        <v>3</v>
      </c>
      <c r="R16" s="2" t="inlineStr">
        <is>
          <t>Ekorrbär
Kärrviol
Skogsstjärna</t>
        </is>
      </c>
      <c r="S16">
        <f>HYPERLINK("https://klasma.github.io/Logging_0115/artfynd/A 34452-2021 artfynd.xlsx", "A 34452-2021")</f>
        <v/>
      </c>
      <c r="T16">
        <f>HYPERLINK("https://klasma.github.io/Logging_0115/kartor/A 34452-2021 karta.png", "A 34452-2021")</f>
        <v/>
      </c>
      <c r="V16">
        <f>HYPERLINK("https://klasma.github.io/Logging_0115/klagomål/A 34452-2021 FSC-klagomål.docx", "A 34452-2021")</f>
        <v/>
      </c>
      <c r="W16">
        <f>HYPERLINK("https://klasma.github.io/Logging_0115/klagomålsmail/A 34452-2021 FSC-klagomål mail.docx", "A 34452-2021")</f>
        <v/>
      </c>
      <c r="X16">
        <f>HYPERLINK("https://klasma.github.io/Logging_0115/tillsyn/A 34452-2021 tillsynsbegäran.docx", "A 34452-2021")</f>
        <v/>
      </c>
      <c r="Y16">
        <f>HYPERLINK("https://klasma.github.io/Logging_0115/tillsynsmail/A 34452-2021 tillsynsbegäran mail.docx", "A 34452-2021")</f>
        <v/>
      </c>
    </row>
    <row r="17" ht="15" customHeight="1">
      <c r="A17" t="inlineStr">
        <is>
          <t>A 37456-2023</t>
        </is>
      </c>
      <c r="B17" s="1" t="n">
        <v>45156</v>
      </c>
      <c r="C17" s="1" t="n">
        <v>46201</v>
      </c>
      <c r="D17" t="inlineStr">
        <is>
          <t>STOCKHOLMS LÄN</t>
        </is>
      </c>
      <c r="E17" t="inlineStr">
        <is>
          <t>VALLENTUNA</t>
        </is>
      </c>
      <c r="F17" t="inlineStr">
        <is>
          <t>Övriga Aktiebolag</t>
        </is>
      </c>
      <c r="G17" t="n">
        <v>3.3</v>
      </c>
      <c r="H17" t="n">
        <v>1</v>
      </c>
      <c r="I17" t="n">
        <v>0</v>
      </c>
      <c r="J17" t="n">
        <v>2</v>
      </c>
      <c r="K17" t="n">
        <v>0</v>
      </c>
      <c r="L17" t="n">
        <v>0</v>
      </c>
      <c r="M17" t="n">
        <v>0</v>
      </c>
      <c r="N17" t="n">
        <v>0</v>
      </c>
      <c r="O17" t="n">
        <v>2</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63543-2025</t>
        </is>
      </c>
      <c r="B18" s="1" t="n">
        <v>46013</v>
      </c>
      <c r="C18" s="1" t="n">
        <v>46201</v>
      </c>
      <c r="D18" t="inlineStr">
        <is>
          <t>STOCKHOLMS LÄN</t>
        </is>
      </c>
      <c r="E18" t="inlineStr">
        <is>
          <t>VALLENTUNA</t>
        </is>
      </c>
      <c r="G18" t="n">
        <v>3.4</v>
      </c>
      <c r="H18" t="n">
        <v>0</v>
      </c>
      <c r="I18" t="n">
        <v>1</v>
      </c>
      <c r="J18" t="n">
        <v>2</v>
      </c>
      <c r="K18" t="n">
        <v>0</v>
      </c>
      <c r="L18" t="n">
        <v>0</v>
      </c>
      <c r="M18" t="n">
        <v>0</v>
      </c>
      <c r="N18" t="n">
        <v>0</v>
      </c>
      <c r="O18" t="n">
        <v>2</v>
      </c>
      <c r="P18" t="n">
        <v>0</v>
      </c>
      <c r="Q18" t="n">
        <v>3</v>
      </c>
      <c r="R18" s="2" t="inlineStr">
        <is>
          <t>Tallticka
Vedskivlav
Björksplintborre</t>
        </is>
      </c>
      <c r="S18">
        <f>HYPERLINK("https://klasma.github.io/Logging_0115/artfynd/A 63543-2025 artfynd.xlsx", "A 63543-2025")</f>
        <v/>
      </c>
      <c r="T18">
        <f>HYPERLINK("https://klasma.github.io/Logging_0115/kartor/A 63543-2025 karta.png", "A 63543-2025")</f>
        <v/>
      </c>
      <c r="V18">
        <f>HYPERLINK("https://klasma.github.io/Logging_0115/klagomål/A 63543-2025 FSC-klagomål.docx", "A 63543-2025")</f>
        <v/>
      </c>
      <c r="W18">
        <f>HYPERLINK("https://klasma.github.io/Logging_0115/klagomålsmail/A 63543-2025 FSC-klagomål mail.docx", "A 63543-2025")</f>
        <v/>
      </c>
      <c r="X18">
        <f>HYPERLINK("https://klasma.github.io/Logging_0115/tillsyn/A 63543-2025 tillsynsbegäran.docx", "A 63543-2025")</f>
        <v/>
      </c>
      <c r="Y18">
        <f>HYPERLINK("https://klasma.github.io/Logging_0115/tillsynsmail/A 63543-2025 tillsynsbegäran mail.docx", "A 63543-2025")</f>
        <v/>
      </c>
    </row>
    <row r="19" ht="15" customHeight="1">
      <c r="A19" t="inlineStr">
        <is>
          <t>A 48717-2024</t>
        </is>
      </c>
      <c r="B19" s="1" t="n">
        <v>45593</v>
      </c>
      <c r="C19" s="1" t="n">
        <v>46201</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46201</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70608-2021</t>
        </is>
      </c>
      <c r="B21" s="1" t="n">
        <v>44536</v>
      </c>
      <c r="C21" s="1" t="n">
        <v>46201</v>
      </c>
      <c r="D21" t="inlineStr">
        <is>
          <t>STOCKHOLMS LÄN</t>
        </is>
      </c>
      <c r="E21" t="inlineStr">
        <is>
          <t>VALLENTUNA</t>
        </is>
      </c>
      <c r="G21" t="n">
        <v>10.4</v>
      </c>
      <c r="H21" t="n">
        <v>1</v>
      </c>
      <c r="I21" t="n">
        <v>1</v>
      </c>
      <c r="J21" t="n">
        <v>1</v>
      </c>
      <c r="K21" t="n">
        <v>0</v>
      </c>
      <c r="L21" t="n">
        <v>0</v>
      </c>
      <c r="M21" t="n">
        <v>0</v>
      </c>
      <c r="N21" t="n">
        <v>0</v>
      </c>
      <c r="O21" t="n">
        <v>1</v>
      </c>
      <c r="P21" t="n">
        <v>0</v>
      </c>
      <c r="Q21" t="n">
        <v>2</v>
      </c>
      <c r="R21" s="2" t="inlineStr">
        <is>
          <t>Talltita
Tibast</t>
        </is>
      </c>
      <c r="S21">
        <f>HYPERLINK("https://klasma.github.io/Logging_0115/artfynd/A 70608-2021 artfynd.xlsx", "A 70608-2021")</f>
        <v/>
      </c>
      <c r="T21">
        <f>HYPERLINK("https://klasma.github.io/Logging_0115/kartor/A 70608-2021 karta.png", "A 70608-2021")</f>
        <v/>
      </c>
      <c r="V21">
        <f>HYPERLINK("https://klasma.github.io/Logging_0115/klagomål/A 70608-2021 FSC-klagomål.docx", "A 70608-2021")</f>
        <v/>
      </c>
      <c r="W21">
        <f>HYPERLINK("https://klasma.github.io/Logging_0115/klagomålsmail/A 70608-2021 FSC-klagomål mail.docx", "A 70608-2021")</f>
        <v/>
      </c>
      <c r="X21">
        <f>HYPERLINK("https://klasma.github.io/Logging_0115/tillsyn/A 70608-2021 tillsynsbegäran.docx", "A 70608-2021")</f>
        <v/>
      </c>
      <c r="Y21">
        <f>HYPERLINK("https://klasma.github.io/Logging_0115/tillsynsmail/A 70608-2021 tillsynsbegäran mail.docx", "A 70608-2021")</f>
        <v/>
      </c>
      <c r="Z21">
        <f>HYPERLINK("https://klasma.github.io/Logging_0115/fåglar/A 70608-2021 prioriterade fågelarter.docx", "A 70608-2021")</f>
        <v/>
      </c>
    </row>
    <row r="22" ht="15" customHeight="1">
      <c r="A22" t="inlineStr">
        <is>
          <t>A 60-2022</t>
        </is>
      </c>
      <c r="B22" s="1" t="n">
        <v>44560</v>
      </c>
      <c r="C22" s="1" t="n">
        <v>46201</v>
      </c>
      <c r="D22" t="inlineStr">
        <is>
          <t>STOCKHOLMS LÄN</t>
        </is>
      </c>
      <c r="E22" t="inlineStr">
        <is>
          <t>VALLENTUNA</t>
        </is>
      </c>
      <c r="F22" t="inlineStr">
        <is>
          <t>Övriga Aktiebolag</t>
        </is>
      </c>
      <c r="G22" t="n">
        <v>14.3</v>
      </c>
      <c r="H22" t="n">
        <v>0</v>
      </c>
      <c r="I22" t="n">
        <v>1</v>
      </c>
      <c r="J22" t="n">
        <v>1</v>
      </c>
      <c r="K22" t="n">
        <v>0</v>
      </c>
      <c r="L22" t="n">
        <v>0</v>
      </c>
      <c r="M22" t="n">
        <v>0</v>
      </c>
      <c r="N22" t="n">
        <v>0</v>
      </c>
      <c r="O22" t="n">
        <v>1</v>
      </c>
      <c r="P22" t="n">
        <v>0</v>
      </c>
      <c r="Q22" t="n">
        <v>2</v>
      </c>
      <c r="R22" s="2" t="inlineStr">
        <is>
          <t>Vårärt
Vätteros</t>
        </is>
      </c>
      <c r="S22">
        <f>HYPERLINK("https://klasma.github.io/Logging_0115/artfynd/A 60-2022 artfynd.xlsx", "A 60-2022")</f>
        <v/>
      </c>
      <c r="T22">
        <f>HYPERLINK("https://klasma.github.io/Logging_0115/kartor/A 60-2022 karta.png", "A 60-2022")</f>
        <v/>
      </c>
      <c r="V22">
        <f>HYPERLINK("https://klasma.github.io/Logging_0115/klagomål/A 60-2022 FSC-klagomål.docx", "A 60-2022")</f>
        <v/>
      </c>
      <c r="W22">
        <f>HYPERLINK("https://klasma.github.io/Logging_0115/klagomålsmail/A 60-2022 FSC-klagomål mail.docx", "A 60-2022")</f>
        <v/>
      </c>
      <c r="X22">
        <f>HYPERLINK("https://klasma.github.io/Logging_0115/tillsyn/A 60-2022 tillsynsbegäran.docx", "A 60-2022")</f>
        <v/>
      </c>
      <c r="Y22">
        <f>HYPERLINK("https://klasma.github.io/Logging_0115/tillsynsmail/A 60-2022 tillsynsbegäran mail.docx", "A 60-2022")</f>
        <v/>
      </c>
    </row>
    <row r="23" ht="15" customHeight="1">
      <c r="A23" t="inlineStr">
        <is>
          <t>A 9445-2022</t>
        </is>
      </c>
      <c r="B23" s="1" t="n">
        <v>44616</v>
      </c>
      <c r="C23" s="1" t="n">
        <v>46201</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46201</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34460-2023</t>
        </is>
      </c>
      <c r="B25" s="1" t="n">
        <v>45139</v>
      </c>
      <c r="C25" s="1" t="n">
        <v>46201</v>
      </c>
      <c r="D25" t="inlineStr">
        <is>
          <t>STOCKHOLMS LÄN</t>
        </is>
      </c>
      <c r="E25" t="inlineStr">
        <is>
          <t>VALLENTUNA</t>
        </is>
      </c>
      <c r="G25" t="n">
        <v>1.7</v>
      </c>
      <c r="H25" t="n">
        <v>0</v>
      </c>
      <c r="I25" t="n">
        <v>0</v>
      </c>
      <c r="J25" t="n">
        <v>2</v>
      </c>
      <c r="K25" t="n">
        <v>0</v>
      </c>
      <c r="L25" t="n">
        <v>0</v>
      </c>
      <c r="M25" t="n">
        <v>0</v>
      </c>
      <c r="N25" t="n">
        <v>0</v>
      </c>
      <c r="O25" t="n">
        <v>2</v>
      </c>
      <c r="P25" t="n">
        <v>0</v>
      </c>
      <c r="Q25" t="n">
        <v>2</v>
      </c>
      <c r="R25" s="2" t="inlineStr">
        <is>
          <t>Motaggsvamp
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23923-2025</t>
        </is>
      </c>
      <c r="B26" s="1" t="n">
        <v>45795</v>
      </c>
      <c r="C26" s="1" t="n">
        <v>46201</v>
      </c>
      <c r="D26" t="inlineStr">
        <is>
          <t>STOCKHOLMS LÄN</t>
        </is>
      </c>
      <c r="E26" t="inlineStr">
        <is>
          <t>VALLENTUNA</t>
        </is>
      </c>
      <c r="G26" t="n">
        <v>2.3</v>
      </c>
      <c r="H26" t="n">
        <v>2</v>
      </c>
      <c r="I26" t="n">
        <v>0</v>
      </c>
      <c r="J26" t="n">
        <v>1</v>
      </c>
      <c r="K26" t="n">
        <v>0</v>
      </c>
      <c r="L26" t="n">
        <v>0</v>
      </c>
      <c r="M26" t="n">
        <v>0</v>
      </c>
      <c r="N26" t="n">
        <v>0</v>
      </c>
      <c r="O26" t="n">
        <v>1</v>
      </c>
      <c r="P26" t="n">
        <v>0</v>
      </c>
      <c r="Q26" t="n">
        <v>2</v>
      </c>
      <c r="R26" s="2" t="inlineStr">
        <is>
          <t>Gulsparv
Kråka</t>
        </is>
      </c>
      <c r="S26">
        <f>HYPERLINK("https://klasma.github.io/Logging_0115/artfynd/A 23923-2025 artfynd.xlsx", "A 23923-2025")</f>
        <v/>
      </c>
      <c r="T26">
        <f>HYPERLINK("https://klasma.github.io/Logging_0115/kartor/A 23923-2025 karta.png", "A 23923-2025")</f>
        <v/>
      </c>
      <c r="V26">
        <f>HYPERLINK("https://klasma.github.io/Logging_0115/klagomål/A 23923-2025 FSC-klagomål.docx", "A 23923-2025")</f>
        <v/>
      </c>
      <c r="W26">
        <f>HYPERLINK("https://klasma.github.io/Logging_0115/klagomålsmail/A 23923-2025 FSC-klagomål mail.docx", "A 23923-2025")</f>
        <v/>
      </c>
      <c r="X26">
        <f>HYPERLINK("https://klasma.github.io/Logging_0115/tillsyn/A 23923-2025 tillsynsbegäran.docx", "A 23923-2025")</f>
        <v/>
      </c>
      <c r="Y26">
        <f>HYPERLINK("https://klasma.github.io/Logging_0115/tillsynsmail/A 23923-2025 tillsynsbegäran mail.docx", "A 23923-2025")</f>
        <v/>
      </c>
      <c r="Z26">
        <f>HYPERLINK("https://klasma.github.io/Logging_0115/fåglar/A 23923-2025 prioriterade fågelarter.docx", "A 23923-2025")</f>
        <v/>
      </c>
    </row>
    <row r="27" ht="15" customHeight="1">
      <c r="A27" t="inlineStr">
        <is>
          <t>A 63539-2025</t>
        </is>
      </c>
      <c r="B27" s="1" t="n">
        <v>46013</v>
      </c>
      <c r="C27" s="1" t="n">
        <v>46201</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27935-2026</t>
        </is>
      </c>
      <c r="B28" s="1" t="n">
        <v>46191</v>
      </c>
      <c r="C28" s="1" t="n">
        <v>46201</v>
      </c>
      <c r="D28" t="inlineStr">
        <is>
          <t>STOCKHOLMS LÄN</t>
        </is>
      </c>
      <c r="E28" t="inlineStr">
        <is>
          <t>VALLENTUNA</t>
        </is>
      </c>
      <c r="G28" t="n">
        <v>5</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HYPERLINK("https://klasma.github.io/Logging_0115/artfynd/A 27935-2026 artfynd.xlsx", "A 27935-2026")</f>
        <v/>
      </c>
      <c r="T28">
        <f>HYPERLINK("https://klasma.github.io/Logging_0115/kartor/A 27935-2026 karta.png", "A 27935-2026")</f>
        <v/>
      </c>
      <c r="V28">
        <f>HYPERLINK("https://klasma.github.io/Logging_0115/klagomål/A 27935-2026 FSC-klagomål.docx", "A 27935-2026")</f>
        <v/>
      </c>
      <c r="W28">
        <f>HYPERLINK("https://klasma.github.io/Logging_0115/klagomålsmail/A 27935-2026 FSC-klagomål mail.docx", "A 27935-2026")</f>
        <v/>
      </c>
      <c r="X28">
        <f>HYPERLINK("https://klasma.github.io/Logging_0115/tillsyn/A 27935-2026 tillsynsbegäran.docx", "A 27935-2026")</f>
        <v/>
      </c>
      <c r="Y28">
        <f>HYPERLINK("https://klasma.github.io/Logging_0115/tillsynsmail/A 27935-2026 tillsynsbegäran mail.docx", "A 27935-2026")</f>
        <v/>
      </c>
    </row>
    <row r="29" ht="15" customHeight="1">
      <c r="A29" t="inlineStr">
        <is>
          <t>A 17348-2025</t>
        </is>
      </c>
      <c r="B29" s="1" t="n">
        <v>45756</v>
      </c>
      <c r="C29" s="1" t="n">
        <v>46201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8817-2025</t>
        </is>
      </c>
      <c r="B30" s="1" t="n">
        <v>45712</v>
      </c>
      <c r="C30" s="1" t="n">
        <v>46201</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7890-2023</t>
        </is>
      </c>
      <c r="B31" s="1" t="n">
        <v>44973</v>
      </c>
      <c r="C31" s="1" t="n">
        <v>46201</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v>
      </c>
      <c r="C32" s="1" t="n">
        <v>46201</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17341-2025</t>
        </is>
      </c>
      <c r="B33" s="1" t="n">
        <v>45756</v>
      </c>
      <c r="C33" s="1" t="n">
        <v>46201</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46201</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24068-2024</t>
        </is>
      </c>
      <c r="B35" s="1" t="n">
        <v>45456</v>
      </c>
      <c r="C35" s="1" t="n">
        <v>46201</v>
      </c>
      <c r="D35" t="inlineStr">
        <is>
          <t>STOCKHOLMS LÄN</t>
        </is>
      </c>
      <c r="E35" t="inlineStr">
        <is>
          <t>VALLENTUNA</t>
        </is>
      </c>
      <c r="G35" t="n">
        <v>7.4</v>
      </c>
      <c r="H35" t="n">
        <v>0</v>
      </c>
      <c r="I35" t="n">
        <v>0</v>
      </c>
      <c r="J35" t="n">
        <v>1</v>
      </c>
      <c r="K35" t="n">
        <v>0</v>
      </c>
      <c r="L35" t="n">
        <v>0</v>
      </c>
      <c r="M35" t="n">
        <v>0</v>
      </c>
      <c r="N35" t="n">
        <v>0</v>
      </c>
      <c r="O35" t="n">
        <v>1</v>
      </c>
      <c r="P35" t="n">
        <v>0</v>
      </c>
      <c r="Q35" t="n">
        <v>1</v>
      </c>
      <c r="R35" s="2" t="inlineStr">
        <is>
          <t>Vedskivlav</t>
        </is>
      </c>
      <c r="S35">
        <f>HYPERLINK("https://klasma.github.io/Logging_0115/artfynd/A 24068-2024 artfynd.xlsx", "A 24068-2024")</f>
        <v/>
      </c>
      <c r="T35">
        <f>HYPERLINK("https://klasma.github.io/Logging_0115/kartor/A 24068-2024 karta.png", "A 24068-2024")</f>
        <v/>
      </c>
      <c r="V35">
        <f>HYPERLINK("https://klasma.github.io/Logging_0115/klagomål/A 24068-2024 FSC-klagomål.docx", "A 24068-2024")</f>
        <v/>
      </c>
      <c r="W35">
        <f>HYPERLINK("https://klasma.github.io/Logging_0115/klagomålsmail/A 24068-2024 FSC-klagomål mail.docx", "A 24068-2024")</f>
        <v/>
      </c>
      <c r="X35">
        <f>HYPERLINK("https://klasma.github.io/Logging_0115/tillsyn/A 24068-2024 tillsynsbegäran.docx", "A 24068-2024")</f>
        <v/>
      </c>
      <c r="Y35">
        <f>HYPERLINK("https://klasma.github.io/Logging_0115/tillsynsmail/A 24068-2024 tillsynsbegäran mail.docx", "A 24068-2024")</f>
        <v/>
      </c>
    </row>
    <row r="36" ht="15" customHeight="1">
      <c r="A36" t="inlineStr">
        <is>
          <t>A 21-2022</t>
        </is>
      </c>
      <c r="B36" s="1" t="n">
        <v>44560</v>
      </c>
      <c r="C36" s="1" t="n">
        <v>46201</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23009-2024</t>
        </is>
      </c>
      <c r="B37" s="1" t="n">
        <v>45450</v>
      </c>
      <c r="C37" s="1" t="n">
        <v>46201</v>
      </c>
      <c r="D37" t="inlineStr">
        <is>
          <t>STOCKHOLMS LÄN</t>
        </is>
      </c>
      <c r="E37" t="inlineStr">
        <is>
          <t>VALLENTUNA</t>
        </is>
      </c>
      <c r="G37" t="n">
        <v>1.4</v>
      </c>
      <c r="H37" t="n">
        <v>0</v>
      </c>
      <c r="I37" t="n">
        <v>1</v>
      </c>
      <c r="J37" t="n">
        <v>0</v>
      </c>
      <c r="K37" t="n">
        <v>0</v>
      </c>
      <c r="L37" t="n">
        <v>0</v>
      </c>
      <c r="M37" t="n">
        <v>0</v>
      </c>
      <c r="N37" t="n">
        <v>0</v>
      </c>
      <c r="O37" t="n">
        <v>0</v>
      </c>
      <c r="P37" t="n">
        <v>0</v>
      </c>
      <c r="Q37" t="n">
        <v>1</v>
      </c>
      <c r="R37" s="2" t="inlineStr">
        <is>
          <t>Tibast</t>
        </is>
      </c>
      <c r="S37">
        <f>HYPERLINK("https://klasma.github.io/Logging_0115/artfynd/A 23009-2024 artfynd.xlsx", "A 23009-2024")</f>
        <v/>
      </c>
      <c r="T37">
        <f>HYPERLINK("https://klasma.github.io/Logging_0115/kartor/A 23009-2024 karta.png", "A 23009-2024")</f>
        <v/>
      </c>
      <c r="V37">
        <f>HYPERLINK("https://klasma.github.io/Logging_0115/klagomål/A 23009-2024 FSC-klagomål.docx", "A 23009-2024")</f>
        <v/>
      </c>
      <c r="W37">
        <f>HYPERLINK("https://klasma.github.io/Logging_0115/klagomålsmail/A 23009-2024 FSC-klagomål mail.docx", "A 23009-2024")</f>
        <v/>
      </c>
      <c r="X37">
        <f>HYPERLINK("https://klasma.github.io/Logging_0115/tillsyn/A 23009-2024 tillsynsbegäran.docx", "A 23009-2024")</f>
        <v/>
      </c>
      <c r="Y37">
        <f>HYPERLINK("https://klasma.github.io/Logging_0115/tillsynsmail/A 23009-2024 tillsynsbegäran mail.docx", "A 23009-2024")</f>
        <v/>
      </c>
    </row>
    <row r="38" ht="15" customHeight="1">
      <c r="A38" t="inlineStr">
        <is>
          <t>A 54460-2025</t>
        </is>
      </c>
      <c r="B38" s="1" t="n">
        <v>45965</v>
      </c>
      <c r="C38" s="1" t="n">
        <v>46201</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54481-2025</t>
        </is>
      </c>
      <c r="B39" s="1" t="n">
        <v>45965</v>
      </c>
      <c r="C39" s="1" t="n">
        <v>46201</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12401-2026</t>
        </is>
      </c>
      <c r="B40" s="1" t="n">
        <v>46090</v>
      </c>
      <c r="C40" s="1" t="n">
        <v>46201</v>
      </c>
      <c r="D40" t="inlineStr">
        <is>
          <t>STOCKHOLMS LÄN</t>
        </is>
      </c>
      <c r="E40" t="inlineStr">
        <is>
          <t>VALLENTUNA</t>
        </is>
      </c>
      <c r="G40" t="n">
        <v>5.9</v>
      </c>
      <c r="H40" t="n">
        <v>1</v>
      </c>
      <c r="I40" t="n">
        <v>0</v>
      </c>
      <c r="J40" t="n">
        <v>0</v>
      </c>
      <c r="K40" t="n">
        <v>0</v>
      </c>
      <c r="L40" t="n">
        <v>0</v>
      </c>
      <c r="M40" t="n">
        <v>0</v>
      </c>
      <c r="N40" t="n">
        <v>0</v>
      </c>
      <c r="O40" t="n">
        <v>0</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12396-2026</t>
        </is>
      </c>
      <c r="B41" s="1" t="n">
        <v>46090</v>
      </c>
      <c r="C41" s="1" t="n">
        <v>46201</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20910-2026</t>
        </is>
      </c>
      <c r="B42" s="1" t="n">
        <v>46142</v>
      </c>
      <c r="C42" s="1" t="n">
        <v>46201</v>
      </c>
      <c r="D42" t="inlineStr">
        <is>
          <t>STOCKHOLMS LÄN</t>
        </is>
      </c>
      <c r="E42" t="inlineStr">
        <is>
          <t>VALLENTUNA</t>
        </is>
      </c>
      <c r="G42" t="n">
        <v>1.8</v>
      </c>
      <c r="H42" t="n">
        <v>1</v>
      </c>
      <c r="I42" t="n">
        <v>0</v>
      </c>
      <c r="J42" t="n">
        <v>0</v>
      </c>
      <c r="K42" t="n">
        <v>0</v>
      </c>
      <c r="L42" t="n">
        <v>0</v>
      </c>
      <c r="M42" t="n">
        <v>0</v>
      </c>
      <c r="N42" t="n">
        <v>0</v>
      </c>
      <c r="O42" t="n">
        <v>0</v>
      </c>
      <c r="P42" t="n">
        <v>0</v>
      </c>
      <c r="Q42" t="n">
        <v>1</v>
      </c>
      <c r="R42" s="2" t="inlineStr">
        <is>
          <t>Revlummer</t>
        </is>
      </c>
      <c r="S42">
        <f>HYPERLINK("https://klasma.github.io/Logging_0115/artfynd/A 20910-2026 artfynd.xlsx", "A 20910-2026")</f>
        <v/>
      </c>
      <c r="T42">
        <f>HYPERLINK("https://klasma.github.io/Logging_0115/kartor/A 20910-2026 karta.png", "A 20910-2026")</f>
        <v/>
      </c>
      <c r="V42">
        <f>HYPERLINK("https://klasma.github.io/Logging_0115/klagomål/A 20910-2026 FSC-klagomål.docx", "A 20910-2026")</f>
        <v/>
      </c>
      <c r="W42">
        <f>HYPERLINK("https://klasma.github.io/Logging_0115/klagomålsmail/A 20910-2026 FSC-klagomål mail.docx", "A 20910-2026")</f>
        <v/>
      </c>
      <c r="X42">
        <f>HYPERLINK("https://klasma.github.io/Logging_0115/tillsyn/A 20910-2026 tillsynsbegäran.docx", "A 20910-2026")</f>
        <v/>
      </c>
      <c r="Y42">
        <f>HYPERLINK("https://klasma.github.io/Logging_0115/tillsynsmail/A 20910-2026 tillsynsbegäran mail.docx", "A 20910-2026")</f>
        <v/>
      </c>
    </row>
    <row r="43" ht="15" customHeight="1">
      <c r="A43" t="inlineStr">
        <is>
          <t>A 20914-2026</t>
        </is>
      </c>
      <c r="B43" s="1" t="n">
        <v>46142</v>
      </c>
      <c r="C43" s="1" t="n">
        <v>46201</v>
      </c>
      <c r="D43" t="inlineStr">
        <is>
          <t>STOCKHOLMS LÄN</t>
        </is>
      </c>
      <c r="E43" t="inlineStr">
        <is>
          <t>VALLENTUNA</t>
        </is>
      </c>
      <c r="G43" t="n">
        <v>1.1</v>
      </c>
      <c r="H43" t="n">
        <v>0</v>
      </c>
      <c r="I43" t="n">
        <v>0</v>
      </c>
      <c r="J43" t="n">
        <v>1</v>
      </c>
      <c r="K43" t="n">
        <v>0</v>
      </c>
      <c r="L43" t="n">
        <v>0</v>
      </c>
      <c r="M43" t="n">
        <v>0</v>
      </c>
      <c r="N43" t="n">
        <v>0</v>
      </c>
      <c r="O43" t="n">
        <v>1</v>
      </c>
      <c r="P43" t="n">
        <v>0</v>
      </c>
      <c r="Q43" t="n">
        <v>1</v>
      </c>
      <c r="R43" s="2" t="inlineStr">
        <is>
          <t>Tallticka</t>
        </is>
      </c>
      <c r="S43">
        <f>HYPERLINK("https://klasma.github.io/Logging_0115/artfynd/A 20914-2026 artfynd.xlsx", "A 20914-2026")</f>
        <v/>
      </c>
      <c r="T43">
        <f>HYPERLINK("https://klasma.github.io/Logging_0115/kartor/A 20914-2026 karta.png", "A 20914-2026")</f>
        <v/>
      </c>
      <c r="V43">
        <f>HYPERLINK("https://klasma.github.io/Logging_0115/klagomål/A 20914-2026 FSC-klagomål.docx", "A 20914-2026")</f>
        <v/>
      </c>
      <c r="W43">
        <f>HYPERLINK("https://klasma.github.io/Logging_0115/klagomålsmail/A 20914-2026 FSC-klagomål mail.docx", "A 20914-2026")</f>
        <v/>
      </c>
      <c r="X43">
        <f>HYPERLINK("https://klasma.github.io/Logging_0115/tillsyn/A 20914-2026 tillsynsbegäran.docx", "A 20914-2026")</f>
        <v/>
      </c>
      <c r="Y43">
        <f>HYPERLINK("https://klasma.github.io/Logging_0115/tillsynsmail/A 20914-2026 tillsynsbegäran mail.docx", "A 20914-2026")</f>
        <v/>
      </c>
    </row>
    <row r="44" ht="15" customHeight="1">
      <c r="A44" t="inlineStr">
        <is>
          <t>A 8089-2022</t>
        </is>
      </c>
      <c r="B44" s="1" t="n">
        <v>44609</v>
      </c>
      <c r="C44" s="1" t="n">
        <v>46201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46201</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46201</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46201</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7276-2022</t>
        </is>
      </c>
      <c r="B49" s="1" t="n">
        <v>44606</v>
      </c>
      <c r="C49" s="1" t="n">
        <v>46201</v>
      </c>
      <c r="D49" t="inlineStr">
        <is>
          <t>STOCKHOLMS LÄN</t>
        </is>
      </c>
      <c r="E49" t="inlineStr">
        <is>
          <t>VALLENTUNA</t>
        </is>
      </c>
      <c r="G49" t="n">
        <v>1.7</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46201</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46201</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46201</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46201</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46201</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46201</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29704-2023</t>
        </is>
      </c>
      <c r="B56" s="1" t="n">
        <v>45107</v>
      </c>
      <c r="C56" s="1" t="n">
        <v>46201</v>
      </c>
      <c r="D56" t="inlineStr">
        <is>
          <t>STOCKHOLMS LÄN</t>
        </is>
      </c>
      <c r="E56" t="inlineStr">
        <is>
          <t>VALLENTUNA</t>
        </is>
      </c>
      <c r="G56" t="n">
        <v>3.7</v>
      </c>
      <c r="H56" t="n">
        <v>0</v>
      </c>
      <c r="I56" t="n">
        <v>0</v>
      </c>
      <c r="J56" t="n">
        <v>0</v>
      </c>
      <c r="K56" t="n">
        <v>0</v>
      </c>
      <c r="L56" t="n">
        <v>0</v>
      </c>
      <c r="M56" t="n">
        <v>0</v>
      </c>
      <c r="N56" t="n">
        <v>0</v>
      </c>
      <c r="O56" t="n">
        <v>0</v>
      </c>
      <c r="P56" t="n">
        <v>0</v>
      </c>
      <c r="Q56" t="n">
        <v>0</v>
      </c>
      <c r="R56" s="2" t="inlineStr"/>
    </row>
    <row r="57" ht="15" customHeight="1">
      <c r="A57" t="inlineStr">
        <is>
          <t>A 8077-2022</t>
        </is>
      </c>
      <c r="B57" s="1" t="n">
        <v>44609</v>
      </c>
      <c r="C57" s="1" t="n">
        <v>46201</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47140-2024</t>
        </is>
      </c>
      <c r="B58" s="1" t="n">
        <v>45586</v>
      </c>
      <c r="C58" s="1" t="n">
        <v>46201</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12609-2024</t>
        </is>
      </c>
      <c r="B59" s="1" t="n">
        <v>45382</v>
      </c>
      <c r="C59" s="1" t="n">
        <v>46201</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13836-2022</t>
        </is>
      </c>
      <c r="B60" s="1" t="n">
        <v>44649</v>
      </c>
      <c r="C60" s="1" t="n">
        <v>46201</v>
      </c>
      <c r="D60" t="inlineStr">
        <is>
          <t>STOCKHOLMS LÄN</t>
        </is>
      </c>
      <c r="E60" t="inlineStr">
        <is>
          <t>VALLENTUNA</t>
        </is>
      </c>
      <c r="G60" t="n">
        <v>3.5</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46201</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46201</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46201</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24707-2023</t>
        </is>
      </c>
      <c r="B64" s="1" t="n">
        <v>45084</v>
      </c>
      <c r="C64" s="1" t="n">
        <v>46201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21765-2023</t>
        </is>
      </c>
      <c r="B65" s="1" t="n">
        <v>45064</v>
      </c>
      <c r="C65" s="1" t="n">
        <v>46201</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21614-2022</t>
        </is>
      </c>
      <c r="B66" s="1" t="n">
        <v>44706</v>
      </c>
      <c r="C66" s="1" t="n">
        <v>46201</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46201</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17411-2023</t>
        </is>
      </c>
      <c r="B68" s="1" t="n">
        <v>45035</v>
      </c>
      <c r="C68" s="1" t="n">
        <v>46201</v>
      </c>
      <c r="D68" t="inlineStr">
        <is>
          <t>STOCKHOLMS LÄN</t>
        </is>
      </c>
      <c r="E68" t="inlineStr">
        <is>
          <t>VALLENTUNA</t>
        </is>
      </c>
      <c r="G68" t="n">
        <v>0.7</v>
      </c>
      <c r="H68" t="n">
        <v>0</v>
      </c>
      <c r="I68" t="n">
        <v>0</v>
      </c>
      <c r="J68" t="n">
        <v>0</v>
      </c>
      <c r="K68" t="n">
        <v>0</v>
      </c>
      <c r="L68" t="n">
        <v>0</v>
      </c>
      <c r="M68" t="n">
        <v>0</v>
      </c>
      <c r="N68" t="n">
        <v>0</v>
      </c>
      <c r="O68" t="n">
        <v>0</v>
      </c>
      <c r="P68" t="n">
        <v>0</v>
      </c>
      <c r="Q68" t="n">
        <v>0</v>
      </c>
      <c r="R68" s="2" t="inlineStr"/>
    </row>
    <row r="69" ht="15" customHeight="1">
      <c r="A69" t="inlineStr">
        <is>
          <t>A 23986-2023</t>
        </is>
      </c>
      <c r="B69" s="1" t="n">
        <v>45078</v>
      </c>
      <c r="C69" s="1" t="n">
        <v>46201</v>
      </c>
      <c r="D69" t="inlineStr">
        <is>
          <t>STOCKHOLMS LÄN</t>
        </is>
      </c>
      <c r="E69" t="inlineStr">
        <is>
          <t>VALLENTUNA</t>
        </is>
      </c>
      <c r="F69" t="inlineStr">
        <is>
          <t>Kyrkan</t>
        </is>
      </c>
      <c r="G69" t="n">
        <v>5.7</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46201</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46201</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14775-2024</t>
        </is>
      </c>
      <c r="B72" s="1" t="n">
        <v>45397</v>
      </c>
      <c r="C72" s="1" t="n">
        <v>46201</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46201</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46201</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14480-2024</t>
        </is>
      </c>
      <c r="B75" s="1" t="n">
        <v>45394</v>
      </c>
      <c r="C75" s="1" t="n">
        <v>46201</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46201</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3937-2022</t>
        </is>
      </c>
      <c r="B77" s="1" t="n">
        <v>44587</v>
      </c>
      <c r="C77" s="1" t="n">
        <v>46201</v>
      </c>
      <c r="D77" t="inlineStr">
        <is>
          <t>STOCKHOLMS LÄN</t>
        </is>
      </c>
      <c r="E77" t="inlineStr">
        <is>
          <t>VALLENTUNA</t>
        </is>
      </c>
      <c r="G77" t="n">
        <v>6.6</v>
      </c>
      <c r="H77" t="n">
        <v>0</v>
      </c>
      <c r="I77" t="n">
        <v>0</v>
      </c>
      <c r="J77" t="n">
        <v>0</v>
      </c>
      <c r="K77" t="n">
        <v>0</v>
      </c>
      <c r="L77" t="n">
        <v>0</v>
      </c>
      <c r="M77" t="n">
        <v>0</v>
      </c>
      <c r="N77" t="n">
        <v>0</v>
      </c>
      <c r="O77" t="n">
        <v>0</v>
      </c>
      <c r="P77" t="n">
        <v>0</v>
      </c>
      <c r="Q77" t="n">
        <v>0</v>
      </c>
      <c r="R77" s="2" t="inlineStr"/>
    </row>
    <row r="78" ht="15" customHeight="1">
      <c r="A78" t="inlineStr">
        <is>
          <t>A 23013-2024</t>
        </is>
      </c>
      <c r="B78" s="1" t="n">
        <v>45450</v>
      </c>
      <c r="C78" s="1" t="n">
        <v>46201</v>
      </c>
      <c r="D78" t="inlineStr">
        <is>
          <t>STOCKHOLMS LÄN</t>
        </is>
      </c>
      <c r="E78" t="inlineStr">
        <is>
          <t>VALLENTUNA</t>
        </is>
      </c>
      <c r="G78" t="n">
        <v>0.4</v>
      </c>
      <c r="H78" t="n">
        <v>0</v>
      </c>
      <c r="I78" t="n">
        <v>0</v>
      </c>
      <c r="J78" t="n">
        <v>0</v>
      </c>
      <c r="K78" t="n">
        <v>0</v>
      </c>
      <c r="L78" t="n">
        <v>0</v>
      </c>
      <c r="M78" t="n">
        <v>0</v>
      </c>
      <c r="N78" t="n">
        <v>0</v>
      </c>
      <c r="O78" t="n">
        <v>0</v>
      </c>
      <c r="P78" t="n">
        <v>0</v>
      </c>
      <c r="Q78" t="n">
        <v>0</v>
      </c>
      <c r="R78" s="2" t="inlineStr"/>
    </row>
    <row r="79" ht="15" customHeight="1">
      <c r="A79" t="inlineStr">
        <is>
          <t>A 3078-2023</t>
        </is>
      </c>
      <c r="B79" s="1" t="n">
        <v>44946</v>
      </c>
      <c r="C79" s="1" t="n">
        <v>46201</v>
      </c>
      <c r="D79" t="inlineStr">
        <is>
          <t>STOCKHOLMS LÄN</t>
        </is>
      </c>
      <c r="E79" t="inlineStr">
        <is>
          <t>VALLENTUNA</t>
        </is>
      </c>
      <c r="G79" t="n">
        <v>3.9</v>
      </c>
      <c r="H79" t="n">
        <v>0</v>
      </c>
      <c r="I79" t="n">
        <v>0</v>
      </c>
      <c r="J79" t="n">
        <v>0</v>
      </c>
      <c r="K79" t="n">
        <v>0</v>
      </c>
      <c r="L79" t="n">
        <v>0</v>
      </c>
      <c r="M79" t="n">
        <v>0</v>
      </c>
      <c r="N79" t="n">
        <v>0</v>
      </c>
      <c r="O79" t="n">
        <v>0</v>
      </c>
      <c r="P79" t="n">
        <v>0</v>
      </c>
      <c r="Q79" t="n">
        <v>0</v>
      </c>
      <c r="R79" s="2" t="inlineStr"/>
    </row>
    <row r="80" ht="15" customHeight="1">
      <c r="A80" t="inlineStr">
        <is>
          <t>A 1385-2024</t>
        </is>
      </c>
      <c r="B80" s="1" t="n">
        <v>45303</v>
      </c>
      <c r="C80" s="1" t="n">
        <v>46201</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14782-2024</t>
        </is>
      </c>
      <c r="B81" s="1" t="n">
        <v>45397</v>
      </c>
      <c r="C81" s="1" t="n">
        <v>46201</v>
      </c>
      <c r="D81" t="inlineStr">
        <is>
          <t>STOCKHOLMS LÄN</t>
        </is>
      </c>
      <c r="E81" t="inlineStr">
        <is>
          <t>VALLENTUNA</t>
        </is>
      </c>
      <c r="G81" t="n">
        <v>3.1</v>
      </c>
      <c r="H81" t="n">
        <v>0</v>
      </c>
      <c r="I81" t="n">
        <v>0</v>
      </c>
      <c r="J81" t="n">
        <v>0</v>
      </c>
      <c r="K81" t="n">
        <v>0</v>
      </c>
      <c r="L81" t="n">
        <v>0</v>
      </c>
      <c r="M81" t="n">
        <v>0</v>
      </c>
      <c r="N81" t="n">
        <v>0</v>
      </c>
      <c r="O81" t="n">
        <v>0</v>
      </c>
      <c r="P81" t="n">
        <v>0</v>
      </c>
      <c r="Q81" t="n">
        <v>0</v>
      </c>
      <c r="R81" s="2" t="inlineStr"/>
    </row>
    <row r="82" ht="15" customHeight="1">
      <c r="A82" t="inlineStr">
        <is>
          <t>A 45496-2023</t>
        </is>
      </c>
      <c r="B82" s="1" t="n">
        <v>45194</v>
      </c>
      <c r="C82" s="1" t="n">
        <v>46201</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46201</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49530-2023</t>
        </is>
      </c>
      <c r="B84" s="1" t="n">
        <v>45205</v>
      </c>
      <c r="C84" s="1" t="n">
        <v>46201</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52542-2023</t>
        </is>
      </c>
      <c r="B85" s="1" t="n">
        <v>45225</v>
      </c>
      <c r="C85" s="1" t="n">
        <v>46201</v>
      </c>
      <c r="D85" t="inlineStr">
        <is>
          <t>STOCKHOLMS LÄN</t>
        </is>
      </c>
      <c r="E85" t="inlineStr">
        <is>
          <t>VALLENTUNA</t>
        </is>
      </c>
      <c r="G85" t="n">
        <v>3.8</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46201</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2318-2024</t>
        </is>
      </c>
      <c r="B87" s="1" t="n">
        <v>45310</v>
      </c>
      <c r="C87" s="1" t="n">
        <v>46201</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9063-2024</t>
        </is>
      </c>
      <c r="B88" s="1" t="n">
        <v>45357</v>
      </c>
      <c r="C88" s="1" t="n">
        <v>46201</v>
      </c>
      <c r="D88" t="inlineStr">
        <is>
          <t>STOCKHOLMS LÄN</t>
        </is>
      </c>
      <c r="E88" t="inlineStr">
        <is>
          <t>VALLENTUNA</t>
        </is>
      </c>
      <c r="G88" t="n">
        <v>4.1</v>
      </c>
      <c r="H88" t="n">
        <v>0</v>
      </c>
      <c r="I88" t="n">
        <v>0</v>
      </c>
      <c r="J88" t="n">
        <v>0</v>
      </c>
      <c r="K88" t="n">
        <v>0</v>
      </c>
      <c r="L88" t="n">
        <v>0</v>
      </c>
      <c r="M88" t="n">
        <v>0</v>
      </c>
      <c r="N88" t="n">
        <v>0</v>
      </c>
      <c r="O88" t="n">
        <v>0</v>
      </c>
      <c r="P88" t="n">
        <v>0</v>
      </c>
      <c r="Q88" t="n">
        <v>0</v>
      </c>
      <c r="R88" s="2" t="inlineStr"/>
    </row>
    <row r="89" ht="15" customHeight="1">
      <c r="A89" t="inlineStr">
        <is>
          <t>A 21445-2023</t>
        </is>
      </c>
      <c r="B89" s="1" t="n">
        <v>45063</v>
      </c>
      <c r="C89" s="1" t="n">
        <v>46201</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7264-2022</t>
        </is>
      </c>
      <c r="B90" s="1" t="n">
        <v>44606</v>
      </c>
      <c r="C90" s="1" t="n">
        <v>46201</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19503-2023</t>
        </is>
      </c>
      <c r="B91" s="1" t="n">
        <v>45050</v>
      </c>
      <c r="C91" s="1" t="n">
        <v>46201</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30902-2025</t>
        </is>
      </c>
      <c r="B92" s="1" t="n">
        <v>45832</v>
      </c>
      <c r="C92" s="1" t="n">
        <v>46201</v>
      </c>
      <c r="D92" t="inlineStr">
        <is>
          <t>STOCKHOLMS LÄN</t>
        </is>
      </c>
      <c r="E92" t="inlineStr">
        <is>
          <t>VALLENTUNA</t>
        </is>
      </c>
      <c r="G92" t="n">
        <v>8.199999999999999</v>
      </c>
      <c r="H92" t="n">
        <v>0</v>
      </c>
      <c r="I92" t="n">
        <v>0</v>
      </c>
      <c r="J92" t="n">
        <v>0</v>
      </c>
      <c r="K92" t="n">
        <v>0</v>
      </c>
      <c r="L92" t="n">
        <v>0</v>
      </c>
      <c r="M92" t="n">
        <v>0</v>
      </c>
      <c r="N92" t="n">
        <v>0</v>
      </c>
      <c r="O92" t="n">
        <v>0</v>
      </c>
      <c r="P92" t="n">
        <v>0</v>
      </c>
      <c r="Q92" t="n">
        <v>0</v>
      </c>
      <c r="R92" s="2" t="inlineStr"/>
    </row>
    <row r="93" ht="15" customHeight="1">
      <c r="A93" t="inlineStr">
        <is>
          <t>A 34441-2023</t>
        </is>
      </c>
      <c r="B93" s="1" t="n">
        <v>45139</v>
      </c>
      <c r="C93" s="1" t="n">
        <v>46201</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34445-2023</t>
        </is>
      </c>
      <c r="B94" s="1" t="n">
        <v>45139</v>
      </c>
      <c r="C94" s="1" t="n">
        <v>46201</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28431-2025</t>
        </is>
      </c>
      <c r="B95" s="1" t="n">
        <v>45819</v>
      </c>
      <c r="C95" s="1" t="n">
        <v>46201</v>
      </c>
      <c r="D95" t="inlineStr">
        <is>
          <t>STOCKHOLMS LÄN</t>
        </is>
      </c>
      <c r="E95" t="inlineStr">
        <is>
          <t>VALLENTUNA</t>
        </is>
      </c>
      <c r="G95" t="n">
        <v>1.5</v>
      </c>
      <c r="H95" t="n">
        <v>0</v>
      </c>
      <c r="I95" t="n">
        <v>0</v>
      </c>
      <c r="J95" t="n">
        <v>0</v>
      </c>
      <c r="K95" t="n">
        <v>0</v>
      </c>
      <c r="L95" t="n">
        <v>0</v>
      </c>
      <c r="M95" t="n">
        <v>0</v>
      </c>
      <c r="N95" t="n">
        <v>0</v>
      </c>
      <c r="O95" t="n">
        <v>0</v>
      </c>
      <c r="P95" t="n">
        <v>0</v>
      </c>
      <c r="Q95" t="n">
        <v>0</v>
      </c>
      <c r="R95" s="2" t="inlineStr"/>
    </row>
    <row r="96" ht="15" customHeight="1">
      <c r="A96" t="inlineStr">
        <is>
          <t>A 12585-2023</t>
        </is>
      </c>
      <c r="B96" s="1" t="n">
        <v>45000</v>
      </c>
      <c r="C96" s="1" t="n">
        <v>46201</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4803-2024</t>
        </is>
      </c>
      <c r="B97" s="1" t="n">
        <v>45328</v>
      </c>
      <c r="C97" s="1" t="n">
        <v>46201</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19356-2025</t>
        </is>
      </c>
      <c r="B98" s="1" t="n">
        <v>45769</v>
      </c>
      <c r="C98" s="1" t="n">
        <v>46201</v>
      </c>
      <c r="D98" t="inlineStr">
        <is>
          <t>STOCKHOLMS LÄN</t>
        </is>
      </c>
      <c r="E98" t="inlineStr">
        <is>
          <t>VALLENTUNA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11950-2025</t>
        </is>
      </c>
      <c r="B99" s="1" t="n">
        <v>45728</v>
      </c>
      <c r="C99" s="1" t="n">
        <v>46201</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46201</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38102-2024</t>
        </is>
      </c>
      <c r="B101" s="1" t="n">
        <v>45545</v>
      </c>
      <c r="C101" s="1" t="n">
        <v>46201</v>
      </c>
      <c r="D101" t="inlineStr">
        <is>
          <t>STOCKHOLMS LÄN</t>
        </is>
      </c>
      <c r="E101" t="inlineStr">
        <is>
          <t>VALLENTUNA</t>
        </is>
      </c>
      <c r="G101" t="n">
        <v>3.2</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v>
      </c>
      <c r="C102" s="1" t="n">
        <v>46201</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61442-2024</t>
        </is>
      </c>
      <c r="B103" s="1" t="n">
        <v>45646</v>
      </c>
      <c r="C103" s="1" t="n">
        <v>46201</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48068-2021</t>
        </is>
      </c>
      <c r="B104" s="1" t="n">
        <v>44449</v>
      </c>
      <c r="C104" s="1" t="n">
        <v>46201</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45499-2023</t>
        </is>
      </c>
      <c r="B105" s="1" t="n">
        <v>45194</v>
      </c>
      <c r="C105" s="1" t="n">
        <v>46201</v>
      </c>
      <c r="D105" t="inlineStr">
        <is>
          <t>STOCKHOLMS LÄN</t>
        </is>
      </c>
      <c r="E105" t="inlineStr">
        <is>
          <t>VALLENTUNA</t>
        </is>
      </c>
      <c r="G105" t="n">
        <v>2.5</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v>
      </c>
      <c r="C106" s="1" t="n">
        <v>46201</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v>
      </c>
      <c r="C107" s="1" t="n">
        <v>46201</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12621-2024</t>
        </is>
      </c>
      <c r="B108" s="1" t="n">
        <v>45383</v>
      </c>
      <c r="C108" s="1" t="n">
        <v>46201</v>
      </c>
      <c r="D108" t="inlineStr">
        <is>
          <t>STOCKHOLMS LÄN</t>
        </is>
      </c>
      <c r="E108" t="inlineStr">
        <is>
          <t>VALLENTUNA</t>
        </is>
      </c>
      <c r="G108" t="n">
        <v>4.4</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46201</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46201</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48014-2025</t>
        </is>
      </c>
      <c r="B111" s="1" t="n">
        <v>45932</v>
      </c>
      <c r="C111" s="1" t="n">
        <v>46201</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48038-2025</t>
        </is>
      </c>
      <c r="B112" s="1" t="n">
        <v>45932</v>
      </c>
      <c r="C112" s="1" t="n">
        <v>46201</v>
      </c>
      <c r="D112" t="inlineStr">
        <is>
          <t>STOCKHOLMS LÄN</t>
        </is>
      </c>
      <c r="E112" t="inlineStr">
        <is>
          <t>VALLENTUNA</t>
        </is>
      </c>
      <c r="G112" t="n">
        <v>0.5</v>
      </c>
      <c r="H112" t="n">
        <v>0</v>
      </c>
      <c r="I112" t="n">
        <v>0</v>
      </c>
      <c r="J112" t="n">
        <v>0</v>
      </c>
      <c r="K112" t="n">
        <v>0</v>
      </c>
      <c r="L112" t="n">
        <v>0</v>
      </c>
      <c r="M112" t="n">
        <v>0</v>
      </c>
      <c r="N112" t="n">
        <v>0</v>
      </c>
      <c r="O112" t="n">
        <v>0</v>
      </c>
      <c r="P112" t="n">
        <v>0</v>
      </c>
      <c r="Q112" t="n">
        <v>0</v>
      </c>
      <c r="R112" s="2" t="inlineStr"/>
    </row>
    <row r="113" ht="15" customHeight="1">
      <c r="A113" t="inlineStr">
        <is>
          <t>A 24943-2024</t>
        </is>
      </c>
      <c r="B113" s="1" t="n">
        <v>45461</v>
      </c>
      <c r="C113" s="1" t="n">
        <v>46201</v>
      </c>
      <c r="D113" t="inlineStr">
        <is>
          <t>STOCKHOLMS LÄN</t>
        </is>
      </c>
      <c r="E113" t="inlineStr">
        <is>
          <t>VALLENTUNA</t>
        </is>
      </c>
      <c r="G113" t="n">
        <v>2</v>
      </c>
      <c r="H113" t="n">
        <v>0</v>
      </c>
      <c r="I113" t="n">
        <v>0</v>
      </c>
      <c r="J113" t="n">
        <v>0</v>
      </c>
      <c r="K113" t="n">
        <v>0</v>
      </c>
      <c r="L113" t="n">
        <v>0</v>
      </c>
      <c r="M113" t="n">
        <v>0</v>
      </c>
      <c r="N113" t="n">
        <v>0</v>
      </c>
      <c r="O113" t="n">
        <v>0</v>
      </c>
      <c r="P113" t="n">
        <v>0</v>
      </c>
      <c r="Q113" t="n">
        <v>0</v>
      </c>
      <c r="R113" s="2" t="inlineStr"/>
    </row>
    <row r="114" ht="15" customHeight="1">
      <c r="A114" t="inlineStr">
        <is>
          <t>A 46381-2023</t>
        </is>
      </c>
      <c r="B114" s="1" t="n">
        <v>45193</v>
      </c>
      <c r="C114" s="1" t="n">
        <v>46201</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46201</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61646-2025</t>
        </is>
      </c>
      <c r="B116" s="1" t="n">
        <v>46002</v>
      </c>
      <c r="C116" s="1" t="n">
        <v>46201</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414-2026</t>
        </is>
      </c>
      <c r="B117" s="1" t="n">
        <v>46028</v>
      </c>
      <c r="C117" s="1" t="n">
        <v>46201</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v>
      </c>
      <c r="C118" s="1" t="n">
        <v>46201</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12400-2026</t>
        </is>
      </c>
      <c r="B119" s="1" t="n">
        <v>46090</v>
      </c>
      <c r="C119" s="1" t="n">
        <v>46201</v>
      </c>
      <c r="D119" t="inlineStr">
        <is>
          <t>STOCKHOLMS LÄN</t>
        </is>
      </c>
      <c r="E119" t="inlineStr">
        <is>
          <t>VALLENTUNA</t>
        </is>
      </c>
      <c r="G119" t="n">
        <v>1.9</v>
      </c>
      <c r="H119" t="n">
        <v>0</v>
      </c>
      <c r="I119" t="n">
        <v>0</v>
      </c>
      <c r="J119" t="n">
        <v>0</v>
      </c>
      <c r="K119" t="n">
        <v>0</v>
      </c>
      <c r="L119" t="n">
        <v>0</v>
      </c>
      <c r="M119" t="n">
        <v>0</v>
      </c>
      <c r="N119" t="n">
        <v>0</v>
      </c>
      <c r="O119" t="n">
        <v>0</v>
      </c>
      <c r="P119" t="n">
        <v>0</v>
      </c>
      <c r="Q119" t="n">
        <v>0</v>
      </c>
      <c r="R119" s="2" t="inlineStr"/>
    </row>
    <row r="120" ht="15" customHeight="1">
      <c r="A120" t="inlineStr">
        <is>
          <t>A 12822-2026</t>
        </is>
      </c>
      <c r="B120" s="1" t="n">
        <v>46092</v>
      </c>
      <c r="C120" s="1" t="n">
        <v>46201</v>
      </c>
      <c r="D120" t="inlineStr">
        <is>
          <t>STOCKHOLMS LÄN</t>
        </is>
      </c>
      <c r="E120" t="inlineStr">
        <is>
          <t>VALLENTUNA</t>
        </is>
      </c>
      <c r="G120" t="n">
        <v>2.7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v>
      </c>
      <c r="C121" s="1" t="n">
        <v>46201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12828-2026</t>
        </is>
      </c>
      <c r="B122" s="1" t="n">
        <v>46092</v>
      </c>
      <c r="C122" s="1" t="n">
        <v>46201</v>
      </c>
      <c r="D122" t="inlineStr">
        <is>
          <t>STOCKHOLMS LÄN</t>
        </is>
      </c>
      <c r="E122" t="inlineStr">
        <is>
          <t>VALLENTUNA</t>
        </is>
      </c>
      <c r="G122" t="n">
        <v>1</v>
      </c>
      <c r="H122" t="n">
        <v>0</v>
      </c>
      <c r="I122" t="n">
        <v>0</v>
      </c>
      <c r="J122" t="n">
        <v>0</v>
      </c>
      <c r="K122" t="n">
        <v>0</v>
      </c>
      <c r="L122" t="n">
        <v>0</v>
      </c>
      <c r="M122" t="n">
        <v>0</v>
      </c>
      <c r="N122" t="n">
        <v>0</v>
      </c>
      <c r="O122" t="n">
        <v>0</v>
      </c>
      <c r="P122" t="n">
        <v>0</v>
      </c>
      <c r="Q122" t="n">
        <v>0</v>
      </c>
      <c r="R122" s="2" t="inlineStr"/>
    </row>
    <row r="123" ht="15" customHeight="1">
      <c r="A123" t="inlineStr">
        <is>
          <t>A 12830-2026</t>
        </is>
      </c>
      <c r="B123" s="1" t="n">
        <v>46092</v>
      </c>
      <c r="C123" s="1" t="n">
        <v>46201</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46201</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17387-2026</t>
        </is>
      </c>
      <c r="B125" s="1" t="n">
        <v>46119</v>
      </c>
      <c r="C125" s="1" t="n">
        <v>46201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17389-2026</t>
        </is>
      </c>
      <c r="B126" s="1" t="n">
        <v>46119</v>
      </c>
      <c r="C126" s="1" t="n">
        <v>46201</v>
      </c>
      <c r="D126" t="inlineStr">
        <is>
          <t>STOCKHOLMS LÄN</t>
        </is>
      </c>
      <c r="E126" t="inlineStr">
        <is>
          <t>VALLENTUNA</t>
        </is>
      </c>
      <c r="G126" t="n">
        <v>1.1</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46201</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46201</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25752-2026</t>
        </is>
      </c>
      <c r="B129" s="1" t="n">
        <v>46178</v>
      </c>
      <c r="C129" s="1" t="n">
        <v>46201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c r="A130" t="inlineStr">
        <is>
          <t>A 24740-2026</t>
        </is>
      </c>
      <c r="B130" s="1" t="n">
        <v>46171</v>
      </c>
      <c r="C130" s="1" t="n">
        <v>46201</v>
      </c>
      <c r="D130" t="inlineStr">
        <is>
          <t>STOCKHOLMS LÄN</t>
        </is>
      </c>
      <c r="E130" t="inlineStr">
        <is>
          <t>VALLENTUNA</t>
        </is>
      </c>
      <c r="F130" t="inlineStr">
        <is>
          <t>Övriga Aktiebolag</t>
        </is>
      </c>
      <c r="G130" t="n">
        <v>5.7</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2026-06-28T00:57:42Z</dcterms:created>
  <dcterms:modified xmlns:dcterms="http://purl.org/dc/terms/" xmlns:xsi="http://www.w3.org/2001/XMLSchema-instance" xsi:type="dcterms:W3CDTF">2026-06-28T00:57:43Z</dcterms:modified>
</cp:coreProperties>
</file>