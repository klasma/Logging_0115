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45723</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45723</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45723</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45723</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45723</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45723</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45723</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45723</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45723</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45723</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45723</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45723</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45723</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45723</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45723</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45723</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45723</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45723</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45723</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45723</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45723</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45723</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45723</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45723</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45723</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45723</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45723</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45723</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45723</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45723</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45723</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45723</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45723</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45723</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45723</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45723</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45723</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45723</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45723</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45723</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45723</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45723</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45723</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45723</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45723</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45723</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45723</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45723</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45723</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45723</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45723</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45723</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45723</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45723</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45723</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8817-2025</t>
        </is>
      </c>
      <c r="B57" s="1" t="n">
        <v>45712</v>
      </c>
      <c r="C57" s="1" t="n">
        <v>45723</v>
      </c>
      <c r="D57" t="inlineStr">
        <is>
          <t>STOCKHOLMS LÄN</t>
        </is>
      </c>
      <c r="E57" t="inlineStr">
        <is>
          <t>VALLENTUNA</t>
        </is>
      </c>
      <c r="G57" t="n">
        <v>3.6</v>
      </c>
      <c r="H57" t="n">
        <v>0</v>
      </c>
      <c r="I57" t="n">
        <v>1</v>
      </c>
      <c r="J57" t="n">
        <v>0</v>
      </c>
      <c r="K57" t="n">
        <v>0</v>
      </c>
      <c r="L57" t="n">
        <v>0</v>
      </c>
      <c r="M57" t="n">
        <v>0</v>
      </c>
      <c r="N57" t="n">
        <v>0</v>
      </c>
      <c r="O57" t="n">
        <v>0</v>
      </c>
      <c r="P57" t="n">
        <v>0</v>
      </c>
      <c r="Q57" t="n">
        <v>1</v>
      </c>
      <c r="R57" s="2" t="inlineStr">
        <is>
          <t>Tibast</t>
        </is>
      </c>
      <c r="S57">
        <f>HYPERLINK("https://klasma.github.io/Logging_0115/artfynd/A 8817-2025 artfynd.xlsx", "A 8817-2025")</f>
        <v/>
      </c>
      <c r="T57">
        <f>HYPERLINK("https://klasma.github.io/Logging_0115/kartor/A 8817-2025 karta.png", "A 8817-2025")</f>
        <v/>
      </c>
      <c r="V57">
        <f>HYPERLINK("https://klasma.github.io/Logging_0115/klagomål/A 8817-2025 FSC-klagomål.docx", "A 8817-2025")</f>
        <v/>
      </c>
      <c r="W57">
        <f>HYPERLINK("https://klasma.github.io/Logging_0115/klagomålsmail/A 8817-2025 FSC-klagomål mail.docx", "A 8817-2025")</f>
        <v/>
      </c>
      <c r="X57">
        <f>HYPERLINK("https://klasma.github.io/Logging_0115/tillsyn/A 8817-2025 tillsynsbegäran.docx", "A 8817-2025")</f>
        <v/>
      </c>
      <c r="Y57">
        <f>HYPERLINK("https://klasma.github.io/Logging_0115/tillsynsmail/A 8817-2025 tillsynsbegäran mail.docx", "A 8817-2025")</f>
        <v/>
      </c>
    </row>
    <row r="58" ht="15" customHeight="1">
      <c r="A58" t="inlineStr">
        <is>
          <t>A 8946-2025</t>
        </is>
      </c>
      <c r="B58" s="1" t="n">
        <v>45712</v>
      </c>
      <c r="C58" s="1" t="n">
        <v>45723</v>
      </c>
      <c r="D58" t="inlineStr">
        <is>
          <t>STOCKHOLMS LÄN</t>
        </is>
      </c>
      <c r="E58" t="inlineStr">
        <is>
          <t>VALLENTUNA</t>
        </is>
      </c>
      <c r="G58" t="n">
        <v>4.4</v>
      </c>
      <c r="H58" t="n">
        <v>0</v>
      </c>
      <c r="I58" t="n">
        <v>0</v>
      </c>
      <c r="J58" t="n">
        <v>1</v>
      </c>
      <c r="K58" t="n">
        <v>0</v>
      </c>
      <c r="L58" t="n">
        <v>0</v>
      </c>
      <c r="M58" t="n">
        <v>0</v>
      </c>
      <c r="N58" t="n">
        <v>0</v>
      </c>
      <c r="O58" t="n">
        <v>1</v>
      </c>
      <c r="P58" t="n">
        <v>0</v>
      </c>
      <c r="Q58" t="n">
        <v>1</v>
      </c>
      <c r="R58" s="2" t="inlineStr">
        <is>
          <t>Granticka</t>
        </is>
      </c>
      <c r="S58">
        <f>HYPERLINK("https://klasma.github.io/Logging_0115/artfynd/A 8946-2025 artfynd.xlsx", "A 8946-2025")</f>
        <v/>
      </c>
      <c r="T58">
        <f>HYPERLINK("https://klasma.github.io/Logging_0115/kartor/A 8946-2025 karta.png", "A 8946-2025")</f>
        <v/>
      </c>
      <c r="V58">
        <f>HYPERLINK("https://klasma.github.io/Logging_0115/klagomål/A 8946-2025 FSC-klagomål.docx", "A 8946-2025")</f>
        <v/>
      </c>
      <c r="W58">
        <f>HYPERLINK("https://klasma.github.io/Logging_0115/klagomålsmail/A 8946-2025 FSC-klagomål mail.docx", "A 8946-2025")</f>
        <v/>
      </c>
      <c r="X58">
        <f>HYPERLINK("https://klasma.github.io/Logging_0115/tillsyn/A 8946-2025 tillsynsbegäran.docx", "A 8946-2025")</f>
        <v/>
      </c>
      <c r="Y58">
        <f>HYPERLINK("https://klasma.github.io/Logging_0115/tillsynsmail/A 8946-2025 tillsynsbegäran mail.docx", "A 8946-2025")</f>
        <v/>
      </c>
    </row>
    <row r="59" ht="15" customHeight="1">
      <c r="A59" t="inlineStr">
        <is>
          <t>A 19198-2019</t>
        </is>
      </c>
      <c r="B59" s="1" t="n">
        <v>43564</v>
      </c>
      <c r="C59" s="1" t="n">
        <v>45723</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45723</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45723</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45723</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45723</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45723</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45723</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45723</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45723</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45723</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45723</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45723</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45723</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45723</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45723</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45723</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45723</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45723</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45723</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45723</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45723</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45723</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45723</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45723</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45723</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45723</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45723</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45723</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45723</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45723</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45723</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45723</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45723</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45723</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45723</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45723</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45723</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45723</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45723</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45723</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45723</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45723</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45723</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45723</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45723</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45723</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45723</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45723</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45723</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45723</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45723</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45723</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45723</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45723</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45723</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45723</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45723</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45723</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45723</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45723</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45723</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45723</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45723</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45723</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45723</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45723</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45723</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45723</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45723</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45723</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45723</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45723</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45723</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45723</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45723</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45723</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45723</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45723</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45723</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45723</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45723</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45723</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45723</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45723</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45723</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45723</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45723</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45723</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45723</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45723</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45723</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45723</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45723</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45723</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45723</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45723</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45723</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45723</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45723</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45723</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45723</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45723</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45723</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45723</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45723</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45723</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45723</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45723</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45723</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45723</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45723</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45723</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45723</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45723</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45723</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45723</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45723</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45723</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45723</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45723</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45723</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45723</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45723</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45723</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45723</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45723</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45723</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45723</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45723</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45723</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45723</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45723</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45723</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45723</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45723</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45723</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45723</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45723</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45723</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45723</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45723</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45723</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45723</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45723</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45723</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45723</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45723</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45723</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45723</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45723</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45723</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45723</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45723</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45723</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45723</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45723</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45723</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45723</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45723</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45723</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45723</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45723</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45723</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45723</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45723</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45723</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45723</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45723</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45723</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45723</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45723</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45723</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45723</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45723</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45723</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45723</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45723</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45723</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45723</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45723</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45723</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45723</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45723</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45723</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45723</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45723</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45723</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45723</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45723</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45723</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45723</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45723</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45723</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45723</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45723</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45723</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45723</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45723</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45723</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45723</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45723</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45723</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45723</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45723</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45723</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45723</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45723</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45723</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45723</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45723</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45723</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45723</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45723</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45723</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45723</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45723</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45723</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45723</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45723</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c r="A278" t="inlineStr">
        <is>
          <t>A 8565-2025</t>
        </is>
      </c>
      <c r="B278" s="1" t="n">
        <v>45709</v>
      </c>
      <c r="C278" s="1" t="n">
        <v>45723</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2025-03-07T16:53:00Z</dcterms:created>
  <dcterms:modified xmlns:dcterms="http://purl.org/dc/terms/" xmlns:xsi="http://www.w3.org/2001/XMLSchema-instance" xsi:type="dcterms:W3CDTF">2025-03-07T16:53:01Z</dcterms:modified>
</cp:coreProperties>
</file>