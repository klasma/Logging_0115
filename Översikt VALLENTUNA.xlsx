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45729</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45729</v>
      </c>
      <c r="D3" t="inlineStr">
        <is>
          <t>STOCKHOLMS LÄN</t>
        </is>
      </c>
      <c r="E3" t="inlineStr">
        <is>
          <t>VALLENTUNA</t>
        </is>
      </c>
      <c r="G3" t="n">
        <v>5.6</v>
      </c>
      <c r="H3" t="n">
        <v>5</v>
      </c>
      <c r="I3" t="n">
        <v>16</v>
      </c>
      <c r="J3" t="n">
        <v>14</v>
      </c>
      <c r="K3" t="n">
        <v>1</v>
      </c>
      <c r="L3" t="n">
        <v>0</v>
      </c>
      <c r="M3" t="n">
        <v>0</v>
      </c>
      <c r="N3" t="n">
        <v>0</v>
      </c>
      <c r="O3" t="n">
        <v>15</v>
      </c>
      <c r="P3" t="n">
        <v>1</v>
      </c>
      <c r="Q3" t="n">
        <v>31</v>
      </c>
      <c r="R3" s="2" t="inlineStr">
        <is>
          <t>Knärot
Blå taggsvamp
Druvfingersvamp
Granticka
Motaggsvamp
Orange taggsvamp
Rosenticka
Spillkråka
Svart taggsvamp
Tallticka
Talltita
Ullticka
Vedskivlav
Vedtrappmossa
Vintertagging
Björksplintborre
Blåmossa
Dropptaggsvamp
Grönpyrola
Jättesvampmal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45729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45729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45729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45729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45729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45729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45729</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45729</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45729</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45729</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45729</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45729</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45729</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45729</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45729</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45729</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45729</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45729</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45729</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45729</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45729</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45729</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45729</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45729</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45729</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45729</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45729</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45729</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45729</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45729</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45729</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45729</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45729</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45729</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45729</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45729</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45729</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45729</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45729</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45729</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45729</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45729</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45729</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45729</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45729</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45729</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45729</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45729</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45729</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45729</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45729</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45729</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45729</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8817-2025</t>
        </is>
      </c>
      <c r="B57" s="1" t="n">
        <v>45712</v>
      </c>
      <c r="C57" s="1" t="n">
        <v>45729</v>
      </c>
      <c r="D57" t="inlineStr">
        <is>
          <t>STOCKHOLMS LÄN</t>
        </is>
      </c>
      <c r="E57" t="inlineStr">
        <is>
          <t>VALLENTUNA</t>
        </is>
      </c>
      <c r="G57" t="n">
        <v>3.6</v>
      </c>
      <c r="H57" t="n">
        <v>0</v>
      </c>
      <c r="I57" t="n">
        <v>1</v>
      </c>
      <c r="J57" t="n">
        <v>0</v>
      </c>
      <c r="K57" t="n">
        <v>0</v>
      </c>
      <c r="L57" t="n">
        <v>0</v>
      </c>
      <c r="M57" t="n">
        <v>0</v>
      </c>
      <c r="N57" t="n">
        <v>0</v>
      </c>
      <c r="O57" t="n">
        <v>0</v>
      </c>
      <c r="P57" t="n">
        <v>0</v>
      </c>
      <c r="Q57" t="n">
        <v>1</v>
      </c>
      <c r="R57" s="2" t="inlineStr">
        <is>
          <t>Tibast</t>
        </is>
      </c>
      <c r="S57">
        <f>HYPERLINK("https://klasma.github.io/Logging_0115/artfynd/A 8817-2025 artfynd.xlsx", "A 8817-2025")</f>
        <v/>
      </c>
      <c r="T57">
        <f>HYPERLINK("https://klasma.github.io/Logging_0115/kartor/A 8817-2025 karta.png", "A 8817-2025")</f>
        <v/>
      </c>
      <c r="V57">
        <f>HYPERLINK("https://klasma.github.io/Logging_0115/klagomål/A 8817-2025 FSC-klagomål.docx", "A 8817-2025")</f>
        <v/>
      </c>
      <c r="W57">
        <f>HYPERLINK("https://klasma.github.io/Logging_0115/klagomålsmail/A 8817-2025 FSC-klagomål mail.docx", "A 8817-2025")</f>
        <v/>
      </c>
      <c r="X57">
        <f>HYPERLINK("https://klasma.github.io/Logging_0115/tillsyn/A 8817-2025 tillsynsbegäran.docx", "A 8817-2025")</f>
        <v/>
      </c>
      <c r="Y57">
        <f>HYPERLINK("https://klasma.github.io/Logging_0115/tillsynsmail/A 8817-2025 tillsynsbegäran mail.docx", "A 8817-2025")</f>
        <v/>
      </c>
    </row>
    <row r="58" ht="15" customHeight="1">
      <c r="A58" t="inlineStr">
        <is>
          <t>A 8946-2025</t>
        </is>
      </c>
      <c r="B58" s="1" t="n">
        <v>45712</v>
      </c>
      <c r="C58" s="1" t="n">
        <v>45729</v>
      </c>
      <c r="D58" t="inlineStr">
        <is>
          <t>STOCKHOLMS LÄN</t>
        </is>
      </c>
      <c r="E58" t="inlineStr">
        <is>
          <t>VALLENTUNA</t>
        </is>
      </c>
      <c r="G58" t="n">
        <v>4.4</v>
      </c>
      <c r="H58" t="n">
        <v>0</v>
      </c>
      <c r="I58" t="n">
        <v>0</v>
      </c>
      <c r="J58" t="n">
        <v>1</v>
      </c>
      <c r="K58" t="n">
        <v>0</v>
      </c>
      <c r="L58" t="n">
        <v>0</v>
      </c>
      <c r="M58" t="n">
        <v>0</v>
      </c>
      <c r="N58" t="n">
        <v>0</v>
      </c>
      <c r="O58" t="n">
        <v>1</v>
      </c>
      <c r="P58" t="n">
        <v>0</v>
      </c>
      <c r="Q58" t="n">
        <v>1</v>
      </c>
      <c r="R58" s="2" t="inlineStr">
        <is>
          <t>Granticka</t>
        </is>
      </c>
      <c r="S58">
        <f>HYPERLINK("https://klasma.github.io/Logging_0115/artfynd/A 8946-2025 artfynd.xlsx", "A 8946-2025")</f>
        <v/>
      </c>
      <c r="T58">
        <f>HYPERLINK("https://klasma.github.io/Logging_0115/kartor/A 8946-2025 karta.png", "A 8946-2025")</f>
        <v/>
      </c>
      <c r="V58">
        <f>HYPERLINK("https://klasma.github.io/Logging_0115/klagomål/A 8946-2025 FSC-klagomål.docx", "A 8946-2025")</f>
        <v/>
      </c>
      <c r="W58">
        <f>HYPERLINK("https://klasma.github.io/Logging_0115/klagomålsmail/A 8946-2025 FSC-klagomål mail.docx", "A 8946-2025")</f>
        <v/>
      </c>
      <c r="X58">
        <f>HYPERLINK("https://klasma.github.io/Logging_0115/tillsyn/A 8946-2025 tillsynsbegäran.docx", "A 8946-2025")</f>
        <v/>
      </c>
      <c r="Y58">
        <f>HYPERLINK("https://klasma.github.io/Logging_0115/tillsynsmail/A 8946-2025 tillsynsbegäran mail.docx", "A 8946-2025")</f>
        <v/>
      </c>
    </row>
    <row r="59" ht="15" customHeight="1">
      <c r="A59" t="inlineStr">
        <is>
          <t>A 19198-2019</t>
        </is>
      </c>
      <c r="B59" s="1" t="n">
        <v>43564</v>
      </c>
      <c r="C59" s="1" t="n">
        <v>45729</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45729</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45729</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45729</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45729</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45729</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45729</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45729</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45729</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45729</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45729</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45729</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45729</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45729</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45729</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45729</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45729</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45729</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45729</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45729</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45729</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45729</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45729</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45729</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45729</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45729</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45729</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45729</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45729</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45729</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45729</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45729</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45729</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45729</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45729</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45729</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45729</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45729</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45729</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45729</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45729</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45729</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45729</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45729</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45729</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45729</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45729</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45729</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45729</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45729</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45729</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45729</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45729</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45729</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45729</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45729</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45729</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45729</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45729</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45729</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45729</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45729</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45729</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45729</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45729</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45729</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45729</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45729</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45729</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45729</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45729</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45729</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45729</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45729</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45729</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45729</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45729</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45729</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45729</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45729</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45729</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45729</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45729</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45729</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45729</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45729</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45729</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45729</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45729</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45729</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45729</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45729</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45729</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45729</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45729</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45729</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45729</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45729</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45729</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45729</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45729</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45729</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45729</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45729</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45729</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45729</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45729</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45729</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45729</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45729</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45729</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45729</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45729</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45729</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45729</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45729</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45729</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45729</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45729</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45729</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45729</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45729</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45729</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45729</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45729</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45729</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45729</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45729</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45729</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45729</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45729</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45729</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45729</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45729</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45729</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45729</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45729</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45729</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45729</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45729</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45729</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45729</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45729</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45729</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45729</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45729</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45729</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45729</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45729</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45729</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45729</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45729</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45729</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45729</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45729</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45729</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45729</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45729</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45729</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45729</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45729</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45729</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45729</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45729</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45729</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45729</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45729</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45729</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45729</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45729</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45729</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45729</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45729</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45729</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45729</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45729</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45729</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45729</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45729</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45729</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45729</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45729</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45729</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45729</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45729</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45729</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45729</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45729</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45729</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45729</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45729</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45729</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45729</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45729</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45729</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45729</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45729</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45729</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45729</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45729</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45729</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45729</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45729</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45729</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45729</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45729</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45729</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45729</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45729</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45729</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45729</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45729</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45729</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45729</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45729</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45729</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45729</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45729</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45729</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45729</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11840-2025</t>
        </is>
      </c>
      <c r="B279" s="1" t="n">
        <v>45728</v>
      </c>
      <c r="C279" s="1" t="n">
        <v>45729</v>
      </c>
      <c r="D279" t="inlineStr">
        <is>
          <t>STOCKHOLMS LÄN</t>
        </is>
      </c>
      <c r="E279" t="inlineStr">
        <is>
          <t>VALLENTUNA</t>
        </is>
      </c>
      <c r="G279" t="n">
        <v>14.9</v>
      </c>
      <c r="H279" t="n">
        <v>0</v>
      </c>
      <c r="I279" t="n">
        <v>0</v>
      </c>
      <c r="J279" t="n">
        <v>0</v>
      </c>
      <c r="K279" t="n">
        <v>0</v>
      </c>
      <c r="L279" t="n">
        <v>0</v>
      </c>
      <c r="M279" t="n">
        <v>0</v>
      </c>
      <c r="N279" t="n">
        <v>0</v>
      </c>
      <c r="O279" t="n">
        <v>0</v>
      </c>
      <c r="P279" t="n">
        <v>0</v>
      </c>
      <c r="Q279" t="n">
        <v>0</v>
      </c>
      <c r="R279" s="2" t="inlineStr"/>
    </row>
    <row r="280" ht="15" customHeight="1">
      <c r="A280" t="inlineStr">
        <is>
          <t>A 11844-2025</t>
        </is>
      </c>
      <c r="B280" s="1" t="n">
        <v>45728</v>
      </c>
      <c r="C280" s="1" t="n">
        <v>45729</v>
      </c>
      <c r="D280" t="inlineStr">
        <is>
          <t>STOCKHOLMS LÄN</t>
        </is>
      </c>
      <c r="E280" t="inlineStr">
        <is>
          <t>VALLENTUNA</t>
        </is>
      </c>
      <c r="G280" t="n">
        <v>1.8</v>
      </c>
      <c r="H280" t="n">
        <v>0</v>
      </c>
      <c r="I280" t="n">
        <v>0</v>
      </c>
      <c r="J280" t="n">
        <v>0</v>
      </c>
      <c r="K280" t="n">
        <v>0</v>
      </c>
      <c r="L280" t="n">
        <v>0</v>
      </c>
      <c r="M280" t="n">
        <v>0</v>
      </c>
      <c r="N280" t="n">
        <v>0</v>
      </c>
      <c r="O280" t="n">
        <v>0</v>
      </c>
      <c r="P280" t="n">
        <v>0</v>
      </c>
      <c r="Q280" t="n">
        <v>0</v>
      </c>
      <c r="R280" s="2" t="inlineStr"/>
    </row>
    <row r="281" ht="15" customHeight="1">
      <c r="A281" t="inlineStr">
        <is>
          <t>A 11860-2025</t>
        </is>
      </c>
      <c r="B281" s="1" t="n">
        <v>45728</v>
      </c>
      <c r="C281" s="1" t="n">
        <v>45729</v>
      </c>
      <c r="D281" t="inlineStr">
        <is>
          <t>STOCKHOLMS LÄN</t>
        </is>
      </c>
      <c r="E281" t="inlineStr">
        <is>
          <t>VALLENTUNA</t>
        </is>
      </c>
      <c r="G281" t="n">
        <v>2.1</v>
      </c>
      <c r="H281" t="n">
        <v>0</v>
      </c>
      <c r="I281" t="n">
        <v>0</v>
      </c>
      <c r="J281" t="n">
        <v>0</v>
      </c>
      <c r="K281" t="n">
        <v>0</v>
      </c>
      <c r="L281" t="n">
        <v>0</v>
      </c>
      <c r="M281" t="n">
        <v>0</v>
      </c>
      <c r="N281" t="n">
        <v>0</v>
      </c>
      <c r="O281" t="n">
        <v>0</v>
      </c>
      <c r="P281" t="n">
        <v>0</v>
      </c>
      <c r="Q281" t="n">
        <v>0</v>
      </c>
      <c r="R281" s="2" t="inlineStr"/>
    </row>
    <row r="282" ht="15" customHeight="1">
      <c r="A282" t="inlineStr">
        <is>
          <t>A 11944-2025</t>
        </is>
      </c>
      <c r="B282" s="1" t="n">
        <v>45728</v>
      </c>
      <c r="C282" s="1" t="n">
        <v>45729</v>
      </c>
      <c r="D282" t="inlineStr">
        <is>
          <t>STOCKHOLMS LÄN</t>
        </is>
      </c>
      <c r="E282" t="inlineStr">
        <is>
          <t>VALLENTUNA</t>
        </is>
      </c>
      <c r="G282" t="n">
        <v>1.2</v>
      </c>
      <c r="H282" t="n">
        <v>0</v>
      </c>
      <c r="I282" t="n">
        <v>0</v>
      </c>
      <c r="J282" t="n">
        <v>0</v>
      </c>
      <c r="K282" t="n">
        <v>0</v>
      </c>
      <c r="L282" t="n">
        <v>0</v>
      </c>
      <c r="M282" t="n">
        <v>0</v>
      </c>
      <c r="N282" t="n">
        <v>0</v>
      </c>
      <c r="O282" t="n">
        <v>0</v>
      </c>
      <c r="P282" t="n">
        <v>0</v>
      </c>
      <c r="Q282" t="n">
        <v>0</v>
      </c>
      <c r="R282" s="2" t="inlineStr"/>
    </row>
    <row r="283" ht="15" customHeight="1">
      <c r="A283" t="inlineStr">
        <is>
          <t>A 11948-2025</t>
        </is>
      </c>
      <c r="B283" s="1" t="n">
        <v>45728</v>
      </c>
      <c r="C283" s="1" t="n">
        <v>45729</v>
      </c>
      <c r="D283" t="inlineStr">
        <is>
          <t>STOCKHOLMS LÄN</t>
        </is>
      </c>
      <c r="E283" t="inlineStr">
        <is>
          <t>VALLENTUNA</t>
        </is>
      </c>
      <c r="G283" t="n">
        <v>3</v>
      </c>
      <c r="H283" t="n">
        <v>0</v>
      </c>
      <c r="I283" t="n">
        <v>0</v>
      </c>
      <c r="J283" t="n">
        <v>0</v>
      </c>
      <c r="K283" t="n">
        <v>0</v>
      </c>
      <c r="L283" t="n">
        <v>0</v>
      </c>
      <c r="M283" t="n">
        <v>0</v>
      </c>
      <c r="N283" t="n">
        <v>0</v>
      </c>
      <c r="O283" t="n">
        <v>0</v>
      </c>
      <c r="P283" t="n">
        <v>0</v>
      </c>
      <c r="Q283" t="n">
        <v>0</v>
      </c>
      <c r="R283" s="2" t="inlineStr"/>
    </row>
    <row r="284" ht="15" customHeight="1">
      <c r="A284" t="inlineStr">
        <is>
          <t>A 11952-2025</t>
        </is>
      </c>
      <c r="B284" s="1" t="n">
        <v>45728</v>
      </c>
      <c r="C284" s="1" t="n">
        <v>45729</v>
      </c>
      <c r="D284" t="inlineStr">
        <is>
          <t>STOCKHOLMS LÄN</t>
        </is>
      </c>
      <c r="E284" t="inlineStr">
        <is>
          <t>VALLENTUNA</t>
        </is>
      </c>
      <c r="G284" t="n">
        <v>1.9</v>
      </c>
      <c r="H284" t="n">
        <v>0</v>
      </c>
      <c r="I284" t="n">
        <v>0</v>
      </c>
      <c r="J284" t="n">
        <v>0</v>
      </c>
      <c r="K284" t="n">
        <v>0</v>
      </c>
      <c r="L284" t="n">
        <v>0</v>
      </c>
      <c r="M284" t="n">
        <v>0</v>
      </c>
      <c r="N284" t="n">
        <v>0</v>
      </c>
      <c r="O284" t="n">
        <v>0</v>
      </c>
      <c r="P284" t="n">
        <v>0</v>
      </c>
      <c r="Q284" t="n">
        <v>0</v>
      </c>
      <c r="R284" s="2" t="inlineStr"/>
    </row>
    <row r="285" ht="15" customHeight="1">
      <c r="A285" t="inlineStr">
        <is>
          <t>A 11950-2025</t>
        </is>
      </c>
      <c r="B285" s="1" t="n">
        <v>45728</v>
      </c>
      <c r="C285" s="1" t="n">
        <v>45729</v>
      </c>
      <c r="D285" t="inlineStr">
        <is>
          <t>STOCKHOLMS LÄN</t>
        </is>
      </c>
      <c r="E285" t="inlineStr">
        <is>
          <t>VALLENTUNA</t>
        </is>
      </c>
      <c r="G285" t="n">
        <v>1.4</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45729</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c r="A287" t="inlineStr">
        <is>
          <t>A 11962-2025</t>
        </is>
      </c>
      <c r="B287" s="1" t="n">
        <v>45728</v>
      </c>
      <c r="C287" s="1" t="n">
        <v>45729</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2025-03-13T16:42:20Z</dcterms:created>
  <dcterms:modified xmlns:dcterms="http://purl.org/dc/terms/" xmlns:xsi="http://www.w3.org/2001/XMLSchema-instance" xsi:type="dcterms:W3CDTF">2025-03-13T16:42:21Z</dcterms:modified>
</cp:coreProperties>
</file>