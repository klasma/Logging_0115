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46032</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46032</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46032</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46032</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46032</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46032</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46032</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46032</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46032</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46032</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46032</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46032</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46032</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46032</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7890-2023</t>
        </is>
      </c>
      <c r="B29" s="1" t="n">
        <v>44973</v>
      </c>
      <c r="C29" s="1" t="n">
        <v>46032</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54481-2025</t>
        </is>
      </c>
      <c r="B30" s="1" t="n">
        <v>45965.58837962963</v>
      </c>
      <c r="C30" s="1" t="n">
        <v>46032</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22830-2024</t>
        </is>
      </c>
      <c r="B31" s="1" t="n">
        <v>45448.56583333333</v>
      </c>
      <c r="C31" s="1" t="n">
        <v>46032</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63543-2025</t>
        </is>
      </c>
      <c r="B32" s="1" t="n">
        <v>46013.59207175926</v>
      </c>
      <c r="C32" s="1" t="n">
        <v>46032</v>
      </c>
      <c r="D32" t="inlineStr">
        <is>
          <t>STOCKHOLMS LÄN</t>
        </is>
      </c>
      <c r="E32" t="inlineStr">
        <is>
          <t>VALLENTUNA</t>
        </is>
      </c>
      <c r="G32" t="n">
        <v>3.4</v>
      </c>
      <c r="H32" t="n">
        <v>0</v>
      </c>
      <c r="I32" t="n">
        <v>0</v>
      </c>
      <c r="J32" t="n">
        <v>1</v>
      </c>
      <c r="K32" t="n">
        <v>0</v>
      </c>
      <c r="L32" t="n">
        <v>0</v>
      </c>
      <c r="M32" t="n">
        <v>0</v>
      </c>
      <c r="N32" t="n">
        <v>0</v>
      </c>
      <c r="O32" t="n">
        <v>1</v>
      </c>
      <c r="P32" t="n">
        <v>0</v>
      </c>
      <c r="Q32" t="n">
        <v>1</v>
      </c>
      <c r="R32" s="2" t="inlineStr">
        <is>
          <t>Tallticka</t>
        </is>
      </c>
      <c r="S32">
        <f>HYPERLINK("https://klasma.github.io/Logging_0115/artfynd/A 63543-2025 artfynd.xlsx", "A 63543-2025")</f>
        <v/>
      </c>
      <c r="T32">
        <f>HYPERLINK("https://klasma.github.io/Logging_0115/kartor/A 63543-2025 karta.png", "A 63543-2025")</f>
        <v/>
      </c>
      <c r="V32">
        <f>HYPERLINK("https://klasma.github.io/Logging_0115/klagomål/A 63543-2025 FSC-klagomål.docx", "A 63543-2025")</f>
        <v/>
      </c>
      <c r="W32">
        <f>HYPERLINK("https://klasma.github.io/Logging_0115/klagomålsmail/A 63543-2025 FSC-klagomål mail.docx", "A 63543-2025")</f>
        <v/>
      </c>
      <c r="X32">
        <f>HYPERLINK("https://klasma.github.io/Logging_0115/tillsyn/A 63543-2025 tillsynsbegäran.docx", "A 63543-2025")</f>
        <v/>
      </c>
      <c r="Y32">
        <f>HYPERLINK("https://klasma.github.io/Logging_0115/tillsynsmail/A 63543-2025 tillsynsbegäran mail.docx", "A 63543-2025")</f>
        <v/>
      </c>
    </row>
    <row r="33" ht="15" customHeight="1">
      <c r="A33" t="inlineStr">
        <is>
          <t>A 63539-2025</t>
        </is>
      </c>
      <c r="B33" s="1" t="n">
        <v>46013.58824074074</v>
      </c>
      <c r="C33" s="1" t="n">
        <v>46032</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34460-2023</t>
        </is>
      </c>
      <c r="B34" s="1" t="n">
        <v>45139</v>
      </c>
      <c r="C34" s="1" t="n">
        <v>46032</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46032</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46032</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46032</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46032</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46032</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46032</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46032</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46032</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46032</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46032</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46032</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46032</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46032</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46032</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46032</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46032</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50784-2025</t>
        </is>
      </c>
      <c r="B61" s="1" t="n">
        <v>45946</v>
      </c>
      <c r="C61" s="1" t="n">
        <v>46032</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46381-2023</t>
        </is>
      </c>
      <c r="B62" s="1" t="n">
        <v>45193</v>
      </c>
      <c r="C62" s="1" t="n">
        <v>46032</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23009-2024</t>
        </is>
      </c>
      <c r="B63" s="1" t="n">
        <v>45450.34506944445</v>
      </c>
      <c r="C63" s="1" t="n">
        <v>46032</v>
      </c>
      <c r="D63" t="inlineStr">
        <is>
          <t>STOCKHOLMS LÄN</t>
        </is>
      </c>
      <c r="E63" t="inlineStr">
        <is>
          <t>VALLENTUNA</t>
        </is>
      </c>
      <c r="G63" t="n">
        <v>1.4</v>
      </c>
      <c r="H63" t="n">
        <v>0</v>
      </c>
      <c r="I63" t="n">
        <v>0</v>
      </c>
      <c r="J63" t="n">
        <v>0</v>
      </c>
      <c r="K63" t="n">
        <v>0</v>
      </c>
      <c r="L63" t="n">
        <v>0</v>
      </c>
      <c r="M63" t="n">
        <v>0</v>
      </c>
      <c r="N63" t="n">
        <v>0</v>
      </c>
      <c r="O63" t="n">
        <v>0</v>
      </c>
      <c r="P63" t="n">
        <v>0</v>
      </c>
      <c r="Q63" t="n">
        <v>0</v>
      </c>
      <c r="R63" s="2" t="inlineStr"/>
    </row>
    <row r="64" ht="15" customHeight="1">
      <c r="A64" t="inlineStr">
        <is>
          <t>A 61027-2023</t>
        </is>
      </c>
      <c r="B64" s="1" t="n">
        <v>45261</v>
      </c>
      <c r="C64" s="1" t="n">
        <v>46032</v>
      </c>
      <c r="D64" t="inlineStr">
        <is>
          <t>STOCKHOLMS LÄN</t>
        </is>
      </c>
      <c r="E64" t="inlineStr">
        <is>
          <t>VALLENTUNA</t>
        </is>
      </c>
      <c r="G64" t="n">
        <v>7.1</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46032</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46032</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46032</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46032</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25984-2025</t>
        </is>
      </c>
      <c r="B69" s="1" t="n">
        <v>45804.64016203704</v>
      </c>
      <c r="C69" s="1" t="n">
        <v>46032</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15300-2023</t>
        </is>
      </c>
      <c r="B70" s="1" t="n">
        <v>45019</v>
      </c>
      <c r="C70" s="1" t="n">
        <v>46032</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44988-2025</t>
        </is>
      </c>
      <c r="B71" s="1" t="n">
        <v>45918.65505787037</v>
      </c>
      <c r="C71" s="1" t="n">
        <v>46032</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27870-2025</t>
        </is>
      </c>
      <c r="B72" s="1" t="n">
        <v>45817</v>
      </c>
      <c r="C72" s="1" t="n">
        <v>46032</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61742-2022</t>
        </is>
      </c>
      <c r="B73" s="1" t="n">
        <v>44917</v>
      </c>
      <c r="C73" s="1" t="n">
        <v>46032</v>
      </c>
      <c r="D73" t="inlineStr">
        <is>
          <t>STOCKHOLMS LÄN</t>
        </is>
      </c>
      <c r="E73" t="inlineStr">
        <is>
          <t>VALLENTUNA</t>
        </is>
      </c>
      <c r="G73" t="n">
        <v>0.5</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46032</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46032</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46032</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46032</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14480-2024</t>
        </is>
      </c>
      <c r="B78" s="1" t="n">
        <v>45394.56777777777</v>
      </c>
      <c r="C78" s="1" t="n">
        <v>46032</v>
      </c>
      <c r="D78" t="inlineStr">
        <is>
          <t>STOCKHOLMS LÄN</t>
        </is>
      </c>
      <c r="E78" t="inlineStr">
        <is>
          <t>VALLENTUNA</t>
        </is>
      </c>
      <c r="G78" t="n">
        <v>1.8</v>
      </c>
      <c r="H78" t="n">
        <v>0</v>
      </c>
      <c r="I78" t="n">
        <v>0</v>
      </c>
      <c r="J78" t="n">
        <v>0</v>
      </c>
      <c r="K78" t="n">
        <v>0</v>
      </c>
      <c r="L78" t="n">
        <v>0</v>
      </c>
      <c r="M78" t="n">
        <v>0</v>
      </c>
      <c r="N78" t="n">
        <v>0</v>
      </c>
      <c r="O78" t="n">
        <v>0</v>
      </c>
      <c r="P78" t="n">
        <v>0</v>
      </c>
      <c r="Q78" t="n">
        <v>0</v>
      </c>
      <c r="R78" s="2" t="inlineStr"/>
    </row>
    <row r="79" ht="15" customHeight="1">
      <c r="A79" t="inlineStr">
        <is>
          <t>A 17340-2025</t>
        </is>
      </c>
      <c r="B79" s="1" t="n">
        <v>45756</v>
      </c>
      <c r="C79" s="1" t="n">
        <v>46032</v>
      </c>
      <c r="D79" t="inlineStr">
        <is>
          <t>STOCKHOLMS LÄN</t>
        </is>
      </c>
      <c r="E79" t="inlineStr">
        <is>
          <t>VALLENTUNA</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30913-2021</t>
        </is>
      </c>
      <c r="B80" s="1" t="n">
        <v>44365</v>
      </c>
      <c r="C80" s="1" t="n">
        <v>46032</v>
      </c>
      <c r="D80" t="inlineStr">
        <is>
          <t>STOCKHOLMS LÄN</t>
        </is>
      </c>
      <c r="E80" t="inlineStr">
        <is>
          <t>VALLENTUNA</t>
        </is>
      </c>
      <c r="F80" t="inlineStr">
        <is>
          <t>Övriga Aktiebolag</t>
        </is>
      </c>
      <c r="G80" t="n">
        <v>3.3</v>
      </c>
      <c r="H80" t="n">
        <v>0</v>
      </c>
      <c r="I80" t="n">
        <v>0</v>
      </c>
      <c r="J80" t="n">
        <v>0</v>
      </c>
      <c r="K80" t="n">
        <v>0</v>
      </c>
      <c r="L80" t="n">
        <v>0</v>
      </c>
      <c r="M80" t="n">
        <v>0</v>
      </c>
      <c r="N80" t="n">
        <v>0</v>
      </c>
      <c r="O80" t="n">
        <v>0</v>
      </c>
      <c r="P80" t="n">
        <v>0</v>
      </c>
      <c r="Q80" t="n">
        <v>0</v>
      </c>
      <c r="R80" s="2" t="inlineStr"/>
    </row>
    <row r="81" ht="15" customHeight="1">
      <c r="A81" t="inlineStr">
        <is>
          <t>A 45496-2023</t>
        </is>
      </c>
      <c r="B81" s="1" t="n">
        <v>45194</v>
      </c>
      <c r="C81" s="1" t="n">
        <v>46032</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46032</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29704-2023</t>
        </is>
      </c>
      <c r="B83" s="1" t="n">
        <v>45107</v>
      </c>
      <c r="C83" s="1" t="n">
        <v>46032</v>
      </c>
      <c r="D83" t="inlineStr">
        <is>
          <t>STOCKHOLMS LÄN</t>
        </is>
      </c>
      <c r="E83" t="inlineStr">
        <is>
          <t>VALLENTUNA</t>
        </is>
      </c>
      <c r="G83" t="n">
        <v>3.7</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46032</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46032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61646-2025</t>
        </is>
      </c>
      <c r="B86" s="1" t="n">
        <v>46002</v>
      </c>
      <c r="C86" s="1" t="n">
        <v>46032</v>
      </c>
      <c r="D86" t="inlineStr">
        <is>
          <t>STOCKHOLMS LÄN</t>
        </is>
      </c>
      <c r="E86" t="inlineStr">
        <is>
          <t>VALLENTUNA</t>
        </is>
      </c>
      <c r="G86" t="n">
        <v>3.7</v>
      </c>
      <c r="H86" t="n">
        <v>0</v>
      </c>
      <c r="I86" t="n">
        <v>0</v>
      </c>
      <c r="J86" t="n">
        <v>0</v>
      </c>
      <c r="K86" t="n">
        <v>0</v>
      </c>
      <c r="L86" t="n">
        <v>0</v>
      </c>
      <c r="M86" t="n">
        <v>0</v>
      </c>
      <c r="N86" t="n">
        <v>0</v>
      </c>
      <c r="O86" t="n">
        <v>0</v>
      </c>
      <c r="P86" t="n">
        <v>0</v>
      </c>
      <c r="Q86" t="n">
        <v>0</v>
      </c>
      <c r="R86" s="2" t="inlineStr"/>
    </row>
    <row r="87" ht="15" customHeight="1">
      <c r="A87" t="inlineStr">
        <is>
          <t>A 4804-2024</t>
        </is>
      </c>
      <c r="B87" s="1" t="n">
        <v>45328</v>
      </c>
      <c r="C87" s="1" t="n">
        <v>46032</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46032</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44346-2021</t>
        </is>
      </c>
      <c r="B89" s="1" t="n">
        <v>44434</v>
      </c>
      <c r="C89" s="1" t="n">
        <v>46032</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54460-2025</t>
        </is>
      </c>
      <c r="B90" s="1" t="n">
        <v>45965.56219907408</v>
      </c>
      <c r="C90" s="1" t="n">
        <v>46032</v>
      </c>
      <c r="D90" t="inlineStr">
        <is>
          <t>STOCKHOLMS LÄN</t>
        </is>
      </c>
      <c r="E90" t="inlineStr">
        <is>
          <t>VALLENTUNA</t>
        </is>
      </c>
      <c r="G90" t="n">
        <v>22.9</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46032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46032</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5910-2022</t>
        </is>
      </c>
      <c r="B93" s="1" t="n">
        <v>44597</v>
      </c>
      <c r="C93" s="1" t="n">
        <v>46032</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24994-2021</t>
        </is>
      </c>
      <c r="B94" s="1" t="n">
        <v>44341</v>
      </c>
      <c r="C94" s="1" t="n">
        <v>46032</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60795-2023</t>
        </is>
      </c>
      <c r="B95" s="1" t="n">
        <v>45260</v>
      </c>
      <c r="C95" s="1" t="n">
        <v>46032</v>
      </c>
      <c r="D95" t="inlineStr">
        <is>
          <t>STOCKHOLMS LÄN</t>
        </is>
      </c>
      <c r="E95" t="inlineStr">
        <is>
          <t>VALLENTUNA</t>
        </is>
      </c>
      <c r="G95" t="n">
        <v>2.2</v>
      </c>
      <c r="H95" t="n">
        <v>0</v>
      </c>
      <c r="I95" t="n">
        <v>0</v>
      </c>
      <c r="J95" t="n">
        <v>0</v>
      </c>
      <c r="K95" t="n">
        <v>0</v>
      </c>
      <c r="L95" t="n">
        <v>0</v>
      </c>
      <c r="M95" t="n">
        <v>0</v>
      </c>
      <c r="N95" t="n">
        <v>0</v>
      </c>
      <c r="O95" t="n">
        <v>0</v>
      </c>
      <c r="P95" t="n">
        <v>0</v>
      </c>
      <c r="Q95" t="n">
        <v>0</v>
      </c>
      <c r="R95" s="2" t="inlineStr"/>
    </row>
    <row r="96" ht="15" customHeight="1">
      <c r="A96" t="inlineStr">
        <is>
          <t>A 60997-2022</t>
        </is>
      </c>
      <c r="B96" s="1" t="n">
        <v>44914.70746527778</v>
      </c>
      <c r="C96" s="1" t="n">
        <v>46032</v>
      </c>
      <c r="D96" t="inlineStr">
        <is>
          <t>STOCKHOLMS LÄN</t>
        </is>
      </c>
      <c r="E96" t="inlineStr">
        <is>
          <t>VALLENTUNA</t>
        </is>
      </c>
      <c r="G96" t="n">
        <v>1.8</v>
      </c>
      <c r="H96" t="n">
        <v>0</v>
      </c>
      <c r="I96" t="n">
        <v>0</v>
      </c>
      <c r="J96" t="n">
        <v>0</v>
      </c>
      <c r="K96" t="n">
        <v>0</v>
      </c>
      <c r="L96" t="n">
        <v>0</v>
      </c>
      <c r="M96" t="n">
        <v>0</v>
      </c>
      <c r="N96" t="n">
        <v>0</v>
      </c>
      <c r="O96" t="n">
        <v>0</v>
      </c>
      <c r="P96" t="n">
        <v>0</v>
      </c>
      <c r="Q96" t="n">
        <v>0</v>
      </c>
      <c r="R96" s="2" t="inlineStr"/>
    </row>
    <row r="97" ht="15" customHeight="1">
      <c r="A97" t="inlineStr">
        <is>
          <t>A 14775-2024</t>
        </is>
      </c>
      <c r="B97" s="1" t="n">
        <v>45397.73675925926</v>
      </c>
      <c r="C97" s="1" t="n">
        <v>46032</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46032</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8787-2024</t>
        </is>
      </c>
      <c r="B99" s="1" t="n">
        <v>45356</v>
      </c>
      <c r="C99" s="1" t="n">
        <v>46032</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46032</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14782-2024</t>
        </is>
      </c>
      <c r="B101" s="1" t="n">
        <v>45397.74266203704</v>
      </c>
      <c r="C101" s="1" t="n">
        <v>46032</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52562-2023</t>
        </is>
      </c>
      <c r="B102" s="1" t="n">
        <v>45225</v>
      </c>
      <c r="C102" s="1" t="n">
        <v>46032</v>
      </c>
      <c r="D102" t="inlineStr">
        <is>
          <t>STOCKHOLMS LÄN</t>
        </is>
      </c>
      <c r="E102" t="inlineStr">
        <is>
          <t>VALLENTUNA</t>
        </is>
      </c>
      <c r="G102" t="n">
        <v>3.4</v>
      </c>
      <c r="H102" t="n">
        <v>0</v>
      </c>
      <c r="I102" t="n">
        <v>0</v>
      </c>
      <c r="J102" t="n">
        <v>0</v>
      </c>
      <c r="K102" t="n">
        <v>0</v>
      </c>
      <c r="L102" t="n">
        <v>0</v>
      </c>
      <c r="M102" t="n">
        <v>0</v>
      </c>
      <c r="N102" t="n">
        <v>0</v>
      </c>
      <c r="O102" t="n">
        <v>0</v>
      </c>
      <c r="P102" t="n">
        <v>0</v>
      </c>
      <c r="Q102" t="n">
        <v>0</v>
      </c>
      <c r="R102" s="2" t="inlineStr"/>
    </row>
    <row r="103" ht="15" customHeight="1">
      <c r="A103" t="inlineStr">
        <is>
          <t>A 49530-2023</t>
        </is>
      </c>
      <c r="B103" s="1" t="n">
        <v>45205</v>
      </c>
      <c r="C103" s="1" t="n">
        <v>46032</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52542-2023</t>
        </is>
      </c>
      <c r="B104" s="1" t="n">
        <v>45225</v>
      </c>
      <c r="C104" s="1" t="n">
        <v>46032</v>
      </c>
      <c r="D104" t="inlineStr">
        <is>
          <t>STOCKHOLMS LÄN</t>
        </is>
      </c>
      <c r="E104" t="inlineStr">
        <is>
          <t>VALLENTUNA</t>
        </is>
      </c>
      <c r="G104" t="n">
        <v>3.8</v>
      </c>
      <c r="H104" t="n">
        <v>0</v>
      </c>
      <c r="I104" t="n">
        <v>0</v>
      </c>
      <c r="J104" t="n">
        <v>0</v>
      </c>
      <c r="K104" t="n">
        <v>0</v>
      </c>
      <c r="L104" t="n">
        <v>0</v>
      </c>
      <c r="M104" t="n">
        <v>0</v>
      </c>
      <c r="N104" t="n">
        <v>0</v>
      </c>
      <c r="O104" t="n">
        <v>0</v>
      </c>
      <c r="P104" t="n">
        <v>0</v>
      </c>
      <c r="Q104" t="n">
        <v>0</v>
      </c>
      <c r="R104" s="2" t="inlineStr"/>
    </row>
    <row r="105" ht="15" customHeight="1">
      <c r="A105" t="inlineStr">
        <is>
          <t>A 2318-2024</t>
        </is>
      </c>
      <c r="B105" s="1" t="n">
        <v>45310</v>
      </c>
      <c r="C105" s="1" t="n">
        <v>46032</v>
      </c>
      <c r="D105" t="inlineStr">
        <is>
          <t>STOCKHOLMS LÄN</t>
        </is>
      </c>
      <c r="E105" t="inlineStr">
        <is>
          <t>VALLENTUNA</t>
        </is>
      </c>
      <c r="G105" t="n">
        <v>2.2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46032</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21445-2023</t>
        </is>
      </c>
      <c r="B107" s="1" t="n">
        <v>45063</v>
      </c>
      <c r="C107" s="1" t="n">
        <v>46032</v>
      </c>
      <c r="D107" t="inlineStr">
        <is>
          <t>STOCKHOLMS LÄN</t>
        </is>
      </c>
      <c r="E107" t="inlineStr">
        <is>
          <t>VALLENTUNA</t>
        </is>
      </c>
      <c r="G107" t="n">
        <v>3.1</v>
      </c>
      <c r="H107" t="n">
        <v>0</v>
      </c>
      <c r="I107" t="n">
        <v>0</v>
      </c>
      <c r="J107" t="n">
        <v>0</v>
      </c>
      <c r="K107" t="n">
        <v>0</v>
      </c>
      <c r="L107" t="n">
        <v>0</v>
      </c>
      <c r="M107" t="n">
        <v>0</v>
      </c>
      <c r="N107" t="n">
        <v>0</v>
      </c>
      <c r="O107" t="n">
        <v>0</v>
      </c>
      <c r="P107" t="n">
        <v>0</v>
      </c>
      <c r="Q107" t="n">
        <v>0</v>
      </c>
      <c r="R107" s="2" t="inlineStr"/>
    </row>
    <row r="108" ht="15" customHeight="1">
      <c r="A108" t="inlineStr">
        <is>
          <t>A 34441-2023</t>
        </is>
      </c>
      <c r="B108" s="1" t="n">
        <v>45139</v>
      </c>
      <c r="C108" s="1" t="n">
        <v>46032</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34445-2023</t>
        </is>
      </c>
      <c r="B109" s="1" t="n">
        <v>45139</v>
      </c>
      <c r="C109" s="1" t="n">
        <v>46032</v>
      </c>
      <c r="D109" t="inlineStr">
        <is>
          <t>STOCKHOLMS LÄN</t>
        </is>
      </c>
      <c r="E109" t="inlineStr">
        <is>
          <t>VALLENTUNA</t>
        </is>
      </c>
      <c r="G109" t="n">
        <v>0.9</v>
      </c>
      <c r="H109" t="n">
        <v>0</v>
      </c>
      <c r="I109" t="n">
        <v>0</v>
      </c>
      <c r="J109" t="n">
        <v>0</v>
      </c>
      <c r="K109" t="n">
        <v>0</v>
      </c>
      <c r="L109" t="n">
        <v>0</v>
      </c>
      <c r="M109" t="n">
        <v>0</v>
      </c>
      <c r="N109" t="n">
        <v>0</v>
      </c>
      <c r="O109" t="n">
        <v>0</v>
      </c>
      <c r="P109" t="n">
        <v>0</v>
      </c>
      <c r="Q109" t="n">
        <v>0</v>
      </c>
      <c r="R109" s="2" t="inlineStr"/>
    </row>
    <row r="110" ht="15" customHeight="1">
      <c r="A110" t="inlineStr">
        <is>
          <t>A 735-2024</t>
        </is>
      </c>
      <c r="B110" s="1" t="n">
        <v>45300</v>
      </c>
      <c r="C110" s="1" t="n">
        <v>46032</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12585-2023</t>
        </is>
      </c>
      <c r="B111" s="1" t="n">
        <v>45000.41373842592</v>
      </c>
      <c r="C111" s="1" t="n">
        <v>46032</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46032</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47140-2024</t>
        </is>
      </c>
      <c r="B113" s="1" t="n">
        <v>45586.58753472222</v>
      </c>
      <c r="C113" s="1" t="n">
        <v>46032</v>
      </c>
      <c r="D113" t="inlineStr">
        <is>
          <t>STOCKHOLMS LÄN</t>
        </is>
      </c>
      <c r="E113" t="inlineStr">
        <is>
          <t>VALLENTUNA</t>
        </is>
      </c>
      <c r="G113" t="n">
        <v>1</v>
      </c>
      <c r="H113" t="n">
        <v>0</v>
      </c>
      <c r="I113" t="n">
        <v>0</v>
      </c>
      <c r="J113" t="n">
        <v>0</v>
      </c>
      <c r="K113" t="n">
        <v>0</v>
      </c>
      <c r="L113" t="n">
        <v>0</v>
      </c>
      <c r="M113" t="n">
        <v>0</v>
      </c>
      <c r="N113" t="n">
        <v>0</v>
      </c>
      <c r="O113" t="n">
        <v>0</v>
      </c>
      <c r="P113" t="n">
        <v>0</v>
      </c>
      <c r="Q113" t="n">
        <v>0</v>
      </c>
      <c r="R113" s="2" t="inlineStr"/>
    </row>
    <row r="114" ht="15" customHeight="1">
      <c r="A114" t="inlineStr">
        <is>
          <t>A 21765-2023</t>
        </is>
      </c>
      <c r="B114" s="1" t="n">
        <v>45064</v>
      </c>
      <c r="C114" s="1" t="n">
        <v>46032</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46032</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23986-2023</t>
        </is>
      </c>
      <c r="B116" s="1" t="n">
        <v>45078</v>
      </c>
      <c r="C116" s="1" t="n">
        <v>46032</v>
      </c>
      <c r="D116" t="inlineStr">
        <is>
          <t>STOCKHOLMS LÄN</t>
        </is>
      </c>
      <c r="E116" t="inlineStr">
        <is>
          <t>VALLENTUNA</t>
        </is>
      </c>
      <c r="F116" t="inlineStr">
        <is>
          <t>Kyrkan</t>
        </is>
      </c>
      <c r="G116" t="n">
        <v>5.7</v>
      </c>
      <c r="H116" t="n">
        <v>0</v>
      </c>
      <c r="I116" t="n">
        <v>0</v>
      </c>
      <c r="J116" t="n">
        <v>0</v>
      </c>
      <c r="K116" t="n">
        <v>0</v>
      </c>
      <c r="L116" t="n">
        <v>0</v>
      </c>
      <c r="M116" t="n">
        <v>0</v>
      </c>
      <c r="N116" t="n">
        <v>0</v>
      </c>
      <c r="O116" t="n">
        <v>0</v>
      </c>
      <c r="P116" t="n">
        <v>0</v>
      </c>
      <c r="Q116" t="n">
        <v>0</v>
      </c>
      <c r="R116" s="2" t="inlineStr"/>
    </row>
    <row r="117" ht="15" customHeight="1">
      <c r="A117" t="inlineStr">
        <is>
          <t>A 24068-2024</t>
        </is>
      </c>
      <c r="B117" s="1" t="n">
        <v>45456</v>
      </c>
      <c r="C117" s="1" t="n">
        <v>46032</v>
      </c>
      <c r="D117" t="inlineStr">
        <is>
          <t>STOCKHOLMS LÄN</t>
        </is>
      </c>
      <c r="E117" t="inlineStr">
        <is>
          <t>VALLENTUNA</t>
        </is>
      </c>
      <c r="G117" t="n">
        <v>7.4</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46032</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46032</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3078-2023</t>
        </is>
      </c>
      <c r="B120" s="1" t="n">
        <v>44946.41527777778</v>
      </c>
      <c r="C120" s="1" t="n">
        <v>46032</v>
      </c>
      <c r="D120" t="inlineStr">
        <is>
          <t>STOCKHOLMS LÄN</t>
        </is>
      </c>
      <c r="E120" t="inlineStr">
        <is>
          <t>VALLENTUNA</t>
        </is>
      </c>
      <c r="G120" t="n">
        <v>3.9</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46032</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46032</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4803-2024</t>
        </is>
      </c>
      <c r="B123" s="1" t="n">
        <v>45328</v>
      </c>
      <c r="C123" s="1" t="n">
        <v>46032</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3698-2022</t>
        </is>
      </c>
      <c r="B124" s="1" t="n">
        <v>44586</v>
      </c>
      <c r="C124" s="1" t="n">
        <v>46032</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38102-2024</t>
        </is>
      </c>
      <c r="B125" s="1" t="n">
        <v>45545.36349537037</v>
      </c>
      <c r="C125" s="1" t="n">
        <v>46032</v>
      </c>
      <c r="D125" t="inlineStr">
        <is>
          <t>STOCKHOLMS LÄN</t>
        </is>
      </c>
      <c r="E125" t="inlineStr">
        <is>
          <t>VALLENTUNA</t>
        </is>
      </c>
      <c r="G125" t="n">
        <v>3.2</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46032</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24943-2024</t>
        </is>
      </c>
      <c r="B127" s="1" t="n">
        <v>45461.62585648148</v>
      </c>
      <c r="C127" s="1" t="n">
        <v>46032</v>
      </c>
      <c r="D127" t="inlineStr">
        <is>
          <t>STOCKHOLMS LÄN</t>
        </is>
      </c>
      <c r="E127" t="inlineStr">
        <is>
          <t>VALLENTUNA</t>
        </is>
      </c>
      <c r="G127" t="n">
        <v>2</v>
      </c>
      <c r="H127" t="n">
        <v>0</v>
      </c>
      <c r="I127" t="n">
        <v>0</v>
      </c>
      <c r="J127" t="n">
        <v>0</v>
      </c>
      <c r="K127" t="n">
        <v>0</v>
      </c>
      <c r="L127" t="n">
        <v>0</v>
      </c>
      <c r="M127" t="n">
        <v>0</v>
      </c>
      <c r="N127" t="n">
        <v>0</v>
      </c>
      <c r="O127" t="n">
        <v>0</v>
      </c>
      <c r="P127" t="n">
        <v>0</v>
      </c>
      <c r="Q127" t="n">
        <v>0</v>
      </c>
      <c r="R127" s="2" t="inlineStr"/>
    </row>
    <row r="128" ht="15" customHeight="1">
      <c r="A128" t="inlineStr">
        <is>
          <t>A 22683-2023</t>
        </is>
      </c>
      <c r="B128" s="1" t="n">
        <v>45071</v>
      </c>
      <c r="C128" s="1" t="n">
        <v>46032</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46032</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46032</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60818-2023</t>
        </is>
      </c>
      <c r="B131" s="1" t="n">
        <v>45259</v>
      </c>
      <c r="C131" s="1" t="n">
        <v>46032</v>
      </c>
      <c r="D131" t="inlineStr">
        <is>
          <t>STOCKHOLMS LÄN</t>
        </is>
      </c>
      <c r="E131" t="inlineStr">
        <is>
          <t>VALLENTUNA</t>
        </is>
      </c>
      <c r="G131" t="n">
        <v>9.4</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46032</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46032</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46032</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46032</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46032</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61442-2024</t>
        </is>
      </c>
      <c r="B137" s="1" t="n">
        <v>45646.47003472222</v>
      </c>
      <c r="C137" s="1" t="n">
        <v>46032</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48068-2021</t>
        </is>
      </c>
      <c r="B138" s="1" t="n">
        <v>44449.42270833333</v>
      </c>
      <c r="C138" s="1" t="n">
        <v>46032</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45499-2023</t>
        </is>
      </c>
      <c r="B139" s="1" t="n">
        <v>45194</v>
      </c>
      <c r="C139" s="1" t="n">
        <v>46032</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46032</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46032</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46032</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c r="A143" t="inlineStr">
        <is>
          <t>A 12621-2024</t>
        </is>
      </c>
      <c r="B143" s="1" t="n">
        <v>45383.6325</v>
      </c>
      <c r="C143" s="1" t="n">
        <v>46032</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2026-01-10T10:53:12Z</dcterms:created>
  <dcterms:modified xmlns:dcterms="http://purl.org/dc/terms/" xmlns:xsi="http://www.w3.org/2001/XMLSchema-instance" xsi:type="dcterms:W3CDTF">2026-01-10T10:53:12Z</dcterms:modified>
</cp:coreProperties>
</file>