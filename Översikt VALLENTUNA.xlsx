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45972</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45972</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45972</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45972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45972</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45972</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45972</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45972</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45972</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45972</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45972</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45972</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8817-2025</t>
        </is>
      </c>
      <c r="B25" s="1" t="n">
        <v>45712.70987268518</v>
      </c>
      <c r="C25" s="1" t="n">
        <v>45972</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45972</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34458-2023</t>
        </is>
      </c>
      <c r="B27" s="1" t="n">
        <v>45139</v>
      </c>
      <c r="C27" s="1" t="n">
        <v>45972</v>
      </c>
      <c r="D27" t="inlineStr">
        <is>
          <t>STOCKHOLMS LÄN</t>
        </is>
      </c>
      <c r="E27" t="inlineStr">
        <is>
          <t>VALLENTUNA</t>
        </is>
      </c>
      <c r="G27" t="n">
        <v>2.5</v>
      </c>
      <c r="H27" t="n">
        <v>0</v>
      </c>
      <c r="I27" t="n">
        <v>0</v>
      </c>
      <c r="J27" t="n">
        <v>1</v>
      </c>
      <c r="K27" t="n">
        <v>0</v>
      </c>
      <c r="L27" t="n">
        <v>0</v>
      </c>
      <c r="M27" t="n">
        <v>0</v>
      </c>
      <c r="N27" t="n">
        <v>0</v>
      </c>
      <c r="O27" t="n">
        <v>1</v>
      </c>
      <c r="P27" t="n">
        <v>0</v>
      </c>
      <c r="Q27" t="n">
        <v>1</v>
      </c>
      <c r="R27" s="2" t="inlineStr">
        <is>
          <t>Motaggsvamp</t>
        </is>
      </c>
      <c r="S27">
        <f>HYPERLINK("https://klasma.github.io/Logging_0115/artfynd/A 34458-2023 artfynd.xlsx", "A 34458-2023")</f>
        <v/>
      </c>
      <c r="T27">
        <f>HYPERLINK("https://klasma.github.io/Logging_0115/kartor/A 34458-2023 karta.png", "A 34458-2023")</f>
        <v/>
      </c>
      <c r="V27">
        <f>HYPERLINK("https://klasma.github.io/Logging_0115/klagomål/A 34458-2023 FSC-klagomål.docx", "A 34458-2023")</f>
        <v/>
      </c>
      <c r="W27">
        <f>HYPERLINK("https://klasma.github.io/Logging_0115/klagomålsmail/A 34458-2023 FSC-klagomål mail.docx", "A 34458-2023")</f>
        <v/>
      </c>
      <c r="X27">
        <f>HYPERLINK("https://klasma.github.io/Logging_0115/tillsyn/A 34458-2023 tillsynsbegäran.docx", "A 34458-2023")</f>
        <v/>
      </c>
      <c r="Y27">
        <f>HYPERLINK("https://klasma.github.io/Logging_0115/tillsynsmail/A 34458-2023 tillsynsbegäran mail.docx", "A 34458-2023")</f>
        <v/>
      </c>
    </row>
    <row r="28" ht="15" customHeight="1">
      <c r="A28" t="inlineStr">
        <is>
          <t>A 17348-2025</t>
        </is>
      </c>
      <c r="B28" s="1" t="n">
        <v>45756</v>
      </c>
      <c r="C28" s="1" t="n">
        <v>45972</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7890-2023</t>
        </is>
      </c>
      <c r="B29" s="1" t="n">
        <v>44973</v>
      </c>
      <c r="C29" s="1" t="n">
        <v>45972</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45972</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34460-2023</t>
        </is>
      </c>
      <c r="B31" s="1" t="n">
        <v>45139</v>
      </c>
      <c r="C31" s="1" t="n">
        <v>45972</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21439-2025</t>
        </is>
      </c>
      <c r="B32" s="1" t="n">
        <v>45782.52939814814</v>
      </c>
      <c r="C32" s="1" t="n">
        <v>45972</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22936-2025</t>
        </is>
      </c>
      <c r="B33" s="1" t="n">
        <v>45790.45738425926</v>
      </c>
      <c r="C33" s="1" t="n">
        <v>45972</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21-2022</t>
        </is>
      </c>
      <c r="B34" s="1" t="n">
        <v>44560</v>
      </c>
      <c r="C34" s="1" t="n">
        <v>45972</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45972</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45972</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45972</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45972</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45972</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45972</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45972</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45972</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45972</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45972</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45972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45972</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45972</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45972</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45972</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45972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45972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45972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45972</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48078-2021</t>
        </is>
      </c>
      <c r="B56" s="1" t="n">
        <v>44449.42578703703</v>
      </c>
      <c r="C56" s="1" t="n">
        <v>45972</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60997-2022</t>
        </is>
      </c>
      <c r="B57" s="1" t="n">
        <v>44914.70746527778</v>
      </c>
      <c r="C57" s="1" t="n">
        <v>45972</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45972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45972</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12234-2022</t>
        </is>
      </c>
      <c r="B60" s="1" t="n">
        <v>44637</v>
      </c>
      <c r="C60" s="1" t="n">
        <v>45972</v>
      </c>
      <c r="D60" t="inlineStr">
        <is>
          <t>STOCKHOLMS LÄN</t>
        </is>
      </c>
      <c r="E60" t="inlineStr">
        <is>
          <t>VALLENTUNA</t>
        </is>
      </c>
      <c r="G60" t="n">
        <v>2.4</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45972</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21614-2022</t>
        </is>
      </c>
      <c r="B62" s="1" t="n">
        <v>44706</v>
      </c>
      <c r="C62" s="1" t="n">
        <v>45972</v>
      </c>
      <c r="D62" t="inlineStr">
        <is>
          <t>STOCKHOLMS LÄN</t>
        </is>
      </c>
      <c r="E62" t="inlineStr">
        <is>
          <t>VALLENTUNA</t>
        </is>
      </c>
      <c r="G62" t="n">
        <v>4</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45972</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45972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12585-2023</t>
        </is>
      </c>
      <c r="B65" s="1" t="n">
        <v>45000.41373842592</v>
      </c>
      <c r="C65" s="1" t="n">
        <v>45972</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21612-2021</t>
        </is>
      </c>
      <c r="B66" s="1" t="n">
        <v>44321</v>
      </c>
      <c r="C66" s="1" t="n">
        <v>45972</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8787-2024</t>
        </is>
      </c>
      <c r="B67" s="1" t="n">
        <v>45356</v>
      </c>
      <c r="C67" s="1" t="n">
        <v>45972</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45972</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45972</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45972</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19503-2023</t>
        </is>
      </c>
      <c r="B71" s="1" t="n">
        <v>45050.47333333334</v>
      </c>
      <c r="C71" s="1" t="n">
        <v>45972</v>
      </c>
      <c r="D71" t="inlineStr">
        <is>
          <t>STOCKHOLMS LÄN</t>
        </is>
      </c>
      <c r="E71" t="inlineStr">
        <is>
          <t>VALLENTUNA</t>
        </is>
      </c>
      <c r="G71" t="n">
        <v>0.7</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45972</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34441-2023</t>
        </is>
      </c>
      <c r="B73" s="1" t="n">
        <v>45139</v>
      </c>
      <c r="C73" s="1" t="n">
        <v>45972</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34445-2023</t>
        </is>
      </c>
      <c r="B74" s="1" t="n">
        <v>45139</v>
      </c>
      <c r="C74" s="1" t="n">
        <v>45972</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23986-2023</t>
        </is>
      </c>
      <c r="B75" s="1" t="n">
        <v>45078</v>
      </c>
      <c r="C75" s="1" t="n">
        <v>45972</v>
      </c>
      <c r="D75" t="inlineStr">
        <is>
          <t>STOCKHOLMS LÄN</t>
        </is>
      </c>
      <c r="E75" t="inlineStr">
        <is>
          <t>VALLENTUNA</t>
        </is>
      </c>
      <c r="F75" t="inlineStr">
        <is>
          <t>Kyrkan</t>
        </is>
      </c>
      <c r="G75" t="n">
        <v>5.7</v>
      </c>
      <c r="H75" t="n">
        <v>0</v>
      </c>
      <c r="I75" t="n">
        <v>0</v>
      </c>
      <c r="J75" t="n">
        <v>0</v>
      </c>
      <c r="K75" t="n">
        <v>0</v>
      </c>
      <c r="L75" t="n">
        <v>0</v>
      </c>
      <c r="M75" t="n">
        <v>0</v>
      </c>
      <c r="N75" t="n">
        <v>0</v>
      </c>
      <c r="O75" t="n">
        <v>0</v>
      </c>
      <c r="P75" t="n">
        <v>0</v>
      </c>
      <c r="Q75" t="n">
        <v>0</v>
      </c>
      <c r="R75" s="2" t="inlineStr"/>
    </row>
    <row r="76" ht="15" customHeight="1">
      <c r="A76" t="inlineStr">
        <is>
          <t>A 15300-2023</t>
        </is>
      </c>
      <c r="B76" s="1" t="n">
        <v>45019</v>
      </c>
      <c r="C76" s="1" t="n">
        <v>45972</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8077-2022</t>
        </is>
      </c>
      <c r="B77" s="1" t="n">
        <v>44609</v>
      </c>
      <c r="C77" s="1" t="n">
        <v>45972</v>
      </c>
      <c r="D77" t="inlineStr">
        <is>
          <t>STOCKHOLMS LÄN</t>
        </is>
      </c>
      <c r="E77" t="inlineStr">
        <is>
          <t>VALLENTUNA</t>
        </is>
      </c>
      <c r="G77" t="n">
        <v>1.3</v>
      </c>
      <c r="H77" t="n">
        <v>0</v>
      </c>
      <c r="I77" t="n">
        <v>0</v>
      </c>
      <c r="J77" t="n">
        <v>0</v>
      </c>
      <c r="K77" t="n">
        <v>0</v>
      </c>
      <c r="L77" t="n">
        <v>0</v>
      </c>
      <c r="M77" t="n">
        <v>0</v>
      </c>
      <c r="N77" t="n">
        <v>0</v>
      </c>
      <c r="O77" t="n">
        <v>0</v>
      </c>
      <c r="P77" t="n">
        <v>0</v>
      </c>
      <c r="Q77" t="n">
        <v>0</v>
      </c>
      <c r="R77" s="2" t="inlineStr"/>
    </row>
    <row r="78" ht="15" customHeight="1">
      <c r="A78" t="inlineStr">
        <is>
          <t>A 13836-2022</t>
        </is>
      </c>
      <c r="B78" s="1" t="n">
        <v>44649</v>
      </c>
      <c r="C78" s="1" t="n">
        <v>45972</v>
      </c>
      <c r="D78" t="inlineStr">
        <is>
          <t>STOCKHOLMS LÄN</t>
        </is>
      </c>
      <c r="E78" t="inlineStr">
        <is>
          <t>VALLENTUNA</t>
        </is>
      </c>
      <c r="G78" t="n">
        <v>3.5</v>
      </c>
      <c r="H78" t="n">
        <v>0</v>
      </c>
      <c r="I78" t="n">
        <v>0</v>
      </c>
      <c r="J78" t="n">
        <v>0</v>
      </c>
      <c r="K78" t="n">
        <v>0</v>
      </c>
      <c r="L78" t="n">
        <v>0</v>
      </c>
      <c r="M78" t="n">
        <v>0</v>
      </c>
      <c r="N78" t="n">
        <v>0</v>
      </c>
      <c r="O78" t="n">
        <v>0</v>
      </c>
      <c r="P78" t="n">
        <v>0</v>
      </c>
      <c r="Q78" t="n">
        <v>0</v>
      </c>
      <c r="R78" s="2" t="inlineStr"/>
    </row>
    <row r="79" ht="15" customHeight="1">
      <c r="A79" t="inlineStr">
        <is>
          <t>A 21445-2023</t>
        </is>
      </c>
      <c r="B79" s="1" t="n">
        <v>45063</v>
      </c>
      <c r="C79" s="1" t="n">
        <v>45972</v>
      </c>
      <c r="D79" t="inlineStr">
        <is>
          <t>STOCKHOLMS LÄN</t>
        </is>
      </c>
      <c r="E79" t="inlineStr">
        <is>
          <t>VALLENTUNA</t>
        </is>
      </c>
      <c r="G79" t="n">
        <v>3.1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45972</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48040-2025</t>
        </is>
      </c>
      <c r="B81" s="1" t="n">
        <v>45932.6628125</v>
      </c>
      <c r="C81" s="1" t="n">
        <v>45972</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45972</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22683-2023</t>
        </is>
      </c>
      <c r="B83" s="1" t="n">
        <v>45071</v>
      </c>
      <c r="C83" s="1" t="n">
        <v>45972</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24943-2024</t>
        </is>
      </c>
      <c r="B84" s="1" t="n">
        <v>45461.62585648148</v>
      </c>
      <c r="C84" s="1" t="n">
        <v>45972</v>
      </c>
      <c r="D84" t="inlineStr">
        <is>
          <t>STOCKHOLMS LÄN</t>
        </is>
      </c>
      <c r="E84" t="inlineStr">
        <is>
          <t>VALLENTUNA</t>
        </is>
      </c>
      <c r="G84" t="n">
        <v>2</v>
      </c>
      <c r="H84" t="n">
        <v>0</v>
      </c>
      <c r="I84" t="n">
        <v>0</v>
      </c>
      <c r="J84" t="n">
        <v>0</v>
      </c>
      <c r="K84" t="n">
        <v>0</v>
      </c>
      <c r="L84" t="n">
        <v>0</v>
      </c>
      <c r="M84" t="n">
        <v>0</v>
      </c>
      <c r="N84" t="n">
        <v>0</v>
      </c>
      <c r="O84" t="n">
        <v>0</v>
      </c>
      <c r="P84" t="n">
        <v>0</v>
      </c>
      <c r="Q84" t="n">
        <v>0</v>
      </c>
      <c r="R84" s="2" t="inlineStr"/>
    </row>
    <row r="85" ht="15" customHeight="1">
      <c r="A85" t="inlineStr">
        <is>
          <t>A 5910-2022</t>
        </is>
      </c>
      <c r="B85" s="1" t="n">
        <v>44597</v>
      </c>
      <c r="C85" s="1" t="n">
        <v>45972</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48068-2021</t>
        </is>
      </c>
      <c r="B86" s="1" t="n">
        <v>44449.42270833333</v>
      </c>
      <c r="C86" s="1" t="n">
        <v>45972</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29704-2023</t>
        </is>
      </c>
      <c r="B87" s="1" t="n">
        <v>45107</v>
      </c>
      <c r="C87" s="1" t="n">
        <v>45972</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45972</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21765-2023</t>
        </is>
      </c>
      <c r="B89" s="1" t="n">
        <v>45064</v>
      </c>
      <c r="C89" s="1" t="n">
        <v>45972</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45972</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45499-2023</t>
        </is>
      </c>
      <c r="B91" s="1" t="n">
        <v>45194</v>
      </c>
      <c r="C91" s="1" t="n">
        <v>45972</v>
      </c>
      <c r="D91" t="inlineStr">
        <is>
          <t>STOCKHOLMS LÄN</t>
        </is>
      </c>
      <c r="E91" t="inlineStr">
        <is>
          <t>VALLENTUNA</t>
        </is>
      </c>
      <c r="G91" t="n">
        <v>2.5</v>
      </c>
      <c r="H91" t="n">
        <v>0</v>
      </c>
      <c r="I91" t="n">
        <v>0</v>
      </c>
      <c r="J91" t="n">
        <v>0</v>
      </c>
      <c r="K91" t="n">
        <v>0</v>
      </c>
      <c r="L91" t="n">
        <v>0</v>
      </c>
      <c r="M91" t="n">
        <v>0</v>
      </c>
      <c r="N91" t="n">
        <v>0</v>
      </c>
      <c r="O91" t="n">
        <v>0</v>
      </c>
      <c r="P91" t="n">
        <v>0</v>
      </c>
      <c r="Q91" t="n">
        <v>0</v>
      </c>
      <c r="R91" s="2" t="inlineStr"/>
    </row>
    <row r="92" ht="15" customHeight="1">
      <c r="A92" t="inlineStr">
        <is>
          <t>A 60818-2023</t>
        </is>
      </c>
      <c r="B92" s="1" t="n">
        <v>45259</v>
      </c>
      <c r="C92" s="1" t="n">
        <v>45972</v>
      </c>
      <c r="D92" t="inlineStr">
        <is>
          <t>STOCKHOLMS LÄN</t>
        </is>
      </c>
      <c r="E92" t="inlineStr">
        <is>
          <t>VALLENTUNA</t>
        </is>
      </c>
      <c r="G92" t="n">
        <v>9.4</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45972</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1385-2024</t>
        </is>
      </c>
      <c r="B94" s="1" t="n">
        <v>45303</v>
      </c>
      <c r="C94" s="1" t="n">
        <v>45972</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45972</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45972</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17411-2023</t>
        </is>
      </c>
      <c r="B97" s="1" t="n">
        <v>45035.82512731481</v>
      </c>
      <c r="C97" s="1" t="n">
        <v>45972</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7264-2022</t>
        </is>
      </c>
      <c r="B98" s="1" t="n">
        <v>44606</v>
      </c>
      <c r="C98" s="1" t="n">
        <v>45972</v>
      </c>
      <c r="D98" t="inlineStr">
        <is>
          <t>STOCKHOLMS LÄN</t>
        </is>
      </c>
      <c r="E98" t="inlineStr">
        <is>
          <t>VALLENTUNA</t>
        </is>
      </c>
      <c r="G98" t="n">
        <v>2.4</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45972</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68935-2020</t>
        </is>
      </c>
      <c r="B100" s="1" t="n">
        <v>44187</v>
      </c>
      <c r="C100" s="1" t="n">
        <v>45972</v>
      </c>
      <c r="D100" t="inlineStr">
        <is>
          <t>STOCKHOLMS LÄN</t>
        </is>
      </c>
      <c r="E100" t="inlineStr">
        <is>
          <t>VALLENTUNA</t>
        </is>
      </c>
      <c r="G100" t="n">
        <v>7.8</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45972</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19356-2025</t>
        </is>
      </c>
      <c r="B102" s="1" t="n">
        <v>45769.62061342593</v>
      </c>
      <c r="C102" s="1" t="n">
        <v>45972</v>
      </c>
      <c r="D102" t="inlineStr">
        <is>
          <t>STOCKHOLMS LÄN</t>
        </is>
      </c>
      <c r="E102" t="inlineStr">
        <is>
          <t>VALLENTUNA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12562-2023</t>
        </is>
      </c>
      <c r="B103" s="1" t="n">
        <v>45000</v>
      </c>
      <c r="C103" s="1" t="n">
        <v>45972</v>
      </c>
      <c r="D103" t="inlineStr">
        <is>
          <t>STOCKHOLMS LÄN</t>
        </is>
      </c>
      <c r="E103" t="inlineStr">
        <is>
          <t>VALLENTUNA</t>
        </is>
      </c>
      <c r="G103" t="n">
        <v>2.1</v>
      </c>
      <c r="H103" t="n">
        <v>0</v>
      </c>
      <c r="I103" t="n">
        <v>0</v>
      </c>
      <c r="J103" t="n">
        <v>0</v>
      </c>
      <c r="K103" t="n">
        <v>0</v>
      </c>
      <c r="L103" t="n">
        <v>0</v>
      </c>
      <c r="M103" t="n">
        <v>0</v>
      </c>
      <c r="N103" t="n">
        <v>0</v>
      </c>
      <c r="O103" t="n">
        <v>0</v>
      </c>
      <c r="P103" t="n">
        <v>0</v>
      </c>
      <c r="Q103" t="n">
        <v>0</v>
      </c>
      <c r="R103" s="2" t="inlineStr"/>
    </row>
    <row r="104" ht="15" customHeight="1">
      <c r="A104" t="inlineStr">
        <is>
          <t>A 38102-2024</t>
        </is>
      </c>
      <c r="B104" s="1" t="n">
        <v>45545.36349537037</v>
      </c>
      <c r="C104" s="1" t="n">
        <v>45972</v>
      </c>
      <c r="D104" t="inlineStr">
        <is>
          <t>STOCKHOLMS LÄN</t>
        </is>
      </c>
      <c r="E104" t="inlineStr">
        <is>
          <t>VALLENTUNA</t>
        </is>
      </c>
      <c r="G104" t="n">
        <v>3.2</v>
      </c>
      <c r="H104" t="n">
        <v>0</v>
      </c>
      <c r="I104" t="n">
        <v>0</v>
      </c>
      <c r="J104" t="n">
        <v>0</v>
      </c>
      <c r="K104" t="n">
        <v>0</v>
      </c>
      <c r="L104" t="n">
        <v>0</v>
      </c>
      <c r="M104" t="n">
        <v>0</v>
      </c>
      <c r="N104" t="n">
        <v>0</v>
      </c>
      <c r="O104" t="n">
        <v>0</v>
      </c>
      <c r="P104" t="n">
        <v>0</v>
      </c>
      <c r="Q104" t="n">
        <v>0</v>
      </c>
      <c r="R104" s="2" t="inlineStr"/>
    </row>
    <row r="105" ht="15" customHeight="1">
      <c r="A105" t="inlineStr">
        <is>
          <t>A 17340-2025</t>
        </is>
      </c>
      <c r="B105" s="1" t="n">
        <v>45756</v>
      </c>
      <c r="C105" s="1" t="n">
        <v>45972</v>
      </c>
      <c r="D105" t="inlineStr">
        <is>
          <t>STOCKHOLMS LÄN</t>
        </is>
      </c>
      <c r="E105" t="inlineStr">
        <is>
          <t>VALLENTUNA</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6593-2021</t>
        </is>
      </c>
      <c r="B106" s="1" t="n">
        <v>44236</v>
      </c>
      <c r="C106" s="1" t="n">
        <v>45972</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20791-2025</t>
        </is>
      </c>
      <c r="B107" s="1" t="n">
        <v>45776.62738425926</v>
      </c>
      <c r="C107" s="1" t="n">
        <v>45972</v>
      </c>
      <c r="D107" t="inlineStr">
        <is>
          <t>STOCKHOLMS LÄN</t>
        </is>
      </c>
      <c r="E107" t="inlineStr">
        <is>
          <t>VALLENTUNA</t>
        </is>
      </c>
      <c r="G107" t="n">
        <v>1.5</v>
      </c>
      <c r="H107" t="n">
        <v>0</v>
      </c>
      <c r="I107" t="n">
        <v>0</v>
      </c>
      <c r="J107" t="n">
        <v>0</v>
      </c>
      <c r="K107" t="n">
        <v>0</v>
      </c>
      <c r="L107" t="n">
        <v>0</v>
      </c>
      <c r="M107" t="n">
        <v>0</v>
      </c>
      <c r="N107" t="n">
        <v>0</v>
      </c>
      <c r="O107" t="n">
        <v>0</v>
      </c>
      <c r="P107" t="n">
        <v>0</v>
      </c>
      <c r="Q107" t="n">
        <v>0</v>
      </c>
      <c r="R107" s="2" t="inlineStr"/>
    </row>
    <row r="108" ht="15" customHeight="1">
      <c r="A108" t="inlineStr">
        <is>
          <t>A 10073-2024</t>
        </is>
      </c>
      <c r="B108" s="1" t="n">
        <v>45364.40821759259</v>
      </c>
      <c r="C108" s="1" t="n">
        <v>45972</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34452-2021</t>
        </is>
      </c>
      <c r="B109" s="1" t="n">
        <v>44381</v>
      </c>
      <c r="C109" s="1" t="n">
        <v>45972</v>
      </c>
      <c r="D109" t="inlineStr">
        <is>
          <t>STOCKHOLMS LÄN</t>
        </is>
      </c>
      <c r="E109" t="inlineStr">
        <is>
          <t>VALLENTUNA</t>
        </is>
      </c>
      <c r="G109" t="n">
        <v>14.7</v>
      </c>
      <c r="H109" t="n">
        <v>0</v>
      </c>
      <c r="I109" t="n">
        <v>0</v>
      </c>
      <c r="J109" t="n">
        <v>0</v>
      </c>
      <c r="K109" t="n">
        <v>0</v>
      </c>
      <c r="L109" t="n">
        <v>0</v>
      </c>
      <c r="M109" t="n">
        <v>0</v>
      </c>
      <c r="N109" t="n">
        <v>0</v>
      </c>
      <c r="O109" t="n">
        <v>0</v>
      </c>
      <c r="P109" t="n">
        <v>0</v>
      </c>
      <c r="Q109" t="n">
        <v>0</v>
      </c>
      <c r="R109" s="2" t="inlineStr"/>
    </row>
    <row r="110" ht="15" customHeight="1">
      <c r="A110" t="inlineStr">
        <is>
          <t>A 12621-2024</t>
        </is>
      </c>
      <c r="B110" s="1" t="n">
        <v>45383.6325</v>
      </c>
      <c r="C110" s="1" t="n">
        <v>45972</v>
      </c>
      <c r="D110" t="inlineStr">
        <is>
          <t>STOCKHOLMS LÄN</t>
        </is>
      </c>
      <c r="E110" t="inlineStr">
        <is>
          <t>VALLENTUNA</t>
        </is>
      </c>
      <c r="G110" t="n">
        <v>4.4</v>
      </c>
      <c r="H110" t="n">
        <v>0</v>
      </c>
      <c r="I110" t="n">
        <v>0</v>
      </c>
      <c r="J110" t="n">
        <v>0</v>
      </c>
      <c r="K110" t="n">
        <v>0</v>
      </c>
      <c r="L110" t="n">
        <v>0</v>
      </c>
      <c r="M110" t="n">
        <v>0</v>
      </c>
      <c r="N110" t="n">
        <v>0</v>
      </c>
      <c r="O110" t="n">
        <v>0</v>
      </c>
      <c r="P110" t="n">
        <v>0</v>
      </c>
      <c r="Q110" t="n">
        <v>0</v>
      </c>
      <c r="R110" s="2" t="inlineStr"/>
    </row>
    <row r="111" ht="15" customHeight="1">
      <c r="A111" t="inlineStr">
        <is>
          <t>A 24707-2023</t>
        </is>
      </c>
      <c r="B111" s="1" t="n">
        <v>45084</v>
      </c>
      <c r="C111" s="1" t="n">
        <v>45972</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45972</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45972</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47140-2024</t>
        </is>
      </c>
      <c r="B114" s="1" t="n">
        <v>45586.58753472222</v>
      </c>
      <c r="C114" s="1" t="n">
        <v>45972</v>
      </c>
      <c r="D114" t="inlineStr">
        <is>
          <t>STOCKHOLMS LÄN</t>
        </is>
      </c>
      <c r="E114" t="inlineStr">
        <is>
          <t>VALLENTUNA</t>
        </is>
      </c>
      <c r="G114" t="n">
        <v>1</v>
      </c>
      <c r="H114" t="n">
        <v>0</v>
      </c>
      <c r="I114" t="n">
        <v>0</v>
      </c>
      <c r="J114" t="n">
        <v>0</v>
      </c>
      <c r="K114" t="n">
        <v>0</v>
      </c>
      <c r="L114" t="n">
        <v>0</v>
      </c>
      <c r="M114" t="n">
        <v>0</v>
      </c>
      <c r="N114" t="n">
        <v>0</v>
      </c>
      <c r="O114" t="n">
        <v>0</v>
      </c>
      <c r="P114" t="n">
        <v>0</v>
      </c>
      <c r="Q114" t="n">
        <v>0</v>
      </c>
      <c r="R114" s="2" t="inlineStr"/>
    </row>
    <row r="115" ht="15" customHeight="1">
      <c r="A115" t="inlineStr">
        <is>
          <t>A 46381-2023</t>
        </is>
      </c>
      <c r="B115" s="1" t="n">
        <v>45193</v>
      </c>
      <c r="C115" s="1" t="n">
        <v>45972</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61027-2023</t>
        </is>
      </c>
      <c r="B116" s="1" t="n">
        <v>45261</v>
      </c>
      <c r="C116" s="1" t="n">
        <v>45972</v>
      </c>
      <c r="D116" t="inlineStr">
        <is>
          <t>STOCKHOLMS LÄN</t>
        </is>
      </c>
      <c r="E116" t="inlineStr">
        <is>
          <t>VALLENTUNA</t>
        </is>
      </c>
      <c r="G116" t="n">
        <v>7.1</v>
      </c>
      <c r="H116" t="n">
        <v>0</v>
      </c>
      <c r="I116" t="n">
        <v>0</v>
      </c>
      <c r="J116" t="n">
        <v>0</v>
      </c>
      <c r="K116" t="n">
        <v>0</v>
      </c>
      <c r="L116" t="n">
        <v>0</v>
      </c>
      <c r="M116" t="n">
        <v>0</v>
      </c>
      <c r="N116" t="n">
        <v>0</v>
      </c>
      <c r="O116" t="n">
        <v>0</v>
      </c>
      <c r="P116" t="n">
        <v>0</v>
      </c>
      <c r="Q116" t="n">
        <v>0</v>
      </c>
      <c r="R116" s="2" t="inlineStr"/>
    </row>
    <row r="117" ht="15" customHeight="1">
      <c r="A117" t="inlineStr">
        <is>
          <t>A 23009-2024</t>
        </is>
      </c>
      <c r="B117" s="1" t="n">
        <v>45450.34506944445</v>
      </c>
      <c r="C117" s="1" t="n">
        <v>45972</v>
      </c>
      <c r="D117" t="inlineStr">
        <is>
          <t>STOCKHOLMS LÄN</t>
        </is>
      </c>
      <c r="E117" t="inlineStr">
        <is>
          <t>VALLENTUNA</t>
        </is>
      </c>
      <c r="G117" t="n">
        <v>1.4</v>
      </c>
      <c r="H117" t="n">
        <v>0</v>
      </c>
      <c r="I117" t="n">
        <v>0</v>
      </c>
      <c r="J117" t="n">
        <v>0</v>
      </c>
      <c r="K117" t="n">
        <v>0</v>
      </c>
      <c r="L117" t="n">
        <v>0</v>
      </c>
      <c r="M117" t="n">
        <v>0</v>
      </c>
      <c r="N117" t="n">
        <v>0</v>
      </c>
      <c r="O117" t="n">
        <v>0</v>
      </c>
      <c r="P117" t="n">
        <v>0</v>
      </c>
      <c r="Q117" t="n">
        <v>0</v>
      </c>
      <c r="R117" s="2" t="inlineStr"/>
    </row>
    <row r="118" ht="15" customHeight="1">
      <c r="A118" t="inlineStr">
        <is>
          <t>A 41206-2025</t>
        </is>
      </c>
      <c r="B118" s="1" t="n">
        <v>45898</v>
      </c>
      <c r="C118" s="1" t="n">
        <v>45972</v>
      </c>
      <c r="D118" t="inlineStr">
        <is>
          <t>STOCKHOLMS LÄN</t>
        </is>
      </c>
      <c r="E118" t="inlineStr">
        <is>
          <t>VALLENTUNA</t>
        </is>
      </c>
      <c r="G118" t="n">
        <v>10</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45972</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23923-2025</t>
        </is>
      </c>
      <c r="B120" s="1" t="n">
        <v>45795.39648148148</v>
      </c>
      <c r="C120" s="1" t="n">
        <v>45972</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9063-2024</t>
        </is>
      </c>
      <c r="B121" s="1" t="n">
        <v>45357.72652777778</v>
      </c>
      <c r="C121" s="1" t="n">
        <v>45972</v>
      </c>
      <c r="D121" t="inlineStr">
        <is>
          <t>STOCKHOLMS LÄN</t>
        </is>
      </c>
      <c r="E121" t="inlineStr">
        <is>
          <t>VALLENTUNA</t>
        </is>
      </c>
      <c r="G121" t="n">
        <v>4.1</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45972</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52542-2023</t>
        </is>
      </c>
      <c r="B123" s="1" t="n">
        <v>45225</v>
      </c>
      <c r="C123" s="1" t="n">
        <v>45972</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25984-2025</t>
        </is>
      </c>
      <c r="B124" s="1" t="n">
        <v>45804.64016203704</v>
      </c>
      <c r="C124" s="1" t="n">
        <v>45972</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50784-2025</t>
        </is>
      </c>
      <c r="B125" s="1" t="n">
        <v>45946</v>
      </c>
      <c r="C125" s="1" t="n">
        <v>45972</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61655-2020</t>
        </is>
      </c>
      <c r="B126" s="1" t="n">
        <v>44158</v>
      </c>
      <c r="C126" s="1" t="n">
        <v>45972</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11950-2025</t>
        </is>
      </c>
      <c r="B127" s="1" t="n">
        <v>45728.55622685186</v>
      </c>
      <c r="C127" s="1" t="n">
        <v>45972</v>
      </c>
      <c r="D127" t="inlineStr">
        <is>
          <t>STOCKHOLMS LÄN</t>
        </is>
      </c>
      <c r="E127" t="inlineStr">
        <is>
          <t>VALLENTUNA</t>
        </is>
      </c>
      <c r="G127" t="n">
        <v>1.4</v>
      </c>
      <c r="H127" t="n">
        <v>0</v>
      </c>
      <c r="I127" t="n">
        <v>0</v>
      </c>
      <c r="J127" t="n">
        <v>0</v>
      </c>
      <c r="K127" t="n">
        <v>0</v>
      </c>
      <c r="L127" t="n">
        <v>0</v>
      </c>
      <c r="M127" t="n">
        <v>0</v>
      </c>
      <c r="N127" t="n">
        <v>0</v>
      </c>
      <c r="O127" t="n">
        <v>0</v>
      </c>
      <c r="P127" t="n">
        <v>0</v>
      </c>
      <c r="Q127" t="n">
        <v>0</v>
      </c>
      <c r="R127" s="2" t="inlineStr"/>
    </row>
    <row r="128" ht="15" customHeight="1">
      <c r="A128" t="inlineStr">
        <is>
          <t>A 68938-2020</t>
        </is>
      </c>
      <c r="B128" s="1" t="n">
        <v>44187</v>
      </c>
      <c r="C128" s="1" t="n">
        <v>45972</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45972</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30902-2025</t>
        </is>
      </c>
      <c r="B130" s="1" t="n">
        <v>45832.36104166666</v>
      </c>
      <c r="C130" s="1" t="n">
        <v>45972</v>
      </c>
      <c r="D130" t="inlineStr">
        <is>
          <t>STOCKHOLMS LÄN</t>
        </is>
      </c>
      <c r="E130" t="inlineStr">
        <is>
          <t>VALLENTUNA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52562-2023</t>
        </is>
      </c>
      <c r="B131" s="1" t="n">
        <v>45225</v>
      </c>
      <c r="C131" s="1" t="n">
        <v>45972</v>
      </c>
      <c r="D131" t="inlineStr">
        <is>
          <t>STOCKHOLMS LÄN</t>
        </is>
      </c>
      <c r="E131" t="inlineStr">
        <is>
          <t>VALLENTUNA</t>
        </is>
      </c>
      <c r="G131" t="n">
        <v>3.4</v>
      </c>
      <c r="H131" t="n">
        <v>0</v>
      </c>
      <c r="I131" t="n">
        <v>0</v>
      </c>
      <c r="J131" t="n">
        <v>0</v>
      </c>
      <c r="K131" t="n">
        <v>0</v>
      </c>
      <c r="L131" t="n">
        <v>0</v>
      </c>
      <c r="M131" t="n">
        <v>0</v>
      </c>
      <c r="N131" t="n">
        <v>0</v>
      </c>
      <c r="O131" t="n">
        <v>0</v>
      </c>
      <c r="P131" t="n">
        <v>0</v>
      </c>
      <c r="Q131" t="n">
        <v>0</v>
      </c>
      <c r="R131" s="2" t="inlineStr"/>
    </row>
    <row r="132" ht="15" customHeight="1">
      <c r="A132" t="inlineStr">
        <is>
          <t>A 44988-2025</t>
        </is>
      </c>
      <c r="B132" s="1" t="n">
        <v>45918.65505787037</v>
      </c>
      <c r="C132" s="1" t="n">
        <v>45972</v>
      </c>
      <c r="D132" t="inlineStr">
        <is>
          <t>STOCKHOLMS LÄN</t>
        </is>
      </c>
      <c r="E132" t="inlineStr">
        <is>
          <t>VALLENTUNA</t>
        </is>
      </c>
      <c r="G132" t="n">
        <v>1</v>
      </c>
      <c r="H132" t="n">
        <v>0</v>
      </c>
      <c r="I132" t="n">
        <v>0</v>
      </c>
      <c r="J132" t="n">
        <v>0</v>
      </c>
      <c r="K132" t="n">
        <v>0</v>
      </c>
      <c r="L132" t="n">
        <v>0</v>
      </c>
      <c r="M132" t="n">
        <v>0</v>
      </c>
      <c r="N132" t="n">
        <v>0</v>
      </c>
      <c r="O132" t="n">
        <v>0</v>
      </c>
      <c r="P132" t="n">
        <v>0</v>
      </c>
      <c r="Q132" t="n">
        <v>0</v>
      </c>
      <c r="R132" s="2" t="inlineStr"/>
    </row>
    <row r="133" ht="15" customHeight="1">
      <c r="A133" t="inlineStr">
        <is>
          <t>A 4804-2024</t>
        </is>
      </c>
      <c r="B133" s="1" t="n">
        <v>45328</v>
      </c>
      <c r="C133" s="1" t="n">
        <v>45972</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45972</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23013-2024</t>
        </is>
      </c>
      <c r="B135" s="1" t="n">
        <v>45450.35116898148</v>
      </c>
      <c r="C135" s="1" t="n">
        <v>45972</v>
      </c>
      <c r="D135" t="inlineStr">
        <is>
          <t>STOCKHOLMS LÄN</t>
        </is>
      </c>
      <c r="E135" t="inlineStr">
        <is>
          <t>VALLENTUNA</t>
        </is>
      </c>
      <c r="G135" t="n">
        <v>0.4</v>
      </c>
      <c r="H135" t="n">
        <v>0</v>
      </c>
      <c r="I135" t="n">
        <v>0</v>
      </c>
      <c r="J135" t="n">
        <v>0</v>
      </c>
      <c r="K135" t="n">
        <v>0</v>
      </c>
      <c r="L135" t="n">
        <v>0</v>
      </c>
      <c r="M135" t="n">
        <v>0</v>
      </c>
      <c r="N135" t="n">
        <v>0</v>
      </c>
      <c r="O135" t="n">
        <v>0</v>
      </c>
      <c r="P135" t="n">
        <v>0</v>
      </c>
      <c r="Q135" t="n">
        <v>0</v>
      </c>
      <c r="R135" s="2" t="inlineStr"/>
    </row>
    <row r="136" ht="15" customHeight="1">
      <c r="A136" t="inlineStr">
        <is>
          <t>A 2318-2024</t>
        </is>
      </c>
      <c r="B136" s="1" t="n">
        <v>45310</v>
      </c>
      <c r="C136" s="1" t="n">
        <v>45972</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45972</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45972</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45972</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45972</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45972</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3698-2022</t>
        </is>
      </c>
      <c r="B142" s="1" t="n">
        <v>44586</v>
      </c>
      <c r="C142" s="1" t="n">
        <v>45972</v>
      </c>
      <c r="D142" t="inlineStr">
        <is>
          <t>STOCKHOLMS LÄN</t>
        </is>
      </c>
      <c r="E142" t="inlineStr">
        <is>
          <t>VALLENTUNA</t>
        </is>
      </c>
      <c r="G142" t="n">
        <v>2.9</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45972</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2025-11-11T10:08:46Z</dcterms:created>
  <dcterms:modified xmlns:dcterms="http://purl.org/dc/terms/" xmlns:xsi="http://www.w3.org/2001/XMLSchema-instance" xsi:type="dcterms:W3CDTF">2025-11-11T10:08:46Z</dcterms:modified>
</cp:coreProperties>
</file>