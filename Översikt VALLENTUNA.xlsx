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45991</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45991</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45991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45991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45991</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45991</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45991</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45991</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45991</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45991</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45991</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45991</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45991</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54481-2025</t>
        </is>
      </c>
      <c r="B26" s="1" t="n">
        <v>45965.58837962963</v>
      </c>
      <c r="C26" s="1" t="n">
        <v>45991</v>
      </c>
      <c r="D26" t="inlineStr">
        <is>
          <t>STOCKHOLMS LÄN</t>
        </is>
      </c>
      <c r="E26" t="inlineStr">
        <is>
          <t>VALLENTUNA</t>
        </is>
      </c>
      <c r="G26" t="n">
        <v>1.4</v>
      </c>
      <c r="H26" t="n">
        <v>0</v>
      </c>
      <c r="I26" t="n">
        <v>0</v>
      </c>
      <c r="J26" t="n">
        <v>1</v>
      </c>
      <c r="K26" t="n">
        <v>0</v>
      </c>
      <c r="L26" t="n">
        <v>0</v>
      </c>
      <c r="M26" t="n">
        <v>0</v>
      </c>
      <c r="N26" t="n">
        <v>0</v>
      </c>
      <c r="O26" t="n">
        <v>1</v>
      </c>
      <c r="P26" t="n">
        <v>0</v>
      </c>
      <c r="Q26" t="n">
        <v>1</v>
      </c>
      <c r="R26" s="2" t="inlineStr">
        <is>
          <t>Gullklöver</t>
        </is>
      </c>
      <c r="S26">
        <f>HYPERLINK("https://klasma.github.io/Logging_0115/artfynd/A 54481-2025 artfynd.xlsx", "A 54481-2025")</f>
        <v/>
      </c>
      <c r="T26">
        <f>HYPERLINK("https://klasma.github.io/Logging_0115/kartor/A 54481-2025 karta.png", "A 54481-2025")</f>
        <v/>
      </c>
      <c r="V26">
        <f>HYPERLINK("https://klasma.github.io/Logging_0115/klagomål/A 54481-2025 FSC-klagomål.docx", "A 54481-2025")</f>
        <v/>
      </c>
      <c r="W26">
        <f>HYPERLINK("https://klasma.github.io/Logging_0115/klagomålsmail/A 54481-2025 FSC-klagomål mail.docx", "A 54481-2025")</f>
        <v/>
      </c>
      <c r="X26">
        <f>HYPERLINK("https://klasma.github.io/Logging_0115/tillsyn/A 54481-2025 tillsynsbegäran.docx", "A 54481-2025")</f>
        <v/>
      </c>
      <c r="Y26">
        <f>HYPERLINK("https://klasma.github.io/Logging_0115/tillsynsmail/A 54481-2025 tillsynsbegäran mail.docx", "A 54481-2025")</f>
        <v/>
      </c>
    </row>
    <row r="27" ht="15" customHeight="1">
      <c r="A27" t="inlineStr">
        <is>
          <t>A 7890-2023</t>
        </is>
      </c>
      <c r="B27" s="1" t="n">
        <v>44973</v>
      </c>
      <c r="C27" s="1" t="n">
        <v>45991</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45991</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34460-2023</t>
        </is>
      </c>
      <c r="B29" s="1" t="n">
        <v>45139</v>
      </c>
      <c r="C29" s="1" t="n">
        <v>45991</v>
      </c>
      <c r="D29" t="inlineStr">
        <is>
          <t>STOCKHOLMS LÄN</t>
        </is>
      </c>
      <c r="E29" t="inlineStr">
        <is>
          <t>VALLENTUNA</t>
        </is>
      </c>
      <c r="G29" t="n">
        <v>1.7</v>
      </c>
      <c r="H29" t="n">
        <v>0</v>
      </c>
      <c r="I29" t="n">
        <v>0</v>
      </c>
      <c r="J29" t="n">
        <v>1</v>
      </c>
      <c r="K29" t="n">
        <v>0</v>
      </c>
      <c r="L29" t="n">
        <v>0</v>
      </c>
      <c r="M29" t="n">
        <v>0</v>
      </c>
      <c r="N29" t="n">
        <v>0</v>
      </c>
      <c r="O29" t="n">
        <v>1</v>
      </c>
      <c r="P29" t="n">
        <v>0</v>
      </c>
      <c r="Q29" t="n">
        <v>1</v>
      </c>
      <c r="R29" s="2" t="inlineStr">
        <is>
          <t>Orange taggsvamp</t>
        </is>
      </c>
      <c r="S29">
        <f>HYPERLINK("https://klasma.github.io/Logging_0115/artfynd/A 34460-2023 artfynd.xlsx", "A 34460-2023")</f>
        <v/>
      </c>
      <c r="T29">
        <f>HYPERLINK("https://klasma.github.io/Logging_0115/kartor/A 34460-2023 karta.png", "A 34460-2023")</f>
        <v/>
      </c>
      <c r="V29">
        <f>HYPERLINK("https://klasma.github.io/Logging_0115/klagomål/A 34460-2023 FSC-klagomål.docx", "A 34460-2023")</f>
        <v/>
      </c>
      <c r="W29">
        <f>HYPERLINK("https://klasma.github.io/Logging_0115/klagomålsmail/A 34460-2023 FSC-klagomål mail.docx", "A 34460-2023")</f>
        <v/>
      </c>
      <c r="X29">
        <f>HYPERLINK("https://klasma.github.io/Logging_0115/tillsyn/A 34460-2023 tillsynsbegäran.docx", "A 34460-2023")</f>
        <v/>
      </c>
      <c r="Y29">
        <f>HYPERLINK("https://klasma.github.io/Logging_0115/tillsynsmail/A 34460-2023 tillsynsbegäran mail.docx", "A 34460-2023")</f>
        <v/>
      </c>
    </row>
    <row r="30" ht="15" customHeight="1">
      <c r="A30" t="inlineStr">
        <is>
          <t>A 17348-2025</t>
        </is>
      </c>
      <c r="B30" s="1" t="n">
        <v>45756</v>
      </c>
      <c r="C30" s="1" t="n">
        <v>45991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34458-2023</t>
        </is>
      </c>
      <c r="B31" s="1" t="n">
        <v>45139</v>
      </c>
      <c r="C31" s="1" t="n">
        <v>45991</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21-2022</t>
        </is>
      </c>
      <c r="B32" s="1" t="n">
        <v>44560</v>
      </c>
      <c r="C32" s="1" t="n">
        <v>45991</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45991</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14508-2024</t>
        </is>
      </c>
      <c r="B34" s="1" t="n">
        <v>45394.61583333334</v>
      </c>
      <c r="C34" s="1" t="n">
        <v>45991</v>
      </c>
      <c r="D34" t="inlineStr">
        <is>
          <t>STOCKHOLMS LÄN</t>
        </is>
      </c>
      <c r="E34" t="inlineStr">
        <is>
          <t>VALLENTUNA</t>
        </is>
      </c>
      <c r="G34" t="n">
        <v>1.7</v>
      </c>
      <c r="H34" t="n">
        <v>1</v>
      </c>
      <c r="I34" t="n">
        <v>0</v>
      </c>
      <c r="J34" t="n">
        <v>1</v>
      </c>
      <c r="K34" t="n">
        <v>0</v>
      </c>
      <c r="L34" t="n">
        <v>0</v>
      </c>
      <c r="M34" t="n">
        <v>0</v>
      </c>
      <c r="N34" t="n">
        <v>0</v>
      </c>
      <c r="O34" t="n">
        <v>1</v>
      </c>
      <c r="P34" t="n">
        <v>0</v>
      </c>
      <c r="Q34" t="n">
        <v>1</v>
      </c>
      <c r="R34" s="2" t="inlineStr">
        <is>
          <t>Mindre hackspett</t>
        </is>
      </c>
      <c r="S34">
        <f>HYPERLINK("https://klasma.github.io/Logging_0115/artfynd/A 14508-2024 artfynd.xlsx", "A 14508-2024")</f>
        <v/>
      </c>
      <c r="T34">
        <f>HYPERLINK("https://klasma.github.io/Logging_0115/kartor/A 14508-2024 karta.png", "A 14508-2024")</f>
        <v/>
      </c>
      <c r="V34">
        <f>HYPERLINK("https://klasma.github.io/Logging_0115/klagomål/A 14508-2024 FSC-klagomål.docx", "A 14508-2024")</f>
        <v/>
      </c>
      <c r="W34">
        <f>HYPERLINK("https://klasma.github.io/Logging_0115/klagomålsmail/A 14508-2024 FSC-klagomål mail.docx", "A 14508-2024")</f>
        <v/>
      </c>
      <c r="X34">
        <f>HYPERLINK("https://klasma.github.io/Logging_0115/tillsyn/A 14508-2024 tillsynsbegäran.docx", "A 14508-2024")</f>
        <v/>
      </c>
      <c r="Y34">
        <f>HYPERLINK("https://klasma.github.io/Logging_0115/tillsynsmail/A 14508-2024 tillsynsbegäran mail.docx", "A 14508-2024")</f>
        <v/>
      </c>
      <c r="Z34">
        <f>HYPERLINK("https://klasma.github.io/Logging_0115/fåglar/A 14508-2024 prioriterade fågelarter.docx", "A 14508-2024")</f>
        <v/>
      </c>
    </row>
    <row r="35" ht="15" customHeight="1">
      <c r="A35" t="inlineStr">
        <is>
          <t>A 21439-2025</t>
        </is>
      </c>
      <c r="B35" s="1" t="n">
        <v>45782.52939814814</v>
      </c>
      <c r="C35" s="1" t="n">
        <v>45991</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22936-2025</t>
        </is>
      </c>
      <c r="B36" s="1" t="n">
        <v>45790.45738425926</v>
      </c>
      <c r="C36" s="1" t="n">
        <v>45991</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45991</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45991</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45991</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45991</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45991</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45991</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45991</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45991</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45991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45991</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45991</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45991</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45991</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45991</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45991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45991</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45991</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45991</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45991</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45991</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45991</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45991</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45991</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45991</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45991</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68935-2020</t>
        </is>
      </c>
      <c r="B64" s="1" t="n">
        <v>44187</v>
      </c>
      <c r="C64" s="1" t="n">
        <v>45991</v>
      </c>
      <c r="D64" t="inlineStr">
        <is>
          <t>STOCKHOLMS LÄN</t>
        </is>
      </c>
      <c r="E64" t="inlineStr">
        <is>
          <t>VALLENTUNA</t>
        </is>
      </c>
      <c r="G64" t="n">
        <v>7.8</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45991</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45991</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45991</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17340-2025</t>
        </is>
      </c>
      <c r="B68" s="1" t="n">
        <v>45756</v>
      </c>
      <c r="C68" s="1" t="n">
        <v>45991</v>
      </c>
      <c r="D68" t="inlineStr">
        <is>
          <t>STOCKHOLMS LÄN</t>
        </is>
      </c>
      <c r="E68" t="inlineStr">
        <is>
          <t>VALLENTUNA</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30913-2021</t>
        </is>
      </c>
      <c r="B69" s="1" t="n">
        <v>44365</v>
      </c>
      <c r="C69" s="1" t="n">
        <v>45991</v>
      </c>
      <c r="D69" t="inlineStr">
        <is>
          <t>STOCKHOLMS LÄN</t>
        </is>
      </c>
      <c r="E69" t="inlineStr">
        <is>
          <t>VALLENTUNA</t>
        </is>
      </c>
      <c r="F69" t="inlineStr">
        <is>
          <t>Övriga Aktiebolag</t>
        </is>
      </c>
      <c r="G69" t="n">
        <v>3.3</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45991</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45991</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45991</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45991</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45991</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45991</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45991</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45991</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45991</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45991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27870-2025</t>
        </is>
      </c>
      <c r="B80" s="1" t="n">
        <v>45817</v>
      </c>
      <c r="C80" s="1" t="n">
        <v>45991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54460-2025</t>
        </is>
      </c>
      <c r="B81" s="1" t="n">
        <v>45965.56219907408</v>
      </c>
      <c r="C81" s="1" t="n">
        <v>45991</v>
      </c>
      <c r="D81" t="inlineStr">
        <is>
          <t>STOCKHOLMS LÄN</t>
        </is>
      </c>
      <c r="E81" t="inlineStr">
        <is>
          <t>VALLENTUNA</t>
        </is>
      </c>
      <c r="G81" t="n">
        <v>22.9</v>
      </c>
      <c r="H81" t="n">
        <v>0</v>
      </c>
      <c r="I81" t="n">
        <v>0</v>
      </c>
      <c r="J81" t="n">
        <v>0</v>
      </c>
      <c r="K81" t="n">
        <v>0</v>
      </c>
      <c r="L81" t="n">
        <v>0</v>
      </c>
      <c r="M81" t="n">
        <v>0</v>
      </c>
      <c r="N81" t="n">
        <v>0</v>
      </c>
      <c r="O81" t="n">
        <v>0</v>
      </c>
      <c r="P81" t="n">
        <v>0</v>
      </c>
      <c r="Q81" t="n">
        <v>0</v>
      </c>
      <c r="R81" s="2" t="inlineStr"/>
    </row>
    <row r="82" ht="15" customHeight="1">
      <c r="A82" t="inlineStr">
        <is>
          <t>A 24707-2023</t>
        </is>
      </c>
      <c r="B82" s="1" t="n">
        <v>45084</v>
      </c>
      <c r="C82" s="1" t="n">
        <v>45991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45991</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45991</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45991</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48014-2025</t>
        </is>
      </c>
      <c r="B86" s="1" t="n">
        <v>45932.64520833334</v>
      </c>
      <c r="C86" s="1" t="n">
        <v>45991</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48038-2025</t>
        </is>
      </c>
      <c r="B87" s="1" t="n">
        <v>45932.66008101852</v>
      </c>
      <c r="C87" s="1" t="n">
        <v>45991</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45991</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45991</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14775-2024</t>
        </is>
      </c>
      <c r="B90" s="1" t="n">
        <v>45397.73675925926</v>
      </c>
      <c r="C90" s="1" t="n">
        <v>45991</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45991</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8787-2024</t>
        </is>
      </c>
      <c r="B92" s="1" t="n">
        <v>45356</v>
      </c>
      <c r="C92" s="1" t="n">
        <v>45991</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45991</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45991</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45991</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45991</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45991</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45991</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45991</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50784-2025</t>
        </is>
      </c>
      <c r="B100" s="1" t="n">
        <v>45946</v>
      </c>
      <c r="C100" s="1" t="n">
        <v>45991</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34441-2023</t>
        </is>
      </c>
      <c r="B101" s="1" t="n">
        <v>45139</v>
      </c>
      <c r="C101" s="1" t="n">
        <v>45991</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34445-2023</t>
        </is>
      </c>
      <c r="B102" s="1" t="n">
        <v>45139</v>
      </c>
      <c r="C102" s="1" t="n">
        <v>45991</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45991</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45991</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45991</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45991</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21765-2023</t>
        </is>
      </c>
      <c r="B107" s="1" t="n">
        <v>45064</v>
      </c>
      <c r="C107" s="1" t="n">
        <v>45991</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45991</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45991</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24068-2024</t>
        </is>
      </c>
      <c r="B110" s="1" t="n">
        <v>45456</v>
      </c>
      <c r="C110" s="1" t="n">
        <v>45991</v>
      </c>
      <c r="D110" t="inlineStr">
        <is>
          <t>STOCKHOLMS LÄN</t>
        </is>
      </c>
      <c r="E110" t="inlineStr">
        <is>
          <t>VALLENTUNA</t>
        </is>
      </c>
      <c r="G110" t="n">
        <v>7.4</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45991</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45991</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3078-2023</t>
        </is>
      </c>
      <c r="B113" s="1" t="n">
        <v>44946.41527777778</v>
      </c>
      <c r="C113" s="1" t="n">
        <v>45991</v>
      </c>
      <c r="D113" t="inlineStr">
        <is>
          <t>STOCKHOLMS LÄN</t>
        </is>
      </c>
      <c r="E113" t="inlineStr">
        <is>
          <t>VALLENTUNA</t>
        </is>
      </c>
      <c r="G113" t="n">
        <v>3.9</v>
      </c>
      <c r="H113" t="n">
        <v>0</v>
      </c>
      <c r="I113" t="n">
        <v>0</v>
      </c>
      <c r="J113" t="n">
        <v>0</v>
      </c>
      <c r="K113" t="n">
        <v>0</v>
      </c>
      <c r="L113" t="n">
        <v>0</v>
      </c>
      <c r="M113" t="n">
        <v>0</v>
      </c>
      <c r="N113" t="n">
        <v>0</v>
      </c>
      <c r="O113" t="n">
        <v>0</v>
      </c>
      <c r="P113" t="n">
        <v>0</v>
      </c>
      <c r="Q113" t="n">
        <v>0</v>
      </c>
      <c r="R113" s="2" t="inlineStr"/>
    </row>
    <row r="114" ht="15" customHeight="1">
      <c r="A114" t="inlineStr">
        <is>
          <t>A 6593-2021</t>
        </is>
      </c>
      <c r="B114" s="1" t="n">
        <v>44236</v>
      </c>
      <c r="C114" s="1" t="n">
        <v>45991</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19503-2023</t>
        </is>
      </c>
      <c r="B115" s="1" t="n">
        <v>45050.47333333334</v>
      </c>
      <c r="C115" s="1" t="n">
        <v>45991</v>
      </c>
      <c r="D115" t="inlineStr">
        <is>
          <t>STOCKHOLMS LÄN</t>
        </is>
      </c>
      <c r="E115" t="inlineStr">
        <is>
          <t>VALLENTUNA</t>
        </is>
      </c>
      <c r="G115" t="n">
        <v>0.7</v>
      </c>
      <c r="H115" t="n">
        <v>0</v>
      </c>
      <c r="I115" t="n">
        <v>0</v>
      </c>
      <c r="J115" t="n">
        <v>0</v>
      </c>
      <c r="K115" t="n">
        <v>0</v>
      </c>
      <c r="L115" t="n">
        <v>0</v>
      </c>
      <c r="M115" t="n">
        <v>0</v>
      </c>
      <c r="N115" t="n">
        <v>0</v>
      </c>
      <c r="O115" t="n">
        <v>0</v>
      </c>
      <c r="P115" t="n">
        <v>0</v>
      </c>
      <c r="Q115" t="n">
        <v>0</v>
      </c>
      <c r="R115" s="2" t="inlineStr"/>
    </row>
    <row r="116" ht="15" customHeight="1">
      <c r="A116" t="inlineStr">
        <is>
          <t>A 21612-2021</t>
        </is>
      </c>
      <c r="B116" s="1" t="n">
        <v>44321</v>
      </c>
      <c r="C116" s="1" t="n">
        <v>45991</v>
      </c>
      <c r="D116" t="inlineStr">
        <is>
          <t>STOCKHOLMS LÄN</t>
        </is>
      </c>
      <c r="E116" t="inlineStr">
        <is>
          <t>VALLENTUNA</t>
        </is>
      </c>
      <c r="G116" t="n">
        <v>1.4</v>
      </c>
      <c r="H116" t="n">
        <v>0</v>
      </c>
      <c r="I116" t="n">
        <v>0</v>
      </c>
      <c r="J116" t="n">
        <v>0</v>
      </c>
      <c r="K116" t="n">
        <v>0</v>
      </c>
      <c r="L116" t="n">
        <v>0</v>
      </c>
      <c r="M116" t="n">
        <v>0</v>
      </c>
      <c r="N116" t="n">
        <v>0</v>
      </c>
      <c r="O116" t="n">
        <v>0</v>
      </c>
      <c r="P116" t="n">
        <v>0</v>
      </c>
      <c r="Q116" t="n">
        <v>0</v>
      </c>
      <c r="R116" s="2" t="inlineStr"/>
    </row>
    <row r="117" ht="15" customHeight="1">
      <c r="A117" t="inlineStr">
        <is>
          <t>A 4803-2024</t>
        </is>
      </c>
      <c r="B117" s="1" t="n">
        <v>45328</v>
      </c>
      <c r="C117" s="1" t="n">
        <v>45991</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45991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38102-2024</t>
        </is>
      </c>
      <c r="B119" s="1" t="n">
        <v>45545.36349537037</v>
      </c>
      <c r="C119" s="1" t="n">
        <v>45991</v>
      </c>
      <c r="D119" t="inlineStr">
        <is>
          <t>STOCKHOLMS LÄN</t>
        </is>
      </c>
      <c r="E119" t="inlineStr">
        <is>
          <t>VALLENTUNA</t>
        </is>
      </c>
      <c r="G119" t="n">
        <v>3.2</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45991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24943-2024</t>
        </is>
      </c>
      <c r="B121" s="1" t="n">
        <v>45461.62585648148</v>
      </c>
      <c r="C121" s="1" t="n">
        <v>45991</v>
      </c>
      <c r="D121" t="inlineStr">
        <is>
          <t>STOCKHOLMS LÄN</t>
        </is>
      </c>
      <c r="E121" t="inlineStr">
        <is>
          <t>VALLENTUNA</t>
        </is>
      </c>
      <c r="G121" t="n">
        <v>2</v>
      </c>
      <c r="H121" t="n">
        <v>0</v>
      </c>
      <c r="I121" t="n">
        <v>0</v>
      </c>
      <c r="J121" t="n">
        <v>0</v>
      </c>
      <c r="K121" t="n">
        <v>0</v>
      </c>
      <c r="L121" t="n">
        <v>0</v>
      </c>
      <c r="M121" t="n">
        <v>0</v>
      </c>
      <c r="N121" t="n">
        <v>0</v>
      </c>
      <c r="O121" t="n">
        <v>0</v>
      </c>
      <c r="P121" t="n">
        <v>0</v>
      </c>
      <c r="Q121" t="n">
        <v>0</v>
      </c>
      <c r="R121" s="2" t="inlineStr"/>
    </row>
    <row r="122" ht="15" customHeight="1">
      <c r="A122" t="inlineStr">
        <is>
          <t>A 22683-2023</t>
        </is>
      </c>
      <c r="B122" s="1" t="n">
        <v>45071</v>
      </c>
      <c r="C122" s="1" t="n">
        <v>45991</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45035.82512731481</v>
      </c>
      <c r="C123" s="1" t="n">
        <v>45991</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1385-2024</t>
        </is>
      </c>
      <c r="B124" s="1" t="n">
        <v>45303</v>
      </c>
      <c r="C124" s="1" t="n">
        <v>45991</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60818-2023</t>
        </is>
      </c>
      <c r="B125" s="1" t="n">
        <v>45259</v>
      </c>
      <c r="C125" s="1" t="n">
        <v>45991</v>
      </c>
      <c r="D125" t="inlineStr">
        <is>
          <t>STOCKHOLMS LÄN</t>
        </is>
      </c>
      <c r="E125" t="inlineStr">
        <is>
          <t>VALLENTUNA</t>
        </is>
      </c>
      <c r="G125" t="n">
        <v>9.4</v>
      </c>
      <c r="H125" t="n">
        <v>0</v>
      </c>
      <c r="I125" t="n">
        <v>0</v>
      </c>
      <c r="J125" t="n">
        <v>0</v>
      </c>
      <c r="K125" t="n">
        <v>0</v>
      </c>
      <c r="L125" t="n">
        <v>0</v>
      </c>
      <c r="M125" t="n">
        <v>0</v>
      </c>
      <c r="N125" t="n">
        <v>0</v>
      </c>
      <c r="O125" t="n">
        <v>0</v>
      </c>
      <c r="P125" t="n">
        <v>0</v>
      </c>
      <c r="Q125" t="n">
        <v>0</v>
      </c>
      <c r="R125" s="2" t="inlineStr"/>
    </row>
    <row r="126" ht="15" customHeight="1">
      <c r="A126" t="inlineStr">
        <is>
          <t>A 7264-2022</t>
        </is>
      </c>
      <c r="B126" s="1" t="n">
        <v>44606</v>
      </c>
      <c r="C126" s="1" t="n">
        <v>45991</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19356-2025</t>
        </is>
      </c>
      <c r="B127" s="1" t="n">
        <v>45769.62061342593</v>
      </c>
      <c r="C127" s="1" t="n">
        <v>45991</v>
      </c>
      <c r="D127" t="inlineStr">
        <is>
          <t>STOCKHOLMS LÄN</t>
        </is>
      </c>
      <c r="E127" t="inlineStr">
        <is>
          <t>VALLENTUNA</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11950-2025</t>
        </is>
      </c>
      <c r="B128" s="1" t="n">
        <v>45728.55622685186</v>
      </c>
      <c r="C128" s="1" t="n">
        <v>45991</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45991</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45991</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61442-2024</t>
        </is>
      </c>
      <c r="B131" s="1" t="n">
        <v>45646.47003472222</v>
      </c>
      <c r="C131" s="1" t="n">
        <v>45991</v>
      </c>
      <c r="D131" t="inlineStr">
        <is>
          <t>STOCKHOLMS LÄN</t>
        </is>
      </c>
      <c r="E131" t="inlineStr">
        <is>
          <t>VALLENTUNA</t>
        </is>
      </c>
      <c r="G131" t="n">
        <v>4.6</v>
      </c>
      <c r="H131" t="n">
        <v>0</v>
      </c>
      <c r="I131" t="n">
        <v>0</v>
      </c>
      <c r="J131" t="n">
        <v>0</v>
      </c>
      <c r="K131" t="n">
        <v>0</v>
      </c>
      <c r="L131" t="n">
        <v>0</v>
      </c>
      <c r="M131" t="n">
        <v>0</v>
      </c>
      <c r="N131" t="n">
        <v>0</v>
      </c>
      <c r="O131" t="n">
        <v>0</v>
      </c>
      <c r="P131" t="n">
        <v>0</v>
      </c>
      <c r="Q131" t="n">
        <v>0</v>
      </c>
      <c r="R131" s="2" t="inlineStr"/>
    </row>
    <row r="132" ht="15" customHeight="1">
      <c r="A132" t="inlineStr">
        <is>
          <t>A 48068-2021</t>
        </is>
      </c>
      <c r="B132" s="1" t="n">
        <v>44449.42270833333</v>
      </c>
      <c r="C132" s="1" t="n">
        <v>45991</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45991</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34452-2021</t>
        </is>
      </c>
      <c r="B134" s="1" t="n">
        <v>44381</v>
      </c>
      <c r="C134" s="1" t="n">
        <v>45991</v>
      </c>
      <c r="D134" t="inlineStr">
        <is>
          <t>STOCKHOLMS LÄN</t>
        </is>
      </c>
      <c r="E134" t="inlineStr">
        <is>
          <t>VALLENTUNA</t>
        </is>
      </c>
      <c r="G134" t="n">
        <v>14.7</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45991</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45991</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45991</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45991</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45991</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45991</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c r="A141" t="inlineStr">
        <is>
          <t>A 23923-2025</t>
        </is>
      </c>
      <c r="B141" s="1" t="n">
        <v>45795.39648148148</v>
      </c>
      <c r="C141" s="1" t="n">
        <v>45991</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2025-11-30T10:23:52Z</dcterms:created>
  <dcterms:modified xmlns:dcterms="http://purl.org/dc/terms/" xmlns:xsi="http://www.w3.org/2001/XMLSchema-instance" xsi:type="dcterms:W3CDTF">2025-11-30T10:23:52Z</dcterms:modified>
</cp:coreProperties>
</file>