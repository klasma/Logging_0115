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45970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45970</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45970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45970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45970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45970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45970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45970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45970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45970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45970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45970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45970</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45970</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45970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45970</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45970</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45970</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45970</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62402-2022</t>
        </is>
      </c>
      <c r="B21" s="1" t="n">
        <v>44923</v>
      </c>
      <c r="C21" s="1" t="n">
        <v>45970</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45970</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754-2024</t>
        </is>
      </c>
      <c r="B23" s="1" t="n">
        <v>45300</v>
      </c>
      <c r="C23" s="1" t="n">
        <v>45970</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9745-2022</t>
        </is>
      </c>
      <c r="B24" s="1" t="n">
        <v>44618</v>
      </c>
      <c r="C24" s="1" t="n">
        <v>45970</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8817-2025</t>
        </is>
      </c>
      <c r="B25" s="1" t="n">
        <v>45712.70987268518</v>
      </c>
      <c r="C25" s="1" t="n">
        <v>45970</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45970</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34458-2023</t>
        </is>
      </c>
      <c r="B27" s="1" t="n">
        <v>45139</v>
      </c>
      <c r="C27" s="1" t="n">
        <v>45970</v>
      </c>
      <c r="D27" t="inlineStr">
        <is>
          <t>STOCKHOLMS LÄN</t>
        </is>
      </c>
      <c r="E27" t="inlineStr">
        <is>
          <t>VALLENTUNA</t>
        </is>
      </c>
      <c r="G27" t="n">
        <v>2.5</v>
      </c>
      <c r="H27" t="n">
        <v>0</v>
      </c>
      <c r="I27" t="n">
        <v>0</v>
      </c>
      <c r="J27" t="n">
        <v>1</v>
      </c>
      <c r="K27" t="n">
        <v>0</v>
      </c>
      <c r="L27" t="n">
        <v>0</v>
      </c>
      <c r="M27" t="n">
        <v>0</v>
      </c>
      <c r="N27" t="n">
        <v>0</v>
      </c>
      <c r="O27" t="n">
        <v>1</v>
      </c>
      <c r="P27" t="n">
        <v>0</v>
      </c>
      <c r="Q27" t="n">
        <v>1</v>
      </c>
      <c r="R27" s="2" t="inlineStr">
        <is>
          <t>Motaggsvamp</t>
        </is>
      </c>
      <c r="S27">
        <f>HYPERLINK("https://klasma.github.io/Logging_0115/artfynd/A 34458-2023 artfynd.xlsx", "A 34458-2023")</f>
        <v/>
      </c>
      <c r="T27">
        <f>HYPERLINK("https://klasma.github.io/Logging_0115/kartor/A 34458-2023 karta.png", "A 34458-2023")</f>
        <v/>
      </c>
      <c r="V27">
        <f>HYPERLINK("https://klasma.github.io/Logging_0115/klagomål/A 34458-2023 FSC-klagomål.docx", "A 34458-2023")</f>
        <v/>
      </c>
      <c r="W27">
        <f>HYPERLINK("https://klasma.github.io/Logging_0115/klagomålsmail/A 34458-2023 FSC-klagomål mail.docx", "A 34458-2023")</f>
        <v/>
      </c>
      <c r="X27">
        <f>HYPERLINK("https://klasma.github.io/Logging_0115/tillsyn/A 34458-2023 tillsynsbegäran.docx", "A 34458-2023")</f>
        <v/>
      </c>
      <c r="Y27">
        <f>HYPERLINK("https://klasma.github.io/Logging_0115/tillsynsmail/A 34458-2023 tillsynsbegäran mail.docx", "A 34458-2023")</f>
        <v/>
      </c>
    </row>
    <row r="28" ht="15" customHeight="1">
      <c r="A28" t="inlineStr">
        <is>
          <t>A 17348-2025</t>
        </is>
      </c>
      <c r="B28" s="1" t="n">
        <v>45756</v>
      </c>
      <c r="C28" s="1" t="n">
        <v>45970</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7890-2023</t>
        </is>
      </c>
      <c r="B29" s="1" t="n">
        <v>44973</v>
      </c>
      <c r="C29" s="1" t="n">
        <v>45970</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45970</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34460-2023</t>
        </is>
      </c>
      <c r="B31" s="1" t="n">
        <v>45139</v>
      </c>
      <c r="C31" s="1" t="n">
        <v>45970</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21439-2025</t>
        </is>
      </c>
      <c r="B32" s="1" t="n">
        <v>45782.52939814814</v>
      </c>
      <c r="C32" s="1" t="n">
        <v>45970</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22936-2025</t>
        </is>
      </c>
      <c r="B33" s="1" t="n">
        <v>45790.45738425926</v>
      </c>
      <c r="C33" s="1" t="n">
        <v>45970</v>
      </c>
      <c r="D33" t="inlineStr">
        <is>
          <t>STOCKHOLMS LÄN</t>
        </is>
      </c>
      <c r="E33" t="inlineStr">
        <is>
          <t>VALLENTUNA</t>
        </is>
      </c>
      <c r="G33" t="n">
        <v>2.7</v>
      </c>
      <c r="H33" t="n">
        <v>0</v>
      </c>
      <c r="I33" t="n">
        <v>1</v>
      </c>
      <c r="J33" t="n">
        <v>0</v>
      </c>
      <c r="K33" t="n">
        <v>0</v>
      </c>
      <c r="L33" t="n">
        <v>0</v>
      </c>
      <c r="M33" t="n">
        <v>0</v>
      </c>
      <c r="N33" t="n">
        <v>0</v>
      </c>
      <c r="O33" t="n">
        <v>0</v>
      </c>
      <c r="P33" t="n">
        <v>0</v>
      </c>
      <c r="Q33" t="n">
        <v>1</v>
      </c>
      <c r="R33" s="2" t="inlineStr">
        <is>
          <t>Björksplintborre</t>
        </is>
      </c>
      <c r="S33">
        <f>HYPERLINK("https://klasma.github.io/Logging_0115/artfynd/A 22936-2025 artfynd.xlsx", "A 22936-2025")</f>
        <v/>
      </c>
      <c r="T33">
        <f>HYPERLINK("https://klasma.github.io/Logging_0115/kartor/A 22936-2025 karta.png", "A 22936-2025")</f>
        <v/>
      </c>
      <c r="V33">
        <f>HYPERLINK("https://klasma.github.io/Logging_0115/klagomål/A 22936-2025 FSC-klagomål.docx", "A 22936-2025")</f>
        <v/>
      </c>
      <c r="W33">
        <f>HYPERLINK("https://klasma.github.io/Logging_0115/klagomålsmail/A 22936-2025 FSC-klagomål mail.docx", "A 22936-2025")</f>
        <v/>
      </c>
      <c r="X33">
        <f>HYPERLINK("https://klasma.github.io/Logging_0115/tillsyn/A 22936-2025 tillsynsbegäran.docx", "A 22936-2025")</f>
        <v/>
      </c>
      <c r="Y33">
        <f>HYPERLINK("https://klasma.github.io/Logging_0115/tillsynsmail/A 22936-2025 tillsynsbegäran mail.docx", "A 22936-2025")</f>
        <v/>
      </c>
    </row>
    <row r="34" ht="15" customHeight="1">
      <c r="A34" t="inlineStr">
        <is>
          <t>A 21-2022</t>
        </is>
      </c>
      <c r="B34" s="1" t="n">
        <v>44560</v>
      </c>
      <c r="C34" s="1" t="n">
        <v>45970</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17341-2025</t>
        </is>
      </c>
      <c r="B35" s="1" t="n">
        <v>45756</v>
      </c>
      <c r="C35" s="1" t="n">
        <v>45970</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54481-2025</t>
        </is>
      </c>
      <c r="B36" s="1" t="n">
        <v>45965.58837962963</v>
      </c>
      <c r="C36" s="1" t="n">
        <v>45970</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20612-2021</t>
        </is>
      </c>
      <c r="B37" s="1" t="n">
        <v>44315</v>
      </c>
      <c r="C37" s="1" t="n">
        <v>45970</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45970</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45970</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45970</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45970</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45970</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45970</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45970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45970</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45970</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45970</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45970</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45970</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45970</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45970</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45970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45970</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42624-2021</t>
        </is>
      </c>
      <c r="B54" s="1" t="n">
        <v>44428</v>
      </c>
      <c r="C54" s="1" t="n">
        <v>45970</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45970</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48078-2021</t>
        </is>
      </c>
      <c r="B56" s="1" t="n">
        <v>44449.42578703703</v>
      </c>
      <c r="C56" s="1" t="n">
        <v>45970</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60997-2022</t>
        </is>
      </c>
      <c r="B57" s="1" t="n">
        <v>44914.70746527778</v>
      </c>
      <c r="C57" s="1" t="n">
        <v>45970</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45970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45970</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12234-2022</t>
        </is>
      </c>
      <c r="B60" s="1" t="n">
        <v>44637</v>
      </c>
      <c r="C60" s="1" t="n">
        <v>45970</v>
      </c>
      <c r="D60" t="inlineStr">
        <is>
          <t>STOCKHOLMS LÄN</t>
        </is>
      </c>
      <c r="E60" t="inlineStr">
        <is>
          <t>VALLENTUNA</t>
        </is>
      </c>
      <c r="G60" t="n">
        <v>2.4</v>
      </c>
      <c r="H60" t="n">
        <v>0</v>
      </c>
      <c r="I60" t="n">
        <v>0</v>
      </c>
      <c r="J60" t="n">
        <v>0</v>
      </c>
      <c r="K60" t="n">
        <v>0</v>
      </c>
      <c r="L60" t="n">
        <v>0</v>
      </c>
      <c r="M60" t="n">
        <v>0</v>
      </c>
      <c r="N60" t="n">
        <v>0</v>
      </c>
      <c r="O60" t="n">
        <v>0</v>
      </c>
      <c r="P60" t="n">
        <v>0</v>
      </c>
      <c r="Q60" t="n">
        <v>0</v>
      </c>
      <c r="R60" s="2" t="inlineStr"/>
    </row>
    <row r="61" ht="15" customHeight="1">
      <c r="A61" t="inlineStr">
        <is>
          <t>A 61442-2024</t>
        </is>
      </c>
      <c r="B61" s="1" t="n">
        <v>45646.47003472222</v>
      </c>
      <c r="C61" s="1" t="n">
        <v>45970</v>
      </c>
      <c r="D61" t="inlineStr">
        <is>
          <t>STOCKHOLMS LÄN</t>
        </is>
      </c>
      <c r="E61" t="inlineStr">
        <is>
          <t>VALLENTUNA</t>
        </is>
      </c>
      <c r="G61" t="n">
        <v>4.6</v>
      </c>
      <c r="H61" t="n">
        <v>0</v>
      </c>
      <c r="I61" t="n">
        <v>0</v>
      </c>
      <c r="J61" t="n">
        <v>0</v>
      </c>
      <c r="K61" t="n">
        <v>0</v>
      </c>
      <c r="L61" t="n">
        <v>0</v>
      </c>
      <c r="M61" t="n">
        <v>0</v>
      </c>
      <c r="N61" t="n">
        <v>0</v>
      </c>
      <c r="O61" t="n">
        <v>0</v>
      </c>
      <c r="P61" t="n">
        <v>0</v>
      </c>
      <c r="Q61" t="n">
        <v>0</v>
      </c>
      <c r="R61" s="2" t="inlineStr"/>
    </row>
    <row r="62" ht="15" customHeight="1">
      <c r="A62" t="inlineStr">
        <is>
          <t>A 21614-2022</t>
        </is>
      </c>
      <c r="B62" s="1" t="n">
        <v>44706</v>
      </c>
      <c r="C62" s="1" t="n">
        <v>45970</v>
      </c>
      <c r="D62" t="inlineStr">
        <is>
          <t>STOCKHOLMS LÄN</t>
        </is>
      </c>
      <c r="E62" t="inlineStr">
        <is>
          <t>VALLENTUNA</t>
        </is>
      </c>
      <c r="G62" t="n">
        <v>4</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45970</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45970</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12585-2023</t>
        </is>
      </c>
      <c r="B65" s="1" t="n">
        <v>45000.41373842592</v>
      </c>
      <c r="C65" s="1" t="n">
        <v>45970</v>
      </c>
      <c r="D65" t="inlineStr">
        <is>
          <t>STOCKHOLMS LÄN</t>
        </is>
      </c>
      <c r="E65" t="inlineStr">
        <is>
          <t>VALLENTUNA</t>
        </is>
      </c>
      <c r="G65" t="n">
        <v>3.7</v>
      </c>
      <c r="H65" t="n">
        <v>0</v>
      </c>
      <c r="I65" t="n">
        <v>0</v>
      </c>
      <c r="J65" t="n">
        <v>0</v>
      </c>
      <c r="K65" t="n">
        <v>0</v>
      </c>
      <c r="L65" t="n">
        <v>0</v>
      </c>
      <c r="M65" t="n">
        <v>0</v>
      </c>
      <c r="N65" t="n">
        <v>0</v>
      </c>
      <c r="O65" t="n">
        <v>0</v>
      </c>
      <c r="P65" t="n">
        <v>0</v>
      </c>
      <c r="Q65" t="n">
        <v>0</v>
      </c>
      <c r="R65" s="2" t="inlineStr"/>
    </row>
    <row r="66" ht="15" customHeight="1">
      <c r="A66" t="inlineStr">
        <is>
          <t>A 21612-2021</t>
        </is>
      </c>
      <c r="B66" s="1" t="n">
        <v>44321</v>
      </c>
      <c r="C66" s="1" t="n">
        <v>45970</v>
      </c>
      <c r="D66" t="inlineStr">
        <is>
          <t>STOCKHOLMS LÄN</t>
        </is>
      </c>
      <c r="E66" t="inlineStr">
        <is>
          <t>VALLENTUNA</t>
        </is>
      </c>
      <c r="G66" t="n">
        <v>1.4</v>
      </c>
      <c r="H66" t="n">
        <v>0</v>
      </c>
      <c r="I66" t="n">
        <v>0</v>
      </c>
      <c r="J66" t="n">
        <v>0</v>
      </c>
      <c r="K66" t="n">
        <v>0</v>
      </c>
      <c r="L66" t="n">
        <v>0</v>
      </c>
      <c r="M66" t="n">
        <v>0</v>
      </c>
      <c r="N66" t="n">
        <v>0</v>
      </c>
      <c r="O66" t="n">
        <v>0</v>
      </c>
      <c r="P66" t="n">
        <v>0</v>
      </c>
      <c r="Q66" t="n">
        <v>0</v>
      </c>
      <c r="R66" s="2" t="inlineStr"/>
    </row>
    <row r="67" ht="15" customHeight="1">
      <c r="A67" t="inlineStr">
        <is>
          <t>A 8787-2024</t>
        </is>
      </c>
      <c r="B67" s="1" t="n">
        <v>45356</v>
      </c>
      <c r="C67" s="1" t="n">
        <v>45970</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45970</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60795-2023</t>
        </is>
      </c>
      <c r="B69" s="1" t="n">
        <v>45260</v>
      </c>
      <c r="C69" s="1" t="n">
        <v>45970</v>
      </c>
      <c r="D69" t="inlineStr">
        <is>
          <t>STOCKHOLMS LÄN</t>
        </is>
      </c>
      <c r="E69" t="inlineStr">
        <is>
          <t>VALLENTUNA</t>
        </is>
      </c>
      <c r="G69" t="n">
        <v>2.2</v>
      </c>
      <c r="H69" t="n">
        <v>0</v>
      </c>
      <c r="I69" t="n">
        <v>0</v>
      </c>
      <c r="J69" t="n">
        <v>0</v>
      </c>
      <c r="K69" t="n">
        <v>0</v>
      </c>
      <c r="L69" t="n">
        <v>0</v>
      </c>
      <c r="M69" t="n">
        <v>0</v>
      </c>
      <c r="N69" t="n">
        <v>0</v>
      </c>
      <c r="O69" t="n">
        <v>0</v>
      </c>
      <c r="P69" t="n">
        <v>0</v>
      </c>
      <c r="Q69" t="n">
        <v>0</v>
      </c>
      <c r="R69" s="2" t="inlineStr"/>
    </row>
    <row r="70" ht="15" customHeight="1">
      <c r="A70" t="inlineStr">
        <is>
          <t>A 14480-2024</t>
        </is>
      </c>
      <c r="B70" s="1" t="n">
        <v>45394.56777777777</v>
      </c>
      <c r="C70" s="1" t="n">
        <v>45970</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19503-2023</t>
        </is>
      </c>
      <c r="B71" s="1" t="n">
        <v>45050.47333333334</v>
      </c>
      <c r="C71" s="1" t="n">
        <v>45970</v>
      </c>
      <c r="D71" t="inlineStr">
        <is>
          <t>STOCKHOLMS LÄN</t>
        </is>
      </c>
      <c r="E71" t="inlineStr">
        <is>
          <t>VALLENTUNA</t>
        </is>
      </c>
      <c r="G71" t="n">
        <v>0.7</v>
      </c>
      <c r="H71" t="n">
        <v>0</v>
      </c>
      <c r="I71" t="n">
        <v>0</v>
      </c>
      <c r="J71" t="n">
        <v>0</v>
      </c>
      <c r="K71" t="n">
        <v>0</v>
      </c>
      <c r="L71" t="n">
        <v>0</v>
      </c>
      <c r="M71" t="n">
        <v>0</v>
      </c>
      <c r="N71" t="n">
        <v>0</v>
      </c>
      <c r="O71" t="n">
        <v>0</v>
      </c>
      <c r="P71" t="n">
        <v>0</v>
      </c>
      <c r="Q71" t="n">
        <v>0</v>
      </c>
      <c r="R71" s="2" t="inlineStr"/>
    </row>
    <row r="72" ht="15" customHeight="1">
      <c r="A72" t="inlineStr">
        <is>
          <t>A 30913-2021</t>
        </is>
      </c>
      <c r="B72" s="1" t="n">
        <v>44365</v>
      </c>
      <c r="C72" s="1" t="n">
        <v>45970</v>
      </c>
      <c r="D72" t="inlineStr">
        <is>
          <t>STOCKHOLMS LÄN</t>
        </is>
      </c>
      <c r="E72" t="inlineStr">
        <is>
          <t>VALLENTUNA</t>
        </is>
      </c>
      <c r="F72" t="inlineStr">
        <is>
          <t>Övriga Aktiebolag</t>
        </is>
      </c>
      <c r="G72" t="n">
        <v>3.3</v>
      </c>
      <c r="H72" t="n">
        <v>0</v>
      </c>
      <c r="I72" t="n">
        <v>0</v>
      </c>
      <c r="J72" t="n">
        <v>0</v>
      </c>
      <c r="K72" t="n">
        <v>0</v>
      </c>
      <c r="L72" t="n">
        <v>0</v>
      </c>
      <c r="M72" t="n">
        <v>0</v>
      </c>
      <c r="N72" t="n">
        <v>0</v>
      </c>
      <c r="O72" t="n">
        <v>0</v>
      </c>
      <c r="P72" t="n">
        <v>0</v>
      </c>
      <c r="Q72" t="n">
        <v>0</v>
      </c>
      <c r="R72" s="2" t="inlineStr"/>
    </row>
    <row r="73" ht="15" customHeight="1">
      <c r="A73" t="inlineStr">
        <is>
          <t>A 34441-2023</t>
        </is>
      </c>
      <c r="B73" s="1" t="n">
        <v>45139</v>
      </c>
      <c r="C73" s="1" t="n">
        <v>45970</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34445-2023</t>
        </is>
      </c>
      <c r="B74" s="1" t="n">
        <v>45139</v>
      </c>
      <c r="C74" s="1" t="n">
        <v>45970</v>
      </c>
      <c r="D74" t="inlineStr">
        <is>
          <t>STOCKHOLMS LÄN</t>
        </is>
      </c>
      <c r="E74" t="inlineStr">
        <is>
          <t>VALLENTUNA</t>
        </is>
      </c>
      <c r="G74" t="n">
        <v>0.9</v>
      </c>
      <c r="H74" t="n">
        <v>0</v>
      </c>
      <c r="I74" t="n">
        <v>0</v>
      </c>
      <c r="J74" t="n">
        <v>0</v>
      </c>
      <c r="K74" t="n">
        <v>0</v>
      </c>
      <c r="L74" t="n">
        <v>0</v>
      </c>
      <c r="M74" t="n">
        <v>0</v>
      </c>
      <c r="N74" t="n">
        <v>0</v>
      </c>
      <c r="O74" t="n">
        <v>0</v>
      </c>
      <c r="P74" t="n">
        <v>0</v>
      </c>
      <c r="Q74" t="n">
        <v>0</v>
      </c>
      <c r="R74" s="2" t="inlineStr"/>
    </row>
    <row r="75" ht="15" customHeight="1">
      <c r="A75" t="inlineStr">
        <is>
          <t>A 23986-2023</t>
        </is>
      </c>
      <c r="B75" s="1" t="n">
        <v>45078</v>
      </c>
      <c r="C75" s="1" t="n">
        <v>45970</v>
      </c>
      <c r="D75" t="inlineStr">
        <is>
          <t>STOCKHOLMS LÄN</t>
        </is>
      </c>
      <c r="E75" t="inlineStr">
        <is>
          <t>VALLENTUNA</t>
        </is>
      </c>
      <c r="F75" t="inlineStr">
        <is>
          <t>Kyrkan</t>
        </is>
      </c>
      <c r="G75" t="n">
        <v>5.7</v>
      </c>
      <c r="H75" t="n">
        <v>0</v>
      </c>
      <c r="I75" t="n">
        <v>0</v>
      </c>
      <c r="J75" t="n">
        <v>0</v>
      </c>
      <c r="K75" t="n">
        <v>0</v>
      </c>
      <c r="L75" t="n">
        <v>0</v>
      </c>
      <c r="M75" t="n">
        <v>0</v>
      </c>
      <c r="N75" t="n">
        <v>0</v>
      </c>
      <c r="O75" t="n">
        <v>0</v>
      </c>
      <c r="P75" t="n">
        <v>0</v>
      </c>
      <c r="Q75" t="n">
        <v>0</v>
      </c>
      <c r="R75" s="2" t="inlineStr"/>
    </row>
    <row r="76" ht="15" customHeight="1">
      <c r="A76" t="inlineStr">
        <is>
          <t>A 15300-2023</t>
        </is>
      </c>
      <c r="B76" s="1" t="n">
        <v>45019</v>
      </c>
      <c r="C76" s="1" t="n">
        <v>45970</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8077-2022</t>
        </is>
      </c>
      <c r="B77" s="1" t="n">
        <v>44609</v>
      </c>
      <c r="C77" s="1" t="n">
        <v>45970</v>
      </c>
      <c r="D77" t="inlineStr">
        <is>
          <t>STOCKHOLMS LÄN</t>
        </is>
      </c>
      <c r="E77" t="inlineStr">
        <is>
          <t>VALLENTUNA</t>
        </is>
      </c>
      <c r="G77" t="n">
        <v>1.3</v>
      </c>
      <c r="H77" t="n">
        <v>0</v>
      </c>
      <c r="I77" t="n">
        <v>0</v>
      </c>
      <c r="J77" t="n">
        <v>0</v>
      </c>
      <c r="K77" t="n">
        <v>0</v>
      </c>
      <c r="L77" t="n">
        <v>0</v>
      </c>
      <c r="M77" t="n">
        <v>0</v>
      </c>
      <c r="N77" t="n">
        <v>0</v>
      </c>
      <c r="O77" t="n">
        <v>0</v>
      </c>
      <c r="P77" t="n">
        <v>0</v>
      </c>
      <c r="Q77" t="n">
        <v>0</v>
      </c>
      <c r="R77" s="2" t="inlineStr"/>
    </row>
    <row r="78" ht="15" customHeight="1">
      <c r="A78" t="inlineStr">
        <is>
          <t>A 13836-2022</t>
        </is>
      </c>
      <c r="B78" s="1" t="n">
        <v>44649</v>
      </c>
      <c r="C78" s="1" t="n">
        <v>45970</v>
      </c>
      <c r="D78" t="inlineStr">
        <is>
          <t>STOCKHOLMS LÄN</t>
        </is>
      </c>
      <c r="E78" t="inlineStr">
        <is>
          <t>VALLENTUNA</t>
        </is>
      </c>
      <c r="G78" t="n">
        <v>3.5</v>
      </c>
      <c r="H78" t="n">
        <v>0</v>
      </c>
      <c r="I78" t="n">
        <v>0</v>
      </c>
      <c r="J78" t="n">
        <v>0</v>
      </c>
      <c r="K78" t="n">
        <v>0</v>
      </c>
      <c r="L78" t="n">
        <v>0</v>
      </c>
      <c r="M78" t="n">
        <v>0</v>
      </c>
      <c r="N78" t="n">
        <v>0</v>
      </c>
      <c r="O78" t="n">
        <v>0</v>
      </c>
      <c r="P78" t="n">
        <v>0</v>
      </c>
      <c r="Q78" t="n">
        <v>0</v>
      </c>
      <c r="R78" s="2" t="inlineStr"/>
    </row>
    <row r="79" ht="15" customHeight="1">
      <c r="A79" t="inlineStr">
        <is>
          <t>A 21445-2023</t>
        </is>
      </c>
      <c r="B79" s="1" t="n">
        <v>45063</v>
      </c>
      <c r="C79" s="1" t="n">
        <v>45970</v>
      </c>
      <c r="D79" t="inlineStr">
        <is>
          <t>STOCKHOLMS LÄN</t>
        </is>
      </c>
      <c r="E79" t="inlineStr">
        <is>
          <t>VALLENTUNA</t>
        </is>
      </c>
      <c r="G79" t="n">
        <v>3.1</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45970</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48040-2025</t>
        </is>
      </c>
      <c r="B81" s="1" t="n">
        <v>45932.6628125</v>
      </c>
      <c r="C81" s="1" t="n">
        <v>45970</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45970</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22683-2023</t>
        </is>
      </c>
      <c r="B83" s="1" t="n">
        <v>45071</v>
      </c>
      <c r="C83" s="1" t="n">
        <v>45970</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24943-2024</t>
        </is>
      </c>
      <c r="B84" s="1" t="n">
        <v>45461.62585648148</v>
      </c>
      <c r="C84" s="1" t="n">
        <v>45970</v>
      </c>
      <c r="D84" t="inlineStr">
        <is>
          <t>STOCKHOLMS LÄN</t>
        </is>
      </c>
      <c r="E84" t="inlineStr">
        <is>
          <t>VALLENTUNA</t>
        </is>
      </c>
      <c r="G84" t="n">
        <v>2</v>
      </c>
      <c r="H84" t="n">
        <v>0</v>
      </c>
      <c r="I84" t="n">
        <v>0</v>
      </c>
      <c r="J84" t="n">
        <v>0</v>
      </c>
      <c r="K84" t="n">
        <v>0</v>
      </c>
      <c r="L84" t="n">
        <v>0</v>
      </c>
      <c r="M84" t="n">
        <v>0</v>
      </c>
      <c r="N84" t="n">
        <v>0</v>
      </c>
      <c r="O84" t="n">
        <v>0</v>
      </c>
      <c r="P84" t="n">
        <v>0</v>
      </c>
      <c r="Q84" t="n">
        <v>0</v>
      </c>
      <c r="R84" s="2" t="inlineStr"/>
    </row>
    <row r="85" ht="15" customHeight="1">
      <c r="A85" t="inlineStr">
        <is>
          <t>A 5910-2022</t>
        </is>
      </c>
      <c r="B85" s="1" t="n">
        <v>44597</v>
      </c>
      <c r="C85" s="1" t="n">
        <v>45970</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48068-2021</t>
        </is>
      </c>
      <c r="B86" s="1" t="n">
        <v>44449.42270833333</v>
      </c>
      <c r="C86" s="1" t="n">
        <v>45970</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29704-2023</t>
        </is>
      </c>
      <c r="B87" s="1" t="n">
        <v>45107</v>
      </c>
      <c r="C87" s="1" t="n">
        <v>45970</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3937-2022</t>
        </is>
      </c>
      <c r="B88" s="1" t="n">
        <v>44587</v>
      </c>
      <c r="C88" s="1" t="n">
        <v>45970</v>
      </c>
      <c r="D88" t="inlineStr">
        <is>
          <t>STOCKHOLMS LÄN</t>
        </is>
      </c>
      <c r="E88" t="inlineStr">
        <is>
          <t>VALLENTUNA</t>
        </is>
      </c>
      <c r="G88" t="n">
        <v>6.6</v>
      </c>
      <c r="H88" t="n">
        <v>0</v>
      </c>
      <c r="I88" t="n">
        <v>0</v>
      </c>
      <c r="J88" t="n">
        <v>0</v>
      </c>
      <c r="K88" t="n">
        <v>0</v>
      </c>
      <c r="L88" t="n">
        <v>0</v>
      </c>
      <c r="M88" t="n">
        <v>0</v>
      </c>
      <c r="N88" t="n">
        <v>0</v>
      </c>
      <c r="O88" t="n">
        <v>0</v>
      </c>
      <c r="P88" t="n">
        <v>0</v>
      </c>
      <c r="Q88" t="n">
        <v>0</v>
      </c>
      <c r="R88" s="2" t="inlineStr"/>
    </row>
    <row r="89" ht="15" customHeight="1">
      <c r="A89" t="inlineStr">
        <is>
          <t>A 21765-2023</t>
        </is>
      </c>
      <c r="B89" s="1" t="n">
        <v>45064</v>
      </c>
      <c r="C89" s="1" t="n">
        <v>45970</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45970</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45499-2023</t>
        </is>
      </c>
      <c r="B91" s="1" t="n">
        <v>45194</v>
      </c>
      <c r="C91" s="1" t="n">
        <v>45970</v>
      </c>
      <c r="D91" t="inlineStr">
        <is>
          <t>STOCKHOLMS LÄN</t>
        </is>
      </c>
      <c r="E91" t="inlineStr">
        <is>
          <t>VALLENTUNA</t>
        </is>
      </c>
      <c r="G91" t="n">
        <v>2.5</v>
      </c>
      <c r="H91" t="n">
        <v>0</v>
      </c>
      <c r="I91" t="n">
        <v>0</v>
      </c>
      <c r="J91" t="n">
        <v>0</v>
      </c>
      <c r="K91" t="n">
        <v>0</v>
      </c>
      <c r="L91" t="n">
        <v>0</v>
      </c>
      <c r="M91" t="n">
        <v>0</v>
      </c>
      <c r="N91" t="n">
        <v>0</v>
      </c>
      <c r="O91" t="n">
        <v>0</v>
      </c>
      <c r="P91" t="n">
        <v>0</v>
      </c>
      <c r="Q91" t="n">
        <v>0</v>
      </c>
      <c r="R91" s="2" t="inlineStr"/>
    </row>
    <row r="92" ht="15" customHeight="1">
      <c r="A92" t="inlineStr">
        <is>
          <t>A 60818-2023</t>
        </is>
      </c>
      <c r="B92" s="1" t="n">
        <v>45259</v>
      </c>
      <c r="C92" s="1" t="n">
        <v>45970</v>
      </c>
      <c r="D92" t="inlineStr">
        <is>
          <t>STOCKHOLMS LÄN</t>
        </is>
      </c>
      <c r="E92" t="inlineStr">
        <is>
          <t>VALLENTUNA</t>
        </is>
      </c>
      <c r="G92" t="n">
        <v>9.4</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45970</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1385-2024</t>
        </is>
      </c>
      <c r="B94" s="1" t="n">
        <v>45303</v>
      </c>
      <c r="C94" s="1" t="n">
        <v>45970</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45970</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735-2024</t>
        </is>
      </c>
      <c r="B96" s="1" t="n">
        <v>45300</v>
      </c>
      <c r="C96" s="1" t="n">
        <v>45970</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17411-2023</t>
        </is>
      </c>
      <c r="B97" s="1" t="n">
        <v>45035.82512731481</v>
      </c>
      <c r="C97" s="1" t="n">
        <v>45970</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7264-2022</t>
        </is>
      </c>
      <c r="B98" s="1" t="n">
        <v>44606</v>
      </c>
      <c r="C98" s="1" t="n">
        <v>45970</v>
      </c>
      <c r="D98" t="inlineStr">
        <is>
          <t>STOCKHOLMS LÄN</t>
        </is>
      </c>
      <c r="E98" t="inlineStr">
        <is>
          <t>VALLENTUNA</t>
        </is>
      </c>
      <c r="G98" t="n">
        <v>2.4</v>
      </c>
      <c r="H98" t="n">
        <v>0</v>
      </c>
      <c r="I98" t="n">
        <v>0</v>
      </c>
      <c r="J98" t="n">
        <v>0</v>
      </c>
      <c r="K98" t="n">
        <v>0</v>
      </c>
      <c r="L98" t="n">
        <v>0</v>
      </c>
      <c r="M98" t="n">
        <v>0</v>
      </c>
      <c r="N98" t="n">
        <v>0</v>
      </c>
      <c r="O98" t="n">
        <v>0</v>
      </c>
      <c r="P98" t="n">
        <v>0</v>
      </c>
      <c r="Q98" t="n">
        <v>0</v>
      </c>
      <c r="R98" s="2" t="inlineStr"/>
    </row>
    <row r="99" ht="15" customHeight="1">
      <c r="A99" t="inlineStr">
        <is>
          <t>A 26390-2023</t>
        </is>
      </c>
      <c r="B99" s="1" t="n">
        <v>45086</v>
      </c>
      <c r="C99" s="1" t="n">
        <v>45970</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68935-2020</t>
        </is>
      </c>
      <c r="B100" s="1" t="n">
        <v>44187</v>
      </c>
      <c r="C100" s="1" t="n">
        <v>45970</v>
      </c>
      <c r="D100" t="inlineStr">
        <is>
          <t>STOCKHOLMS LÄN</t>
        </is>
      </c>
      <c r="E100" t="inlineStr">
        <is>
          <t>VALLENTUNA</t>
        </is>
      </c>
      <c r="G100" t="n">
        <v>7.8</v>
      </c>
      <c r="H100" t="n">
        <v>0</v>
      </c>
      <c r="I100" t="n">
        <v>0</v>
      </c>
      <c r="J100" t="n">
        <v>0</v>
      </c>
      <c r="K100" t="n">
        <v>0</v>
      </c>
      <c r="L100" t="n">
        <v>0</v>
      </c>
      <c r="M100" t="n">
        <v>0</v>
      </c>
      <c r="N100" t="n">
        <v>0</v>
      </c>
      <c r="O100" t="n">
        <v>0</v>
      </c>
      <c r="P100" t="n">
        <v>0</v>
      </c>
      <c r="Q100" t="n">
        <v>0</v>
      </c>
      <c r="R100" s="2" t="inlineStr"/>
    </row>
    <row r="101" ht="15" customHeight="1">
      <c r="A101" t="inlineStr">
        <is>
          <t>A 15268-2023</t>
        </is>
      </c>
      <c r="B101" s="1" t="n">
        <v>45019.41045138889</v>
      </c>
      <c r="C101" s="1" t="n">
        <v>45970</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19356-2025</t>
        </is>
      </c>
      <c r="B102" s="1" t="n">
        <v>45769.62061342593</v>
      </c>
      <c r="C102" s="1" t="n">
        <v>45970</v>
      </c>
      <c r="D102" t="inlineStr">
        <is>
          <t>STOCKHOLMS LÄN</t>
        </is>
      </c>
      <c r="E102" t="inlineStr">
        <is>
          <t>VALLENTUNA</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12562-2023</t>
        </is>
      </c>
      <c r="B103" s="1" t="n">
        <v>45000</v>
      </c>
      <c r="C103" s="1" t="n">
        <v>45970</v>
      </c>
      <c r="D103" t="inlineStr">
        <is>
          <t>STOCKHOLMS LÄN</t>
        </is>
      </c>
      <c r="E103" t="inlineStr">
        <is>
          <t>VALLENTUNA</t>
        </is>
      </c>
      <c r="G103" t="n">
        <v>2.1</v>
      </c>
      <c r="H103" t="n">
        <v>0</v>
      </c>
      <c r="I103" t="n">
        <v>0</v>
      </c>
      <c r="J103" t="n">
        <v>0</v>
      </c>
      <c r="K103" t="n">
        <v>0</v>
      </c>
      <c r="L103" t="n">
        <v>0</v>
      </c>
      <c r="M103" t="n">
        <v>0</v>
      </c>
      <c r="N103" t="n">
        <v>0</v>
      </c>
      <c r="O103" t="n">
        <v>0</v>
      </c>
      <c r="P103" t="n">
        <v>0</v>
      </c>
      <c r="Q103" t="n">
        <v>0</v>
      </c>
      <c r="R103" s="2" t="inlineStr"/>
    </row>
    <row r="104" ht="15" customHeight="1">
      <c r="A104" t="inlineStr">
        <is>
          <t>A 38102-2024</t>
        </is>
      </c>
      <c r="B104" s="1" t="n">
        <v>45545.36349537037</v>
      </c>
      <c r="C104" s="1" t="n">
        <v>45970</v>
      </c>
      <c r="D104" t="inlineStr">
        <is>
          <t>STOCKHOLMS LÄN</t>
        </is>
      </c>
      <c r="E104" t="inlineStr">
        <is>
          <t>VALLENTUNA</t>
        </is>
      </c>
      <c r="G104" t="n">
        <v>3.2</v>
      </c>
      <c r="H104" t="n">
        <v>0</v>
      </c>
      <c r="I104" t="n">
        <v>0</v>
      </c>
      <c r="J104" t="n">
        <v>0</v>
      </c>
      <c r="K104" t="n">
        <v>0</v>
      </c>
      <c r="L104" t="n">
        <v>0</v>
      </c>
      <c r="M104" t="n">
        <v>0</v>
      </c>
      <c r="N104" t="n">
        <v>0</v>
      </c>
      <c r="O104" t="n">
        <v>0</v>
      </c>
      <c r="P104" t="n">
        <v>0</v>
      </c>
      <c r="Q104" t="n">
        <v>0</v>
      </c>
      <c r="R104" s="2" t="inlineStr"/>
    </row>
    <row r="105" ht="15" customHeight="1">
      <c r="A105" t="inlineStr">
        <is>
          <t>A 17340-2025</t>
        </is>
      </c>
      <c r="B105" s="1" t="n">
        <v>45756</v>
      </c>
      <c r="C105" s="1" t="n">
        <v>45970</v>
      </c>
      <c r="D105" t="inlineStr">
        <is>
          <t>STOCKHOLMS LÄN</t>
        </is>
      </c>
      <c r="E105" t="inlineStr">
        <is>
          <t>VALLENTUNA</t>
        </is>
      </c>
      <c r="F105" t="inlineStr">
        <is>
          <t>Övriga Aktiebolag</t>
        </is>
      </c>
      <c r="G105" t="n">
        <v>2.6</v>
      </c>
      <c r="H105" t="n">
        <v>0</v>
      </c>
      <c r="I105" t="n">
        <v>0</v>
      </c>
      <c r="J105" t="n">
        <v>0</v>
      </c>
      <c r="K105" t="n">
        <v>0</v>
      </c>
      <c r="L105" t="n">
        <v>0</v>
      </c>
      <c r="M105" t="n">
        <v>0</v>
      </c>
      <c r="N105" t="n">
        <v>0</v>
      </c>
      <c r="O105" t="n">
        <v>0</v>
      </c>
      <c r="P105" t="n">
        <v>0</v>
      </c>
      <c r="Q105" t="n">
        <v>0</v>
      </c>
      <c r="R105" s="2" t="inlineStr"/>
    </row>
    <row r="106" ht="15" customHeight="1">
      <c r="A106" t="inlineStr">
        <is>
          <t>A 6593-2021</t>
        </is>
      </c>
      <c r="B106" s="1" t="n">
        <v>44236</v>
      </c>
      <c r="C106" s="1" t="n">
        <v>45970</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20791-2025</t>
        </is>
      </c>
      <c r="B107" s="1" t="n">
        <v>45776.62738425926</v>
      </c>
      <c r="C107" s="1" t="n">
        <v>45970</v>
      </c>
      <c r="D107" t="inlineStr">
        <is>
          <t>STOCKHOLMS LÄN</t>
        </is>
      </c>
      <c r="E107" t="inlineStr">
        <is>
          <t>VALLENTUNA</t>
        </is>
      </c>
      <c r="G107" t="n">
        <v>1.5</v>
      </c>
      <c r="H107" t="n">
        <v>0</v>
      </c>
      <c r="I107" t="n">
        <v>0</v>
      </c>
      <c r="J107" t="n">
        <v>0</v>
      </c>
      <c r="K107" t="n">
        <v>0</v>
      </c>
      <c r="L107" t="n">
        <v>0</v>
      </c>
      <c r="M107" t="n">
        <v>0</v>
      </c>
      <c r="N107" t="n">
        <v>0</v>
      </c>
      <c r="O107" t="n">
        <v>0</v>
      </c>
      <c r="P107" t="n">
        <v>0</v>
      </c>
      <c r="Q107" t="n">
        <v>0</v>
      </c>
      <c r="R107" s="2" t="inlineStr"/>
    </row>
    <row r="108" ht="15" customHeight="1">
      <c r="A108" t="inlineStr">
        <is>
          <t>A 10073-2024</t>
        </is>
      </c>
      <c r="B108" s="1" t="n">
        <v>45364.40821759259</v>
      </c>
      <c r="C108" s="1" t="n">
        <v>45970</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34452-2021</t>
        </is>
      </c>
      <c r="B109" s="1" t="n">
        <v>44381</v>
      </c>
      <c r="C109" s="1" t="n">
        <v>45970</v>
      </c>
      <c r="D109" t="inlineStr">
        <is>
          <t>STOCKHOLMS LÄN</t>
        </is>
      </c>
      <c r="E109" t="inlineStr">
        <is>
          <t>VALLENTUNA</t>
        </is>
      </c>
      <c r="G109" t="n">
        <v>14.7</v>
      </c>
      <c r="H109" t="n">
        <v>0</v>
      </c>
      <c r="I109" t="n">
        <v>0</v>
      </c>
      <c r="J109" t="n">
        <v>0</v>
      </c>
      <c r="K109" t="n">
        <v>0</v>
      </c>
      <c r="L109" t="n">
        <v>0</v>
      </c>
      <c r="M109" t="n">
        <v>0</v>
      </c>
      <c r="N109" t="n">
        <v>0</v>
      </c>
      <c r="O109" t="n">
        <v>0</v>
      </c>
      <c r="P109" t="n">
        <v>0</v>
      </c>
      <c r="Q109" t="n">
        <v>0</v>
      </c>
      <c r="R109" s="2" t="inlineStr"/>
    </row>
    <row r="110" ht="15" customHeight="1">
      <c r="A110" t="inlineStr">
        <is>
          <t>A 12621-2024</t>
        </is>
      </c>
      <c r="B110" s="1" t="n">
        <v>45383.6325</v>
      </c>
      <c r="C110" s="1" t="n">
        <v>45970</v>
      </c>
      <c r="D110" t="inlineStr">
        <is>
          <t>STOCKHOLMS LÄN</t>
        </is>
      </c>
      <c r="E110" t="inlineStr">
        <is>
          <t>VALLENTUNA</t>
        </is>
      </c>
      <c r="G110" t="n">
        <v>4.4</v>
      </c>
      <c r="H110" t="n">
        <v>0</v>
      </c>
      <c r="I110" t="n">
        <v>0</v>
      </c>
      <c r="J110" t="n">
        <v>0</v>
      </c>
      <c r="K110" t="n">
        <v>0</v>
      </c>
      <c r="L110" t="n">
        <v>0</v>
      </c>
      <c r="M110" t="n">
        <v>0</v>
      </c>
      <c r="N110" t="n">
        <v>0</v>
      </c>
      <c r="O110" t="n">
        <v>0</v>
      </c>
      <c r="P110" t="n">
        <v>0</v>
      </c>
      <c r="Q110" t="n">
        <v>0</v>
      </c>
      <c r="R110" s="2" t="inlineStr"/>
    </row>
    <row r="111" ht="15" customHeight="1">
      <c r="A111" t="inlineStr">
        <is>
          <t>A 24707-2023</t>
        </is>
      </c>
      <c r="B111" s="1" t="n">
        <v>45084</v>
      </c>
      <c r="C111" s="1" t="n">
        <v>45970</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45970</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45970</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47140-2024</t>
        </is>
      </c>
      <c r="B114" s="1" t="n">
        <v>45586.58753472222</v>
      </c>
      <c r="C114" s="1" t="n">
        <v>45970</v>
      </c>
      <c r="D114" t="inlineStr">
        <is>
          <t>STOCKHOLMS LÄN</t>
        </is>
      </c>
      <c r="E114" t="inlineStr">
        <is>
          <t>VALLENTUNA</t>
        </is>
      </c>
      <c r="G114" t="n">
        <v>1</v>
      </c>
      <c r="H114" t="n">
        <v>0</v>
      </c>
      <c r="I114" t="n">
        <v>0</v>
      </c>
      <c r="J114" t="n">
        <v>0</v>
      </c>
      <c r="K114" t="n">
        <v>0</v>
      </c>
      <c r="L114" t="n">
        <v>0</v>
      </c>
      <c r="M114" t="n">
        <v>0</v>
      </c>
      <c r="N114" t="n">
        <v>0</v>
      </c>
      <c r="O114" t="n">
        <v>0</v>
      </c>
      <c r="P114" t="n">
        <v>0</v>
      </c>
      <c r="Q114" t="n">
        <v>0</v>
      </c>
      <c r="R114" s="2" t="inlineStr"/>
    </row>
    <row r="115" ht="15" customHeight="1">
      <c r="A115" t="inlineStr">
        <is>
          <t>A 46381-2023</t>
        </is>
      </c>
      <c r="B115" s="1" t="n">
        <v>45193</v>
      </c>
      <c r="C115" s="1" t="n">
        <v>45970</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61027-2023</t>
        </is>
      </c>
      <c r="B116" s="1" t="n">
        <v>45261</v>
      </c>
      <c r="C116" s="1" t="n">
        <v>45970</v>
      </c>
      <c r="D116" t="inlineStr">
        <is>
          <t>STOCKHOLMS LÄN</t>
        </is>
      </c>
      <c r="E116" t="inlineStr">
        <is>
          <t>VALLENTUNA</t>
        </is>
      </c>
      <c r="G116" t="n">
        <v>7.1</v>
      </c>
      <c r="H116" t="n">
        <v>0</v>
      </c>
      <c r="I116" t="n">
        <v>0</v>
      </c>
      <c r="J116" t="n">
        <v>0</v>
      </c>
      <c r="K116" t="n">
        <v>0</v>
      </c>
      <c r="L116" t="n">
        <v>0</v>
      </c>
      <c r="M116" t="n">
        <v>0</v>
      </c>
      <c r="N116" t="n">
        <v>0</v>
      </c>
      <c r="O116" t="n">
        <v>0</v>
      </c>
      <c r="P116" t="n">
        <v>0</v>
      </c>
      <c r="Q116" t="n">
        <v>0</v>
      </c>
      <c r="R116" s="2" t="inlineStr"/>
    </row>
    <row r="117" ht="15" customHeight="1">
      <c r="A117" t="inlineStr">
        <is>
          <t>A 23009-2024</t>
        </is>
      </c>
      <c r="B117" s="1" t="n">
        <v>45450.34506944445</v>
      </c>
      <c r="C117" s="1" t="n">
        <v>45970</v>
      </c>
      <c r="D117" t="inlineStr">
        <is>
          <t>STOCKHOLMS LÄN</t>
        </is>
      </c>
      <c r="E117" t="inlineStr">
        <is>
          <t>VALLENTUNA</t>
        </is>
      </c>
      <c r="G117" t="n">
        <v>1.4</v>
      </c>
      <c r="H117" t="n">
        <v>0</v>
      </c>
      <c r="I117" t="n">
        <v>0</v>
      </c>
      <c r="J117" t="n">
        <v>0</v>
      </c>
      <c r="K117" t="n">
        <v>0</v>
      </c>
      <c r="L117" t="n">
        <v>0</v>
      </c>
      <c r="M117" t="n">
        <v>0</v>
      </c>
      <c r="N117" t="n">
        <v>0</v>
      </c>
      <c r="O117" t="n">
        <v>0</v>
      </c>
      <c r="P117" t="n">
        <v>0</v>
      </c>
      <c r="Q117" t="n">
        <v>0</v>
      </c>
      <c r="R117" s="2" t="inlineStr"/>
    </row>
    <row r="118" ht="15" customHeight="1">
      <c r="A118" t="inlineStr">
        <is>
          <t>A 41206-2025</t>
        </is>
      </c>
      <c r="B118" s="1" t="n">
        <v>45898</v>
      </c>
      <c r="C118" s="1" t="n">
        <v>45970</v>
      </c>
      <c r="D118" t="inlineStr">
        <is>
          <t>STOCKHOLMS LÄN</t>
        </is>
      </c>
      <c r="E118" t="inlineStr">
        <is>
          <t>VALLENTUNA</t>
        </is>
      </c>
      <c r="G118" t="n">
        <v>10</v>
      </c>
      <c r="H118" t="n">
        <v>0</v>
      </c>
      <c r="I118" t="n">
        <v>0</v>
      </c>
      <c r="J118" t="n">
        <v>0</v>
      </c>
      <c r="K118" t="n">
        <v>0</v>
      </c>
      <c r="L118" t="n">
        <v>0</v>
      </c>
      <c r="M118" t="n">
        <v>0</v>
      </c>
      <c r="N118" t="n">
        <v>0</v>
      </c>
      <c r="O118" t="n">
        <v>0</v>
      </c>
      <c r="P118" t="n">
        <v>0</v>
      </c>
      <c r="Q118" t="n">
        <v>0</v>
      </c>
      <c r="R118" s="2" t="inlineStr"/>
    </row>
    <row r="119" ht="15" customHeight="1">
      <c r="A119" t="inlineStr">
        <is>
          <t>A 8565-2025</t>
        </is>
      </c>
      <c r="B119" s="1" t="n">
        <v>45709</v>
      </c>
      <c r="C119" s="1" t="n">
        <v>45970</v>
      </c>
      <c r="D119" t="inlineStr">
        <is>
          <t>STOCKHOLMS LÄN</t>
        </is>
      </c>
      <c r="E119" t="inlineStr">
        <is>
          <t>VALLENTUNA</t>
        </is>
      </c>
      <c r="F119" t="inlineStr">
        <is>
          <t>Kommuner</t>
        </is>
      </c>
      <c r="G119" t="n">
        <v>4.2</v>
      </c>
      <c r="H119" t="n">
        <v>0</v>
      </c>
      <c r="I119" t="n">
        <v>0</v>
      </c>
      <c r="J119" t="n">
        <v>0</v>
      </c>
      <c r="K119" t="n">
        <v>0</v>
      </c>
      <c r="L119" t="n">
        <v>0</v>
      </c>
      <c r="M119" t="n">
        <v>0</v>
      </c>
      <c r="N119" t="n">
        <v>0</v>
      </c>
      <c r="O119" t="n">
        <v>0</v>
      </c>
      <c r="P119" t="n">
        <v>0</v>
      </c>
      <c r="Q119" t="n">
        <v>0</v>
      </c>
      <c r="R119" s="2" t="inlineStr"/>
    </row>
    <row r="120" ht="15" customHeight="1">
      <c r="A120" t="inlineStr">
        <is>
          <t>A 23923-2025</t>
        </is>
      </c>
      <c r="B120" s="1" t="n">
        <v>45795.39648148148</v>
      </c>
      <c r="C120" s="1" t="n">
        <v>45970</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9063-2024</t>
        </is>
      </c>
      <c r="B121" s="1" t="n">
        <v>45357.72652777778</v>
      </c>
      <c r="C121" s="1" t="n">
        <v>45970</v>
      </c>
      <c r="D121" t="inlineStr">
        <is>
          <t>STOCKHOLMS LÄN</t>
        </is>
      </c>
      <c r="E121" t="inlineStr">
        <is>
          <t>VALLENTUNA</t>
        </is>
      </c>
      <c r="G121" t="n">
        <v>4.1</v>
      </c>
      <c r="H121" t="n">
        <v>0</v>
      </c>
      <c r="I121" t="n">
        <v>0</v>
      </c>
      <c r="J121" t="n">
        <v>0</v>
      </c>
      <c r="K121" t="n">
        <v>0</v>
      </c>
      <c r="L121" t="n">
        <v>0</v>
      </c>
      <c r="M121" t="n">
        <v>0</v>
      </c>
      <c r="N121" t="n">
        <v>0</v>
      </c>
      <c r="O121" t="n">
        <v>0</v>
      </c>
      <c r="P121" t="n">
        <v>0</v>
      </c>
      <c r="Q121" t="n">
        <v>0</v>
      </c>
      <c r="R121" s="2" t="inlineStr"/>
    </row>
    <row r="122" ht="15" customHeight="1">
      <c r="A122" t="inlineStr">
        <is>
          <t>A 4803-2024</t>
        </is>
      </c>
      <c r="B122" s="1" t="n">
        <v>45328</v>
      </c>
      <c r="C122" s="1" t="n">
        <v>45970</v>
      </c>
      <c r="D122" t="inlineStr">
        <is>
          <t>STOCKHOLMS LÄN</t>
        </is>
      </c>
      <c r="E122" t="inlineStr">
        <is>
          <t>VALLENTUNA</t>
        </is>
      </c>
      <c r="G122" t="n">
        <v>4.6</v>
      </c>
      <c r="H122" t="n">
        <v>0</v>
      </c>
      <c r="I122" t="n">
        <v>0</v>
      </c>
      <c r="J122" t="n">
        <v>0</v>
      </c>
      <c r="K122" t="n">
        <v>0</v>
      </c>
      <c r="L122" t="n">
        <v>0</v>
      </c>
      <c r="M122" t="n">
        <v>0</v>
      </c>
      <c r="N122" t="n">
        <v>0</v>
      </c>
      <c r="O122" t="n">
        <v>0</v>
      </c>
      <c r="P122" t="n">
        <v>0</v>
      </c>
      <c r="Q122" t="n">
        <v>0</v>
      </c>
      <c r="R122" s="2" t="inlineStr"/>
    </row>
    <row r="123" ht="15" customHeight="1">
      <c r="A123" t="inlineStr">
        <is>
          <t>A 52542-2023</t>
        </is>
      </c>
      <c r="B123" s="1" t="n">
        <v>45225</v>
      </c>
      <c r="C123" s="1" t="n">
        <v>45970</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25984-2025</t>
        </is>
      </c>
      <c r="B124" s="1" t="n">
        <v>45804.64016203704</v>
      </c>
      <c r="C124" s="1" t="n">
        <v>45970</v>
      </c>
      <c r="D124" t="inlineStr">
        <is>
          <t>STOCKHOLMS LÄN</t>
        </is>
      </c>
      <c r="E124" t="inlineStr">
        <is>
          <t>VALLENTUNA</t>
        </is>
      </c>
      <c r="G124" t="n">
        <v>2.5</v>
      </c>
      <c r="H124" t="n">
        <v>0</v>
      </c>
      <c r="I124" t="n">
        <v>0</v>
      </c>
      <c r="J124" t="n">
        <v>0</v>
      </c>
      <c r="K124" t="n">
        <v>0</v>
      </c>
      <c r="L124" t="n">
        <v>0</v>
      </c>
      <c r="M124" t="n">
        <v>0</v>
      </c>
      <c r="N124" t="n">
        <v>0</v>
      </c>
      <c r="O124" t="n">
        <v>0</v>
      </c>
      <c r="P124" t="n">
        <v>0</v>
      </c>
      <c r="Q124" t="n">
        <v>0</v>
      </c>
      <c r="R124" s="2" t="inlineStr"/>
    </row>
    <row r="125" ht="15" customHeight="1">
      <c r="A125" t="inlineStr">
        <is>
          <t>A 50784-2025</t>
        </is>
      </c>
      <c r="B125" s="1" t="n">
        <v>45946</v>
      </c>
      <c r="C125" s="1" t="n">
        <v>45970</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61655-2020</t>
        </is>
      </c>
      <c r="B126" s="1" t="n">
        <v>44158</v>
      </c>
      <c r="C126" s="1" t="n">
        <v>45970</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11950-2025</t>
        </is>
      </c>
      <c r="B127" s="1" t="n">
        <v>45728.55622685186</v>
      </c>
      <c r="C127" s="1" t="n">
        <v>45970</v>
      </c>
      <c r="D127" t="inlineStr">
        <is>
          <t>STOCKHOLMS LÄN</t>
        </is>
      </c>
      <c r="E127" t="inlineStr">
        <is>
          <t>VALLENTUNA</t>
        </is>
      </c>
      <c r="G127" t="n">
        <v>1.4</v>
      </c>
      <c r="H127" t="n">
        <v>0</v>
      </c>
      <c r="I127" t="n">
        <v>0</v>
      </c>
      <c r="J127" t="n">
        <v>0</v>
      </c>
      <c r="K127" t="n">
        <v>0</v>
      </c>
      <c r="L127" t="n">
        <v>0</v>
      </c>
      <c r="M127" t="n">
        <v>0</v>
      </c>
      <c r="N127" t="n">
        <v>0</v>
      </c>
      <c r="O127" t="n">
        <v>0</v>
      </c>
      <c r="P127" t="n">
        <v>0</v>
      </c>
      <c r="Q127" t="n">
        <v>0</v>
      </c>
      <c r="R127" s="2" t="inlineStr"/>
    </row>
    <row r="128" ht="15" customHeight="1">
      <c r="A128" t="inlineStr">
        <is>
          <t>A 68938-2020</t>
        </is>
      </c>
      <c r="B128" s="1" t="n">
        <v>44187</v>
      </c>
      <c r="C128" s="1" t="n">
        <v>45970</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14489-2024</t>
        </is>
      </c>
      <c r="B129" s="1" t="n">
        <v>45394.58053240741</v>
      </c>
      <c r="C129" s="1" t="n">
        <v>45970</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row r="130" ht="15" customHeight="1">
      <c r="A130" t="inlineStr">
        <is>
          <t>A 30902-2025</t>
        </is>
      </c>
      <c r="B130" s="1" t="n">
        <v>45832.36104166666</v>
      </c>
      <c r="C130" s="1" t="n">
        <v>45970</v>
      </c>
      <c r="D130" t="inlineStr">
        <is>
          <t>STOCKHOLMS LÄN</t>
        </is>
      </c>
      <c r="E130" t="inlineStr">
        <is>
          <t>VALLENTUNA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52562-2023</t>
        </is>
      </c>
      <c r="B131" s="1" t="n">
        <v>45225</v>
      </c>
      <c r="C131" s="1" t="n">
        <v>45970</v>
      </c>
      <c r="D131" t="inlineStr">
        <is>
          <t>STOCKHOLMS LÄN</t>
        </is>
      </c>
      <c r="E131" t="inlineStr">
        <is>
          <t>VALLENTUNA</t>
        </is>
      </c>
      <c r="G131" t="n">
        <v>3.4</v>
      </c>
      <c r="H131" t="n">
        <v>0</v>
      </c>
      <c r="I131" t="n">
        <v>0</v>
      </c>
      <c r="J131" t="n">
        <v>0</v>
      </c>
      <c r="K131" t="n">
        <v>0</v>
      </c>
      <c r="L131" t="n">
        <v>0</v>
      </c>
      <c r="M131" t="n">
        <v>0</v>
      </c>
      <c r="N131" t="n">
        <v>0</v>
      </c>
      <c r="O131" t="n">
        <v>0</v>
      </c>
      <c r="P131" t="n">
        <v>0</v>
      </c>
      <c r="Q131" t="n">
        <v>0</v>
      </c>
      <c r="R131" s="2" t="inlineStr"/>
    </row>
    <row r="132" ht="15" customHeight="1">
      <c r="A132" t="inlineStr">
        <is>
          <t>A 44988-2025</t>
        </is>
      </c>
      <c r="B132" s="1" t="n">
        <v>45918.65505787037</v>
      </c>
      <c r="C132" s="1" t="n">
        <v>45970</v>
      </c>
      <c r="D132" t="inlineStr">
        <is>
          <t>STOCKHOLMS LÄN</t>
        </is>
      </c>
      <c r="E132" t="inlineStr">
        <is>
          <t>VALLENTUNA</t>
        </is>
      </c>
      <c r="G132" t="n">
        <v>1</v>
      </c>
      <c r="H132" t="n">
        <v>0</v>
      </c>
      <c r="I132" t="n">
        <v>0</v>
      </c>
      <c r="J132" t="n">
        <v>0</v>
      </c>
      <c r="K132" t="n">
        <v>0</v>
      </c>
      <c r="L132" t="n">
        <v>0</v>
      </c>
      <c r="M132" t="n">
        <v>0</v>
      </c>
      <c r="N132" t="n">
        <v>0</v>
      </c>
      <c r="O132" t="n">
        <v>0</v>
      </c>
      <c r="P132" t="n">
        <v>0</v>
      </c>
      <c r="Q132" t="n">
        <v>0</v>
      </c>
      <c r="R132" s="2" t="inlineStr"/>
    </row>
    <row r="133" ht="15" customHeight="1">
      <c r="A133" t="inlineStr">
        <is>
          <t>A 4804-2024</t>
        </is>
      </c>
      <c r="B133" s="1" t="n">
        <v>45328</v>
      </c>
      <c r="C133" s="1" t="n">
        <v>45970</v>
      </c>
      <c r="D133" t="inlineStr">
        <is>
          <t>STOCKHOLMS LÄN</t>
        </is>
      </c>
      <c r="E133" t="inlineStr">
        <is>
          <t>VALLENTUNA</t>
        </is>
      </c>
      <c r="G133" t="n">
        <v>3</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45970</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23013-2024</t>
        </is>
      </c>
      <c r="B135" s="1" t="n">
        <v>45450.35116898148</v>
      </c>
      <c r="C135" s="1" t="n">
        <v>45970</v>
      </c>
      <c r="D135" t="inlineStr">
        <is>
          <t>STOCKHOLMS LÄN</t>
        </is>
      </c>
      <c r="E135" t="inlineStr">
        <is>
          <t>VALLENTUNA</t>
        </is>
      </c>
      <c r="G135" t="n">
        <v>0.4</v>
      </c>
      <c r="H135" t="n">
        <v>0</v>
      </c>
      <c r="I135" t="n">
        <v>0</v>
      </c>
      <c r="J135" t="n">
        <v>0</v>
      </c>
      <c r="K135" t="n">
        <v>0</v>
      </c>
      <c r="L135" t="n">
        <v>0</v>
      </c>
      <c r="M135" t="n">
        <v>0</v>
      </c>
      <c r="N135" t="n">
        <v>0</v>
      </c>
      <c r="O135" t="n">
        <v>0</v>
      </c>
      <c r="P135" t="n">
        <v>0</v>
      </c>
      <c r="Q135" t="n">
        <v>0</v>
      </c>
      <c r="R135" s="2" t="inlineStr"/>
    </row>
    <row r="136" ht="15" customHeight="1">
      <c r="A136" t="inlineStr">
        <is>
          <t>A 2318-2024</t>
        </is>
      </c>
      <c r="B136" s="1" t="n">
        <v>45310</v>
      </c>
      <c r="C136" s="1" t="n">
        <v>45970</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45970</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45970</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45970</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45970</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45970</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3698-2022</t>
        </is>
      </c>
      <c r="B142" s="1" t="n">
        <v>44586</v>
      </c>
      <c r="C142" s="1" t="n">
        <v>45970</v>
      </c>
      <c r="D142" t="inlineStr">
        <is>
          <t>STOCKHOLMS LÄN</t>
        </is>
      </c>
      <c r="E142" t="inlineStr">
        <is>
          <t>VALLENTUNA</t>
        </is>
      </c>
      <c r="G142" t="n">
        <v>2.9</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45970</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2025-11-09T10:12:20Z</dcterms:created>
  <dcterms:modified xmlns:dcterms="http://purl.org/dc/terms/" xmlns:xsi="http://www.w3.org/2001/XMLSchema-instance" xsi:type="dcterms:W3CDTF">2025-11-09T10:12:20Z</dcterms:modified>
</cp:coreProperties>
</file>