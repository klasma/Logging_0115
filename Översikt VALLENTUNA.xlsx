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46186</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46186</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46186</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61763-2025</t>
        </is>
      </c>
      <c r="B10" s="1" t="n">
        <v>46002.62600694445</v>
      </c>
      <c r="C10" s="1" t="n">
        <v>46186</v>
      </c>
      <c r="D10" t="inlineStr">
        <is>
          <t>STOCKHOLMS LÄN</t>
        </is>
      </c>
      <c r="E10" t="inlineStr">
        <is>
          <t>VALLENTUNA</t>
        </is>
      </c>
      <c r="G10" t="n">
        <v>6.9</v>
      </c>
      <c r="H10" t="n">
        <v>2</v>
      </c>
      <c r="I10" t="n">
        <v>2</v>
      </c>
      <c r="J10" t="n">
        <v>1</v>
      </c>
      <c r="K10" t="n">
        <v>0</v>
      </c>
      <c r="L10" t="n">
        <v>0</v>
      </c>
      <c r="M10" t="n">
        <v>0</v>
      </c>
      <c r="N10" t="n">
        <v>0</v>
      </c>
      <c r="O10" t="n">
        <v>1</v>
      </c>
      <c r="P10" t="n">
        <v>0</v>
      </c>
      <c r="Q10" t="n">
        <v>4</v>
      </c>
      <c r="R10" s="2" t="inlineStr">
        <is>
          <t>Talltita
Björksplintborre
Blomkålssvamp
Kungsfågel</t>
        </is>
      </c>
      <c r="S10">
        <f>HYPERLINK("https://klasma.github.io/Logging_0115/artfynd/A 61763-2025 artfynd.xlsx", "A 61763-2025")</f>
        <v/>
      </c>
      <c r="T10">
        <f>HYPERLINK("https://klasma.github.io/Logging_0115/kartor/A 61763-2025 karta.png", "A 61763-2025")</f>
        <v/>
      </c>
      <c r="V10">
        <f>HYPERLINK("https://klasma.github.io/Logging_0115/klagomål/A 61763-2025 FSC-klagomål.docx", "A 61763-2025")</f>
        <v/>
      </c>
      <c r="W10">
        <f>HYPERLINK("https://klasma.github.io/Logging_0115/klagomålsmail/A 61763-2025 FSC-klagomål mail.docx", "A 61763-2025")</f>
        <v/>
      </c>
      <c r="X10">
        <f>HYPERLINK("https://klasma.github.io/Logging_0115/tillsyn/A 61763-2025 tillsynsbegäran.docx", "A 61763-2025")</f>
        <v/>
      </c>
      <c r="Y10">
        <f>HYPERLINK("https://klasma.github.io/Logging_0115/tillsynsmail/A 61763-2025 tillsynsbegäran mail.docx", "A 61763-2025")</f>
        <v/>
      </c>
      <c r="Z10">
        <f>HYPERLINK("https://klasma.github.io/Logging_0115/fåglar/A 61763-2025 prioriterade fågelarter.docx", "A 61763-2025")</f>
        <v/>
      </c>
    </row>
    <row r="11" ht="15" customHeight="1">
      <c r="A11" t="inlineStr">
        <is>
          <t>A 8500-2022</t>
        </is>
      </c>
      <c r="B11" s="1" t="n">
        <v>44613</v>
      </c>
      <c r="C11" s="1" t="n">
        <v>46186</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17342-2025</t>
        </is>
      </c>
      <c r="B12" s="1" t="n">
        <v>45756</v>
      </c>
      <c r="C12" s="1" t="n">
        <v>46186</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46186</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9807-2026</t>
        </is>
      </c>
      <c r="B14" s="1" t="n">
        <v>46072</v>
      </c>
      <c r="C14" s="1" t="n">
        <v>46186</v>
      </c>
      <c r="D14" t="inlineStr">
        <is>
          <t>STOCKHOLMS LÄN</t>
        </is>
      </c>
      <c r="E14" t="inlineStr">
        <is>
          <t>VALLENTUNA</t>
        </is>
      </c>
      <c r="G14" t="n">
        <v>2.1</v>
      </c>
      <c r="H14" t="n">
        <v>3</v>
      </c>
      <c r="I14" t="n">
        <v>0</v>
      </c>
      <c r="J14" t="n">
        <v>0</v>
      </c>
      <c r="K14" t="n">
        <v>0</v>
      </c>
      <c r="L14" t="n">
        <v>0</v>
      </c>
      <c r="M14" t="n">
        <v>0</v>
      </c>
      <c r="N14" t="n">
        <v>0</v>
      </c>
      <c r="O14" t="n">
        <v>0</v>
      </c>
      <c r="P14" t="n">
        <v>0</v>
      </c>
      <c r="Q14" t="n">
        <v>3</v>
      </c>
      <c r="R14" s="2" t="inlineStr">
        <is>
          <t>Grönsiska
Järnsparv
Kungsfågel</t>
        </is>
      </c>
      <c r="S14">
        <f>HYPERLINK("https://klasma.github.io/Logging_0115/artfynd/A 9807-2026 artfynd.xlsx", "A 9807-2026")</f>
        <v/>
      </c>
      <c r="T14">
        <f>HYPERLINK("https://klasma.github.io/Logging_0115/kartor/A 9807-2026 karta.png", "A 9807-2026")</f>
        <v/>
      </c>
      <c r="V14">
        <f>HYPERLINK("https://klasma.github.io/Logging_0115/klagomål/A 9807-2026 FSC-klagomål.docx", "A 9807-2026")</f>
        <v/>
      </c>
      <c r="W14">
        <f>HYPERLINK("https://klasma.github.io/Logging_0115/klagomålsmail/A 9807-2026 FSC-klagomål mail.docx", "A 9807-2026")</f>
        <v/>
      </c>
      <c r="X14">
        <f>HYPERLINK("https://klasma.github.io/Logging_0115/tillsyn/A 9807-2026 tillsynsbegäran.docx", "A 9807-2026")</f>
        <v/>
      </c>
      <c r="Y14">
        <f>HYPERLINK("https://klasma.github.io/Logging_0115/tillsynsmail/A 9807-2026 tillsynsbegäran mail.docx", "A 9807-2026")</f>
        <v/>
      </c>
      <c r="Z14">
        <f>HYPERLINK("https://klasma.github.io/Logging_0115/fåglar/A 9807-2026 prioriterade fågelarter.docx", "A 9807-2026")</f>
        <v/>
      </c>
    </row>
    <row r="15" ht="15" customHeight="1">
      <c r="A15" t="inlineStr">
        <is>
          <t>A 37456-2023</t>
        </is>
      </c>
      <c r="B15" s="1" t="n">
        <v>45156</v>
      </c>
      <c r="C15" s="1" t="n">
        <v>46186</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46186</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46186</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46186</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9745-2022</t>
        </is>
      </c>
      <c r="B19" s="1" t="n">
        <v>44618</v>
      </c>
      <c r="C19" s="1" t="n">
        <v>46186</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62402-2022</t>
        </is>
      </c>
      <c r="B20" s="1" t="n">
        <v>44923</v>
      </c>
      <c r="C20" s="1" t="n">
        <v>46186</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46186</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46186</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46186</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54481-2025</t>
        </is>
      </c>
      <c r="B24" s="1" t="n">
        <v>45965.58837962963</v>
      </c>
      <c r="C24" s="1" t="n">
        <v>46186</v>
      </c>
      <c r="D24" t="inlineStr">
        <is>
          <t>STOCKHOLMS LÄN</t>
        </is>
      </c>
      <c r="E24" t="inlineStr">
        <is>
          <t>VALLENTUNA</t>
        </is>
      </c>
      <c r="G24" t="n">
        <v>1.4</v>
      </c>
      <c r="H24" t="n">
        <v>0</v>
      </c>
      <c r="I24" t="n">
        <v>0</v>
      </c>
      <c r="J24" t="n">
        <v>1</v>
      </c>
      <c r="K24" t="n">
        <v>0</v>
      </c>
      <c r="L24" t="n">
        <v>0</v>
      </c>
      <c r="M24" t="n">
        <v>0</v>
      </c>
      <c r="N24" t="n">
        <v>0</v>
      </c>
      <c r="O24" t="n">
        <v>1</v>
      </c>
      <c r="P24" t="n">
        <v>0</v>
      </c>
      <c r="Q24" t="n">
        <v>1</v>
      </c>
      <c r="R24" s="2" t="inlineStr">
        <is>
          <t>Gullklöver</t>
        </is>
      </c>
      <c r="S24">
        <f>HYPERLINK("https://klasma.github.io/Logging_0115/artfynd/A 54481-2025 artfynd.xlsx", "A 54481-2025")</f>
        <v/>
      </c>
      <c r="T24">
        <f>HYPERLINK("https://klasma.github.io/Logging_0115/kartor/A 54481-2025 karta.png", "A 54481-2025")</f>
        <v/>
      </c>
      <c r="V24">
        <f>HYPERLINK("https://klasma.github.io/Logging_0115/klagomål/A 54481-2025 FSC-klagomål.docx", "A 54481-2025")</f>
        <v/>
      </c>
      <c r="W24">
        <f>HYPERLINK("https://klasma.github.io/Logging_0115/klagomålsmail/A 54481-2025 FSC-klagomål mail.docx", "A 54481-2025")</f>
        <v/>
      </c>
      <c r="X24">
        <f>HYPERLINK("https://klasma.github.io/Logging_0115/tillsyn/A 54481-2025 tillsynsbegäran.docx", "A 54481-2025")</f>
        <v/>
      </c>
      <c r="Y24">
        <f>HYPERLINK("https://klasma.github.io/Logging_0115/tillsynsmail/A 54481-2025 tillsynsbegäran mail.docx", "A 54481-2025")</f>
        <v/>
      </c>
    </row>
    <row r="25" ht="15" customHeight="1">
      <c r="A25" t="inlineStr">
        <is>
          <t>A 63539-2025</t>
        </is>
      </c>
      <c r="B25" s="1" t="n">
        <v>46013.58824074074</v>
      </c>
      <c r="C25" s="1" t="n">
        <v>46186</v>
      </c>
      <c r="D25" t="inlineStr">
        <is>
          <t>STOCKHOLMS LÄN</t>
        </is>
      </c>
      <c r="E25" t="inlineStr">
        <is>
          <t>VALLENTUNA</t>
        </is>
      </c>
      <c r="G25" t="n">
        <v>1.1</v>
      </c>
      <c r="H25" t="n">
        <v>0</v>
      </c>
      <c r="I25" t="n">
        <v>1</v>
      </c>
      <c r="J25" t="n">
        <v>0</v>
      </c>
      <c r="K25" t="n">
        <v>0</v>
      </c>
      <c r="L25" t="n">
        <v>0</v>
      </c>
      <c r="M25" t="n">
        <v>0</v>
      </c>
      <c r="N25" t="n">
        <v>0</v>
      </c>
      <c r="O25" t="n">
        <v>0</v>
      </c>
      <c r="P25" t="n">
        <v>0</v>
      </c>
      <c r="Q25" t="n">
        <v>1</v>
      </c>
      <c r="R25" s="2" t="inlineStr">
        <is>
          <t>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63543-2025</t>
        </is>
      </c>
      <c r="B26" s="1" t="n">
        <v>46013.59207175926</v>
      </c>
      <c r="C26" s="1" t="n">
        <v>46186</v>
      </c>
      <c r="D26" t="inlineStr">
        <is>
          <t>STOCKHOLMS LÄN</t>
        </is>
      </c>
      <c r="E26" t="inlineStr">
        <is>
          <t>VALLENTUNA</t>
        </is>
      </c>
      <c r="G26" t="n">
        <v>3.4</v>
      </c>
      <c r="H26" t="n">
        <v>0</v>
      </c>
      <c r="I26" t="n">
        <v>0</v>
      </c>
      <c r="J26" t="n">
        <v>1</v>
      </c>
      <c r="K26" t="n">
        <v>0</v>
      </c>
      <c r="L26" t="n">
        <v>0</v>
      </c>
      <c r="M26" t="n">
        <v>0</v>
      </c>
      <c r="N26" t="n">
        <v>0</v>
      </c>
      <c r="O26" t="n">
        <v>1</v>
      </c>
      <c r="P26" t="n">
        <v>0</v>
      </c>
      <c r="Q26" t="n">
        <v>1</v>
      </c>
      <c r="R26" s="2" t="inlineStr">
        <is>
          <t>Tallticka</t>
        </is>
      </c>
      <c r="S26">
        <f>HYPERLINK("https://klasma.github.io/Logging_0115/artfynd/A 63543-2025 artfynd.xlsx", "A 63543-2025")</f>
        <v/>
      </c>
      <c r="T26">
        <f>HYPERLINK("https://klasma.github.io/Logging_0115/kartor/A 63543-2025 karta.png", "A 63543-2025")</f>
        <v/>
      </c>
      <c r="V26">
        <f>HYPERLINK("https://klasma.github.io/Logging_0115/klagomål/A 63543-2025 FSC-klagomål.docx", "A 63543-2025")</f>
        <v/>
      </c>
      <c r="W26">
        <f>HYPERLINK("https://klasma.github.io/Logging_0115/klagomålsmail/A 63543-2025 FSC-klagomål mail.docx", "A 63543-2025")</f>
        <v/>
      </c>
      <c r="X26">
        <f>HYPERLINK("https://klasma.github.io/Logging_0115/tillsyn/A 63543-2025 tillsynsbegäran.docx", "A 63543-2025")</f>
        <v/>
      </c>
      <c r="Y26">
        <f>HYPERLINK("https://klasma.github.io/Logging_0115/tillsynsmail/A 63543-2025 tillsynsbegäran mail.docx", "A 63543-2025")</f>
        <v/>
      </c>
    </row>
    <row r="27" ht="15" customHeight="1">
      <c r="A27" t="inlineStr">
        <is>
          <t>A 7890-2023</t>
        </is>
      </c>
      <c r="B27" s="1" t="n">
        <v>44973</v>
      </c>
      <c r="C27" s="1" t="n">
        <v>46186</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46186</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12401-2026</t>
        </is>
      </c>
      <c r="B29" s="1" t="n">
        <v>46090</v>
      </c>
      <c r="C29" s="1" t="n">
        <v>46186</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12396-2026</t>
        </is>
      </c>
      <c r="B30" s="1" t="n">
        <v>46090.38930555555</v>
      </c>
      <c r="C30" s="1" t="n">
        <v>46186</v>
      </c>
      <c r="D30" t="inlineStr">
        <is>
          <t>STOCKHOLMS LÄN</t>
        </is>
      </c>
      <c r="E30" t="inlineStr">
        <is>
          <t>VALLENTUNA</t>
        </is>
      </c>
      <c r="G30" t="n">
        <v>3</v>
      </c>
      <c r="H30" t="n">
        <v>1</v>
      </c>
      <c r="I30" t="n">
        <v>0</v>
      </c>
      <c r="J30" t="n">
        <v>1</v>
      </c>
      <c r="K30" t="n">
        <v>0</v>
      </c>
      <c r="L30" t="n">
        <v>0</v>
      </c>
      <c r="M30" t="n">
        <v>0</v>
      </c>
      <c r="N30" t="n">
        <v>0</v>
      </c>
      <c r="O30" t="n">
        <v>1</v>
      </c>
      <c r="P30" t="n">
        <v>0</v>
      </c>
      <c r="Q30" t="n">
        <v>1</v>
      </c>
      <c r="R30" s="2" t="inlineStr">
        <is>
          <t>Spillkråka</t>
        </is>
      </c>
      <c r="S30">
        <f>HYPERLINK("https://klasma.github.io/Logging_0115/artfynd/A 12396-2026 artfynd.xlsx", "A 12396-2026")</f>
        <v/>
      </c>
      <c r="T30">
        <f>HYPERLINK("https://klasma.github.io/Logging_0115/kartor/A 12396-2026 karta.png", "A 12396-2026")</f>
        <v/>
      </c>
      <c r="V30">
        <f>HYPERLINK("https://klasma.github.io/Logging_0115/klagomål/A 12396-2026 FSC-klagomål.docx", "A 12396-2026")</f>
        <v/>
      </c>
      <c r="W30">
        <f>HYPERLINK("https://klasma.github.io/Logging_0115/klagomålsmail/A 12396-2026 FSC-klagomål mail.docx", "A 12396-2026")</f>
        <v/>
      </c>
      <c r="X30">
        <f>HYPERLINK("https://klasma.github.io/Logging_0115/tillsyn/A 12396-2026 tillsynsbegäran.docx", "A 12396-2026")</f>
        <v/>
      </c>
      <c r="Y30">
        <f>HYPERLINK("https://klasma.github.io/Logging_0115/tillsynsmail/A 12396-2026 tillsynsbegäran mail.docx", "A 12396-2026")</f>
        <v/>
      </c>
      <c r="Z30">
        <f>HYPERLINK("https://klasma.github.io/Logging_0115/fåglar/A 12396-2026 prioriterade fågelarter.docx", "A 12396-2026")</f>
        <v/>
      </c>
    </row>
    <row r="31" ht="15" customHeight="1">
      <c r="A31" t="inlineStr">
        <is>
          <t>A 34460-2023</t>
        </is>
      </c>
      <c r="B31" s="1" t="n">
        <v>45139</v>
      </c>
      <c r="C31" s="1" t="n">
        <v>46186</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46186</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34458-2023</t>
        </is>
      </c>
      <c r="B33" s="1" t="n">
        <v>45139</v>
      </c>
      <c r="C33" s="1" t="n">
        <v>46186</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21-2022</t>
        </is>
      </c>
      <c r="B34" s="1" t="n">
        <v>44560</v>
      </c>
      <c r="C34" s="1" t="n">
        <v>46186</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46186</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8089-2022</t>
        </is>
      </c>
      <c r="B36" s="1" t="n">
        <v>44609.53716435185</v>
      </c>
      <c r="C36" s="1" t="n">
        <v>46186</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46186</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46186</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46186</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46186</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46186</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46186</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46186</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46186</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46186</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46186</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46186</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48014-2025</t>
        </is>
      </c>
      <c r="B48" s="1" t="n">
        <v>45932.64520833334</v>
      </c>
      <c r="C48" s="1" t="n">
        <v>46186</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48038-2025</t>
        </is>
      </c>
      <c r="B49" s="1" t="n">
        <v>45932.66008101852</v>
      </c>
      <c r="C49" s="1" t="n">
        <v>46186</v>
      </c>
      <c r="D49" t="inlineStr">
        <is>
          <t>STOCKHOLMS LÄN</t>
        </is>
      </c>
      <c r="E49" t="inlineStr">
        <is>
          <t>VALLENTUNA</t>
        </is>
      </c>
      <c r="G49" t="n">
        <v>0.5</v>
      </c>
      <c r="H49" t="n">
        <v>0</v>
      </c>
      <c r="I49" t="n">
        <v>0</v>
      </c>
      <c r="J49" t="n">
        <v>0</v>
      </c>
      <c r="K49" t="n">
        <v>0</v>
      </c>
      <c r="L49" t="n">
        <v>0</v>
      </c>
      <c r="M49" t="n">
        <v>0</v>
      </c>
      <c r="N49" t="n">
        <v>0</v>
      </c>
      <c r="O49" t="n">
        <v>0</v>
      </c>
      <c r="P49" t="n">
        <v>0</v>
      </c>
      <c r="Q49" t="n">
        <v>0</v>
      </c>
      <c r="R49" s="2" t="inlineStr"/>
    </row>
    <row r="50" ht="15" customHeight="1">
      <c r="A50" t="inlineStr">
        <is>
          <t>A 14489-2024</t>
        </is>
      </c>
      <c r="B50" s="1" t="n">
        <v>45394.58053240741</v>
      </c>
      <c r="C50" s="1" t="n">
        <v>46186</v>
      </c>
      <c r="D50" t="inlineStr">
        <is>
          <t>STOCKHOLMS LÄN</t>
        </is>
      </c>
      <c r="E50" t="inlineStr">
        <is>
          <t>VALLENTUNA</t>
        </is>
      </c>
      <c r="G50" t="n">
        <v>2.3</v>
      </c>
      <c r="H50" t="n">
        <v>0</v>
      </c>
      <c r="I50" t="n">
        <v>0</v>
      </c>
      <c r="J50" t="n">
        <v>0</v>
      </c>
      <c r="K50" t="n">
        <v>0</v>
      </c>
      <c r="L50" t="n">
        <v>0</v>
      </c>
      <c r="M50" t="n">
        <v>0</v>
      </c>
      <c r="N50" t="n">
        <v>0</v>
      </c>
      <c r="O50" t="n">
        <v>0</v>
      </c>
      <c r="P50" t="n">
        <v>0</v>
      </c>
      <c r="Q50" t="n">
        <v>0</v>
      </c>
      <c r="R50" s="2" t="inlineStr"/>
    </row>
    <row r="51" ht="15" customHeight="1">
      <c r="A51" t="inlineStr">
        <is>
          <t>A 61442-2024</t>
        </is>
      </c>
      <c r="B51" s="1" t="n">
        <v>45646.47003472222</v>
      </c>
      <c r="C51" s="1" t="n">
        <v>46186</v>
      </c>
      <c r="D51" t="inlineStr">
        <is>
          <t>STOCKHOLMS LÄN</t>
        </is>
      </c>
      <c r="E51" t="inlineStr">
        <is>
          <t>VALLENTUNA</t>
        </is>
      </c>
      <c r="G51" t="n">
        <v>4.6</v>
      </c>
      <c r="H51" t="n">
        <v>0</v>
      </c>
      <c r="I51" t="n">
        <v>0</v>
      </c>
      <c r="J51" t="n">
        <v>0</v>
      </c>
      <c r="K51" t="n">
        <v>0</v>
      </c>
      <c r="L51" t="n">
        <v>0</v>
      </c>
      <c r="M51" t="n">
        <v>0</v>
      </c>
      <c r="N51" t="n">
        <v>0</v>
      </c>
      <c r="O51" t="n">
        <v>0</v>
      </c>
      <c r="P51" t="n">
        <v>0</v>
      </c>
      <c r="Q51" t="n">
        <v>0</v>
      </c>
      <c r="R51" s="2" t="inlineStr"/>
    </row>
    <row r="52" ht="15" customHeight="1">
      <c r="A52" t="inlineStr">
        <is>
          <t>A 48068-2021</t>
        </is>
      </c>
      <c r="B52" s="1" t="n">
        <v>44449.42270833333</v>
      </c>
      <c r="C52" s="1" t="n">
        <v>46186</v>
      </c>
      <c r="D52" t="inlineStr">
        <is>
          <t>STOCKHOLMS LÄN</t>
        </is>
      </c>
      <c r="E52" t="inlineStr">
        <is>
          <t>VALLENTUNA</t>
        </is>
      </c>
      <c r="G52" t="n">
        <v>1.3</v>
      </c>
      <c r="H52" t="n">
        <v>0</v>
      </c>
      <c r="I52" t="n">
        <v>0</v>
      </c>
      <c r="J52" t="n">
        <v>0</v>
      </c>
      <c r="K52" t="n">
        <v>0</v>
      </c>
      <c r="L52" t="n">
        <v>0</v>
      </c>
      <c r="M52" t="n">
        <v>0</v>
      </c>
      <c r="N52" t="n">
        <v>0</v>
      </c>
      <c r="O52" t="n">
        <v>0</v>
      </c>
      <c r="P52" t="n">
        <v>0</v>
      </c>
      <c r="Q52" t="n">
        <v>0</v>
      </c>
      <c r="R52" s="2" t="inlineStr"/>
    </row>
    <row r="53" ht="15" customHeight="1">
      <c r="A53" t="inlineStr">
        <is>
          <t>A 45499-2023</t>
        </is>
      </c>
      <c r="B53" s="1" t="n">
        <v>45194</v>
      </c>
      <c r="C53" s="1" t="n">
        <v>46186</v>
      </c>
      <c r="D53" t="inlineStr">
        <is>
          <t>STOCKHOLMS LÄN</t>
        </is>
      </c>
      <c r="E53" t="inlineStr">
        <is>
          <t>VALLENTUNA</t>
        </is>
      </c>
      <c r="G53" t="n">
        <v>2.5</v>
      </c>
      <c r="H53" t="n">
        <v>0</v>
      </c>
      <c r="I53" t="n">
        <v>0</v>
      </c>
      <c r="J53" t="n">
        <v>0</v>
      </c>
      <c r="K53" t="n">
        <v>0</v>
      </c>
      <c r="L53" t="n">
        <v>0</v>
      </c>
      <c r="M53" t="n">
        <v>0</v>
      </c>
      <c r="N53" t="n">
        <v>0</v>
      </c>
      <c r="O53" t="n">
        <v>0</v>
      </c>
      <c r="P53" t="n">
        <v>0</v>
      </c>
      <c r="Q53" t="n">
        <v>0</v>
      </c>
      <c r="R53" s="2" t="inlineStr"/>
    </row>
    <row r="54" ht="15" customHeight="1">
      <c r="A54" t="inlineStr">
        <is>
          <t>A 34452-2021</t>
        </is>
      </c>
      <c r="B54" s="1" t="n">
        <v>44381</v>
      </c>
      <c r="C54" s="1" t="n">
        <v>46186</v>
      </c>
      <c r="D54" t="inlineStr">
        <is>
          <t>STOCKHOLMS LÄN</t>
        </is>
      </c>
      <c r="E54" t="inlineStr">
        <is>
          <t>VALLENTUNA</t>
        </is>
      </c>
      <c r="G54" t="n">
        <v>14.7</v>
      </c>
      <c r="H54" t="n">
        <v>0</v>
      </c>
      <c r="I54" t="n">
        <v>0</v>
      </c>
      <c r="J54" t="n">
        <v>0</v>
      </c>
      <c r="K54" t="n">
        <v>0</v>
      </c>
      <c r="L54" t="n">
        <v>0</v>
      </c>
      <c r="M54" t="n">
        <v>0</v>
      </c>
      <c r="N54" t="n">
        <v>0</v>
      </c>
      <c r="O54" t="n">
        <v>0</v>
      </c>
      <c r="P54" t="n">
        <v>0</v>
      </c>
      <c r="Q54" t="n">
        <v>0</v>
      </c>
      <c r="R54" s="2" t="inlineStr"/>
    </row>
    <row r="55" ht="15" customHeight="1">
      <c r="A55" t="inlineStr">
        <is>
          <t>A 20791-2025</t>
        </is>
      </c>
      <c r="B55" s="1" t="n">
        <v>45776.62738425926</v>
      </c>
      <c r="C55" s="1" t="n">
        <v>46186</v>
      </c>
      <c r="D55" t="inlineStr">
        <is>
          <t>STOCKHOLMS LÄN</t>
        </is>
      </c>
      <c r="E55" t="inlineStr">
        <is>
          <t>VALLENTUNA</t>
        </is>
      </c>
      <c r="G55" t="n">
        <v>1.5</v>
      </c>
      <c r="H55" t="n">
        <v>0</v>
      </c>
      <c r="I55" t="n">
        <v>0</v>
      </c>
      <c r="J55" t="n">
        <v>0</v>
      </c>
      <c r="K55" t="n">
        <v>0</v>
      </c>
      <c r="L55" t="n">
        <v>0</v>
      </c>
      <c r="M55" t="n">
        <v>0</v>
      </c>
      <c r="N55" t="n">
        <v>0</v>
      </c>
      <c r="O55" t="n">
        <v>0</v>
      </c>
      <c r="P55" t="n">
        <v>0</v>
      </c>
      <c r="Q55" t="n">
        <v>0</v>
      </c>
      <c r="R55" s="2" t="inlineStr"/>
    </row>
    <row r="56" ht="15" customHeight="1">
      <c r="A56" t="inlineStr">
        <is>
          <t>A 10073-2024</t>
        </is>
      </c>
      <c r="B56" s="1" t="n">
        <v>45364.40821759259</v>
      </c>
      <c r="C56" s="1" t="n">
        <v>46186</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12621-2024</t>
        </is>
      </c>
      <c r="B57" s="1" t="n">
        <v>45383.6325</v>
      </c>
      <c r="C57" s="1" t="n">
        <v>46186</v>
      </c>
      <c r="D57" t="inlineStr">
        <is>
          <t>STOCKHOLMS LÄN</t>
        </is>
      </c>
      <c r="E57" t="inlineStr">
        <is>
          <t>VALLENTUNA</t>
        </is>
      </c>
      <c r="G57" t="n">
        <v>4.4</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46186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46186</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54460-2025</t>
        </is>
      </c>
      <c r="B60" s="1" t="n">
        <v>45965.56219907408</v>
      </c>
      <c r="C60" s="1" t="n">
        <v>46186</v>
      </c>
      <c r="D60" t="inlineStr">
        <is>
          <t>STOCKHOLMS LÄN</t>
        </is>
      </c>
      <c r="E60" t="inlineStr">
        <is>
          <t>VALLENTUNA</t>
        </is>
      </c>
      <c r="G60" t="n">
        <v>22.9</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46186</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46186</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46186</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61646-2025</t>
        </is>
      </c>
      <c r="B64" s="1" t="n">
        <v>46002</v>
      </c>
      <c r="C64" s="1" t="n">
        <v>46186</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46186</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23923-2025</t>
        </is>
      </c>
      <c r="B66" s="1" t="n">
        <v>45795.39648148148</v>
      </c>
      <c r="C66" s="1" t="n">
        <v>46186</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414-2026</t>
        </is>
      </c>
      <c r="B67" s="1" t="n">
        <v>46028.76050925926</v>
      </c>
      <c r="C67" s="1" t="n">
        <v>46186</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46186</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46186</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46186</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46186</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46186</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6298-2026</t>
        </is>
      </c>
      <c r="B73" s="1" t="n">
        <v>46055.5656712963</v>
      </c>
      <c r="C73" s="1" t="n">
        <v>46186</v>
      </c>
      <c r="D73" t="inlineStr">
        <is>
          <t>STOCKHOLMS LÄN</t>
        </is>
      </c>
      <c r="E73" t="inlineStr">
        <is>
          <t>VALLENTUNA</t>
        </is>
      </c>
      <c r="G73" t="n">
        <v>3.3</v>
      </c>
      <c r="H73" t="n">
        <v>0</v>
      </c>
      <c r="I73" t="n">
        <v>0</v>
      </c>
      <c r="J73" t="n">
        <v>0</v>
      </c>
      <c r="K73" t="n">
        <v>0</v>
      </c>
      <c r="L73" t="n">
        <v>0</v>
      </c>
      <c r="M73" t="n">
        <v>0</v>
      </c>
      <c r="N73" t="n">
        <v>0</v>
      </c>
      <c r="O73" t="n">
        <v>0</v>
      </c>
      <c r="P73" t="n">
        <v>0</v>
      </c>
      <c r="Q73" t="n">
        <v>0</v>
      </c>
      <c r="R73" s="2" t="inlineStr"/>
    </row>
    <row r="74" ht="15" customHeight="1">
      <c r="A74" t="inlineStr">
        <is>
          <t>A 12609-2024</t>
        </is>
      </c>
      <c r="B74" s="1" t="n">
        <v>45382.8109375</v>
      </c>
      <c r="C74" s="1" t="n">
        <v>46186</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46186</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30902-2025</t>
        </is>
      </c>
      <c r="B76" s="1" t="n">
        <v>45832.36104166666</v>
      </c>
      <c r="C76" s="1" t="n">
        <v>46186</v>
      </c>
      <c r="D76" t="inlineStr">
        <is>
          <t>STOCKHOLMS LÄN</t>
        </is>
      </c>
      <c r="E76" t="inlineStr">
        <is>
          <t>VALLENTUNA</t>
        </is>
      </c>
      <c r="G76" t="n">
        <v>8.199999999999999</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46186</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12400-2026</t>
        </is>
      </c>
      <c r="B78" s="1" t="n">
        <v>46090.39423611111</v>
      </c>
      <c r="C78" s="1" t="n">
        <v>46186</v>
      </c>
      <c r="D78" t="inlineStr">
        <is>
          <t>STOCKHOLMS LÄN</t>
        </is>
      </c>
      <c r="E78" t="inlineStr">
        <is>
          <t>VALLENTUNA</t>
        </is>
      </c>
      <c r="G78" t="n">
        <v>1.9</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46186</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12822-2026</t>
        </is>
      </c>
      <c r="B80" s="1" t="n">
        <v>46092.41358796296</v>
      </c>
      <c r="C80" s="1" t="n">
        <v>46186</v>
      </c>
      <c r="D80" t="inlineStr">
        <is>
          <t>STOCKHOLMS LÄN</t>
        </is>
      </c>
      <c r="E80" t="inlineStr">
        <is>
          <t>VALLENTUNA</t>
        </is>
      </c>
      <c r="G80" t="n">
        <v>2.7</v>
      </c>
      <c r="H80" t="n">
        <v>0</v>
      </c>
      <c r="I80" t="n">
        <v>0</v>
      </c>
      <c r="J80" t="n">
        <v>0</v>
      </c>
      <c r="K80" t="n">
        <v>0</v>
      </c>
      <c r="L80" t="n">
        <v>0</v>
      </c>
      <c r="M80" t="n">
        <v>0</v>
      </c>
      <c r="N80" t="n">
        <v>0</v>
      </c>
      <c r="O80" t="n">
        <v>0</v>
      </c>
      <c r="P80" t="n">
        <v>0</v>
      </c>
      <c r="Q80" t="n">
        <v>0</v>
      </c>
      <c r="R80" s="2" t="inlineStr"/>
    </row>
    <row r="81" ht="15" customHeight="1">
      <c r="A81" t="inlineStr">
        <is>
          <t>A 12819-2026</t>
        </is>
      </c>
      <c r="B81" s="1" t="n">
        <v>46092.40896990741</v>
      </c>
      <c r="C81" s="1" t="n">
        <v>46186</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12828-2026</t>
        </is>
      </c>
      <c r="B82" s="1" t="n">
        <v>46092.41760416667</v>
      </c>
      <c r="C82" s="1" t="n">
        <v>46186</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12830-2026</t>
        </is>
      </c>
      <c r="B83" s="1" t="n">
        <v>46092.42290509259</v>
      </c>
      <c r="C83" s="1" t="n">
        <v>46186</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46186</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14799-2026</t>
        </is>
      </c>
      <c r="B85" s="1" t="n">
        <v>46102.82101851852</v>
      </c>
      <c r="C85" s="1" t="n">
        <v>46186</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60795-2023</t>
        </is>
      </c>
      <c r="B86" s="1" t="n">
        <v>45260</v>
      </c>
      <c r="C86" s="1" t="n">
        <v>46186</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46186</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46186</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46186</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46186</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46186</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46186</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46186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17387-2026</t>
        </is>
      </c>
      <c r="B94" s="1" t="n">
        <v>46119.79578703704</v>
      </c>
      <c r="C94" s="1" t="n">
        <v>46186</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46186</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17389-2026</t>
        </is>
      </c>
      <c r="B96" s="1" t="n">
        <v>46119.80603009259</v>
      </c>
      <c r="C96" s="1" t="n">
        <v>46186</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46186</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34441-2023</t>
        </is>
      </c>
      <c r="B98" s="1" t="n">
        <v>45139</v>
      </c>
      <c r="C98" s="1" t="n">
        <v>46186</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34445-2023</t>
        </is>
      </c>
      <c r="B99" s="1" t="n">
        <v>45139</v>
      </c>
      <c r="C99" s="1" t="n">
        <v>46186</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46186</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12585-2023</t>
        </is>
      </c>
      <c r="B101" s="1" t="n">
        <v>45000.41373842592</v>
      </c>
      <c r="C101" s="1" t="n">
        <v>46186</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46186</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46186</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46186</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46186</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46186</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23986-2023</t>
        </is>
      </c>
      <c r="B107" s="1" t="n">
        <v>45078</v>
      </c>
      <c r="C107" s="1" t="n">
        <v>46186</v>
      </c>
      <c r="D107" t="inlineStr">
        <is>
          <t>STOCKHOLMS LÄN</t>
        </is>
      </c>
      <c r="E107" t="inlineStr">
        <is>
          <t>VALLENTUNA</t>
        </is>
      </c>
      <c r="F107" t="inlineStr">
        <is>
          <t>Kyrkan</t>
        </is>
      </c>
      <c r="G107" t="n">
        <v>5.7</v>
      </c>
      <c r="H107" t="n">
        <v>0</v>
      </c>
      <c r="I107" t="n">
        <v>0</v>
      </c>
      <c r="J107" t="n">
        <v>0</v>
      </c>
      <c r="K107" t="n">
        <v>0</v>
      </c>
      <c r="L107" t="n">
        <v>0</v>
      </c>
      <c r="M107" t="n">
        <v>0</v>
      </c>
      <c r="N107" t="n">
        <v>0</v>
      </c>
      <c r="O107" t="n">
        <v>0</v>
      </c>
      <c r="P107" t="n">
        <v>0</v>
      </c>
      <c r="Q107" t="n">
        <v>0</v>
      </c>
      <c r="R107" s="2" t="inlineStr"/>
    </row>
    <row r="108" ht="15" customHeight="1">
      <c r="A108" t="inlineStr">
        <is>
          <t>A 25740-2026</t>
        </is>
      </c>
      <c r="B108" s="1" t="n">
        <v>46178.42768518518</v>
      </c>
      <c r="C108" s="1" t="n">
        <v>46186</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46186</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46186</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46186</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46186</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25752-2026</t>
        </is>
      </c>
      <c r="B113" s="1" t="n">
        <v>46178.43386574074</v>
      </c>
      <c r="C113" s="1" t="n">
        <v>46186</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19503-2023</t>
        </is>
      </c>
      <c r="B114" s="1" t="n">
        <v>45050.47333333334</v>
      </c>
      <c r="C114" s="1" t="n">
        <v>46186</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4803-2024</t>
        </is>
      </c>
      <c r="B115" s="1" t="n">
        <v>45328</v>
      </c>
      <c r="C115" s="1" t="n">
        <v>46186</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20914-2026</t>
        </is>
      </c>
      <c r="B116" s="1" t="n">
        <v>46142</v>
      </c>
      <c r="C116" s="1" t="n">
        <v>46186</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24740-2026</t>
        </is>
      </c>
      <c r="B117" s="1" t="n">
        <v>46171</v>
      </c>
      <c r="C117" s="1" t="n">
        <v>46186</v>
      </c>
      <c r="D117" t="inlineStr">
        <is>
          <t>STOCKHOLMS LÄN</t>
        </is>
      </c>
      <c r="E117" t="inlineStr">
        <is>
          <t>VALLENTUNA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46186</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20910-2026</t>
        </is>
      </c>
      <c r="B119" s="1" t="n">
        <v>46142.46608796297</v>
      </c>
      <c r="C119" s="1" t="n">
        <v>46186</v>
      </c>
      <c r="D119" t="inlineStr">
        <is>
          <t>STOCKHOLMS LÄN</t>
        </is>
      </c>
      <c r="E119" t="inlineStr">
        <is>
          <t>VALLENTUNA</t>
        </is>
      </c>
      <c r="G119" t="n">
        <v>1.8</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46186</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46186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46186</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46186</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46186</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46186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46186</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46186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46186</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c r="A129" t="inlineStr">
        <is>
          <t>A 11950-2025</t>
        </is>
      </c>
      <c r="B129" s="1" t="n">
        <v>45728.55622685186</v>
      </c>
      <c r="C129" s="1" t="n">
        <v>46186</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2026-06-13T09:22:37Z</dcterms:created>
  <dcterms:modified xmlns:dcterms="http://purl.org/dc/terms/" xmlns:xsi="http://www.w3.org/2001/XMLSchema-instance" xsi:type="dcterms:W3CDTF">2026-06-13T09:22:37Z</dcterms:modified>
</cp:coreProperties>
</file>