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45967</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45967</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45967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45967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45967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45967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45967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45967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45967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45967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45967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45967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45967</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45967</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45967</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45967</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9445-2022</t>
        </is>
      </c>
      <c r="B18" s="1" t="n">
        <v>44616</v>
      </c>
      <c r="C18" s="1" t="n">
        <v>45967</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70608-2021</t>
        </is>
      </c>
      <c r="B19" s="1" t="n">
        <v>44536</v>
      </c>
      <c r="C19" s="1" t="n">
        <v>45967</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46-2022</t>
        </is>
      </c>
      <c r="B20" s="1" t="n">
        <v>44560</v>
      </c>
      <c r="C20" s="1" t="n">
        <v>45967</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41021-2023</t>
        </is>
      </c>
      <c r="B21" s="1" t="n">
        <v>45173</v>
      </c>
      <c r="C21" s="1" t="n">
        <v>45967</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9745-2022</t>
        </is>
      </c>
      <c r="B22" s="1" t="n">
        <v>44618</v>
      </c>
      <c r="C22" s="1" t="n">
        <v>45967</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754-2024</t>
        </is>
      </c>
      <c r="B23" s="1" t="n">
        <v>45300</v>
      </c>
      <c r="C23" s="1" t="n">
        <v>45967</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62402-2022</t>
        </is>
      </c>
      <c r="B24" s="1" t="n">
        <v>44923</v>
      </c>
      <c r="C24" s="1" t="n">
        <v>45967</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22830-2024</t>
        </is>
      </c>
      <c r="B25" s="1" t="n">
        <v>45448.56583333333</v>
      </c>
      <c r="C25" s="1" t="n">
        <v>45967</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8817-2025</t>
        </is>
      </c>
      <c r="B26" s="1" t="n">
        <v>45712.70987268518</v>
      </c>
      <c r="C26" s="1" t="n">
        <v>45967</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14508-2024</t>
        </is>
      </c>
      <c r="B27" s="1" t="n">
        <v>45394.61583333334</v>
      </c>
      <c r="C27" s="1" t="n">
        <v>45967</v>
      </c>
      <c r="D27" t="inlineStr">
        <is>
          <t>STOCKHOLMS LÄN</t>
        </is>
      </c>
      <c r="E27" t="inlineStr">
        <is>
          <t>VALLENTUNA</t>
        </is>
      </c>
      <c r="G27" t="n">
        <v>1.7</v>
      </c>
      <c r="H27" t="n">
        <v>1</v>
      </c>
      <c r="I27" t="n">
        <v>0</v>
      </c>
      <c r="J27" t="n">
        <v>1</v>
      </c>
      <c r="K27" t="n">
        <v>0</v>
      </c>
      <c r="L27" t="n">
        <v>0</v>
      </c>
      <c r="M27" t="n">
        <v>0</v>
      </c>
      <c r="N27" t="n">
        <v>0</v>
      </c>
      <c r="O27" t="n">
        <v>1</v>
      </c>
      <c r="P27" t="n">
        <v>0</v>
      </c>
      <c r="Q27" t="n">
        <v>1</v>
      </c>
      <c r="R27" s="2" t="inlineStr">
        <is>
          <t>Mindre hackspett</t>
        </is>
      </c>
      <c r="S27">
        <f>HYPERLINK("https://klasma.github.io/Logging_0115/artfynd/A 14508-2024 artfynd.xlsx", "A 14508-2024")</f>
        <v/>
      </c>
      <c r="T27">
        <f>HYPERLINK("https://klasma.github.io/Logging_0115/kartor/A 14508-2024 karta.png", "A 14508-2024")</f>
        <v/>
      </c>
      <c r="V27">
        <f>HYPERLINK("https://klasma.github.io/Logging_0115/klagomål/A 14508-2024 FSC-klagomål.docx", "A 14508-2024")</f>
        <v/>
      </c>
      <c r="W27">
        <f>HYPERLINK("https://klasma.github.io/Logging_0115/klagomålsmail/A 14508-2024 FSC-klagomål mail.docx", "A 14508-2024")</f>
        <v/>
      </c>
      <c r="X27">
        <f>HYPERLINK("https://klasma.github.io/Logging_0115/tillsyn/A 14508-2024 tillsynsbegäran.docx", "A 14508-2024")</f>
        <v/>
      </c>
      <c r="Y27">
        <f>HYPERLINK("https://klasma.github.io/Logging_0115/tillsynsmail/A 14508-2024 tillsynsbegäran mail.docx", "A 14508-2024")</f>
        <v/>
      </c>
      <c r="Z27">
        <f>HYPERLINK("https://klasma.github.io/Logging_0115/fåglar/A 14508-2024 prioriterade fågelarter.docx", "A 14508-2024")</f>
        <v/>
      </c>
    </row>
    <row r="28" ht="15" customHeight="1">
      <c r="A28" t="inlineStr">
        <is>
          <t>A 17348-2025</t>
        </is>
      </c>
      <c r="B28" s="1" t="n">
        <v>45756</v>
      </c>
      <c r="C28" s="1" t="n">
        <v>45967</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21-2022</t>
        </is>
      </c>
      <c r="B29" s="1" t="n">
        <v>44560</v>
      </c>
      <c r="C29" s="1" t="n">
        <v>45967</v>
      </c>
      <c r="D29" t="inlineStr">
        <is>
          <t>STOCKHOLMS LÄN</t>
        </is>
      </c>
      <c r="E29" t="inlineStr">
        <is>
          <t>VALLENTUNA</t>
        </is>
      </c>
      <c r="F29" t="inlineStr">
        <is>
          <t>Övriga Aktiebolag</t>
        </is>
      </c>
      <c r="G29" t="n">
        <v>3.5</v>
      </c>
      <c r="H29" t="n">
        <v>1</v>
      </c>
      <c r="I29" t="n">
        <v>0</v>
      </c>
      <c r="J29" t="n">
        <v>0</v>
      </c>
      <c r="K29" t="n">
        <v>0</v>
      </c>
      <c r="L29" t="n">
        <v>0</v>
      </c>
      <c r="M29" t="n">
        <v>0</v>
      </c>
      <c r="N29" t="n">
        <v>0</v>
      </c>
      <c r="O29" t="n">
        <v>0</v>
      </c>
      <c r="P29" t="n">
        <v>0</v>
      </c>
      <c r="Q29" t="n">
        <v>1</v>
      </c>
      <c r="R29" s="2" t="inlineStr">
        <is>
          <t>Nattviol</t>
        </is>
      </c>
      <c r="S29">
        <f>HYPERLINK("https://klasma.github.io/Logging_0115/artfynd/A 21-2022 artfynd.xlsx", "A 21-2022")</f>
        <v/>
      </c>
      <c r="T29">
        <f>HYPERLINK("https://klasma.github.io/Logging_0115/kartor/A 21-2022 karta.png", "A 21-2022")</f>
        <v/>
      </c>
      <c r="V29">
        <f>HYPERLINK("https://klasma.github.io/Logging_0115/klagomål/A 21-2022 FSC-klagomål.docx", "A 21-2022")</f>
        <v/>
      </c>
      <c r="W29">
        <f>HYPERLINK("https://klasma.github.io/Logging_0115/klagomålsmail/A 21-2022 FSC-klagomål mail.docx", "A 21-2022")</f>
        <v/>
      </c>
      <c r="X29">
        <f>HYPERLINK("https://klasma.github.io/Logging_0115/tillsyn/A 21-2022 tillsynsbegäran.docx", "A 21-2022")</f>
        <v/>
      </c>
      <c r="Y29">
        <f>HYPERLINK("https://klasma.github.io/Logging_0115/tillsynsmail/A 21-2022 tillsynsbegäran mail.docx", "A 21-2022")</f>
        <v/>
      </c>
    </row>
    <row r="30" ht="15" customHeight="1">
      <c r="A30" t="inlineStr">
        <is>
          <t>A 17341-2025</t>
        </is>
      </c>
      <c r="B30" s="1" t="n">
        <v>45756</v>
      </c>
      <c r="C30" s="1" t="n">
        <v>45967</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21439-2025</t>
        </is>
      </c>
      <c r="B31" s="1" t="n">
        <v>45782.52939814814</v>
      </c>
      <c r="C31" s="1" t="n">
        <v>45967</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7890-2023</t>
        </is>
      </c>
      <c r="B32" s="1" t="n">
        <v>44973</v>
      </c>
      <c r="C32" s="1" t="n">
        <v>45967</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22936-2025</t>
        </is>
      </c>
      <c r="B33" s="1" t="n">
        <v>45790.45738425926</v>
      </c>
      <c r="C33" s="1" t="n">
        <v>45967</v>
      </c>
      <c r="D33" t="inlineStr">
        <is>
          <t>STOCKHOLMS LÄN</t>
        </is>
      </c>
      <c r="E33" t="inlineStr">
        <is>
          <t>VALLENTUNA</t>
        </is>
      </c>
      <c r="G33" t="n">
        <v>2.7</v>
      </c>
      <c r="H33" t="n">
        <v>0</v>
      </c>
      <c r="I33" t="n">
        <v>1</v>
      </c>
      <c r="J33" t="n">
        <v>0</v>
      </c>
      <c r="K33" t="n">
        <v>0</v>
      </c>
      <c r="L33" t="n">
        <v>0</v>
      </c>
      <c r="M33" t="n">
        <v>0</v>
      </c>
      <c r="N33" t="n">
        <v>0</v>
      </c>
      <c r="O33" t="n">
        <v>0</v>
      </c>
      <c r="P33" t="n">
        <v>0</v>
      </c>
      <c r="Q33" t="n">
        <v>1</v>
      </c>
      <c r="R33" s="2" t="inlineStr">
        <is>
          <t>Björksplintborre</t>
        </is>
      </c>
      <c r="S33">
        <f>HYPERLINK("https://klasma.github.io/Logging_0115/artfynd/A 22936-2025 artfynd.xlsx", "A 22936-2025")</f>
        <v/>
      </c>
      <c r="T33">
        <f>HYPERLINK("https://klasma.github.io/Logging_0115/kartor/A 22936-2025 karta.png", "A 22936-2025")</f>
        <v/>
      </c>
      <c r="V33">
        <f>HYPERLINK("https://klasma.github.io/Logging_0115/klagomål/A 22936-2025 FSC-klagomål.docx", "A 22936-2025")</f>
        <v/>
      </c>
      <c r="W33">
        <f>HYPERLINK("https://klasma.github.io/Logging_0115/klagomålsmail/A 22936-2025 FSC-klagomål mail.docx", "A 22936-2025")</f>
        <v/>
      </c>
      <c r="X33">
        <f>HYPERLINK("https://klasma.github.io/Logging_0115/tillsyn/A 22936-2025 tillsynsbegäran.docx", "A 22936-2025")</f>
        <v/>
      </c>
      <c r="Y33">
        <f>HYPERLINK("https://klasma.github.io/Logging_0115/tillsynsmail/A 22936-2025 tillsynsbegäran mail.docx", "A 22936-2025")</f>
        <v/>
      </c>
    </row>
    <row r="34" ht="15" customHeight="1">
      <c r="A34" t="inlineStr">
        <is>
          <t>A 34458-2023</t>
        </is>
      </c>
      <c r="B34" s="1" t="n">
        <v>45139</v>
      </c>
      <c r="C34" s="1" t="n">
        <v>45967</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34460-2023</t>
        </is>
      </c>
      <c r="B35" s="1" t="n">
        <v>45139</v>
      </c>
      <c r="C35" s="1" t="n">
        <v>45967</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54481-2025</t>
        </is>
      </c>
      <c r="B36" s="1" t="n">
        <v>45965.58837962963</v>
      </c>
      <c r="C36" s="1" t="n">
        <v>45967</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20612-2021</t>
        </is>
      </c>
      <c r="B37" s="1" t="n">
        <v>44315</v>
      </c>
      <c r="C37" s="1" t="n">
        <v>45967</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45967</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45967</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45967</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45967</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45967</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45967</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45967</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45967</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45967</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14430-2021</t>
        </is>
      </c>
      <c r="B47" s="1" t="n">
        <v>44279.4665625</v>
      </c>
      <c r="C47" s="1" t="n">
        <v>45967</v>
      </c>
      <c r="D47" t="inlineStr">
        <is>
          <t>STOCKHOLMS LÄN</t>
        </is>
      </c>
      <c r="E47" t="inlineStr">
        <is>
          <t>VALLENTUNA</t>
        </is>
      </c>
      <c r="G47" t="n">
        <v>1.1</v>
      </c>
      <c r="H47" t="n">
        <v>0</v>
      </c>
      <c r="I47" t="n">
        <v>0</v>
      </c>
      <c r="J47" t="n">
        <v>0</v>
      </c>
      <c r="K47" t="n">
        <v>0</v>
      </c>
      <c r="L47" t="n">
        <v>0</v>
      </c>
      <c r="M47" t="n">
        <v>0</v>
      </c>
      <c r="N47" t="n">
        <v>0</v>
      </c>
      <c r="O47" t="n">
        <v>0</v>
      </c>
      <c r="P47" t="n">
        <v>0</v>
      </c>
      <c r="Q47" t="n">
        <v>0</v>
      </c>
      <c r="R47" s="2" t="inlineStr"/>
    </row>
    <row r="48" ht="15" customHeight="1">
      <c r="A48" t="inlineStr">
        <is>
          <t>A 14443-2021</t>
        </is>
      </c>
      <c r="B48" s="1" t="n">
        <v>44279</v>
      </c>
      <c r="C48" s="1" t="n">
        <v>45967</v>
      </c>
      <c r="D48" t="inlineStr">
        <is>
          <t>STOCKHOLMS LÄN</t>
        </is>
      </c>
      <c r="E48" t="inlineStr">
        <is>
          <t>VALLENTUNA</t>
        </is>
      </c>
      <c r="G48" t="n">
        <v>3.5</v>
      </c>
      <c r="H48" t="n">
        <v>0</v>
      </c>
      <c r="I48" t="n">
        <v>0</v>
      </c>
      <c r="J48" t="n">
        <v>0</v>
      </c>
      <c r="K48" t="n">
        <v>0</v>
      </c>
      <c r="L48" t="n">
        <v>0</v>
      </c>
      <c r="M48" t="n">
        <v>0</v>
      </c>
      <c r="N48" t="n">
        <v>0</v>
      </c>
      <c r="O48" t="n">
        <v>0</v>
      </c>
      <c r="P48" t="n">
        <v>0</v>
      </c>
      <c r="Q48" t="n">
        <v>0</v>
      </c>
      <c r="R48" s="2" t="inlineStr"/>
    </row>
    <row r="49" ht="15" customHeight="1">
      <c r="A49" t="inlineStr">
        <is>
          <t>A 14447-2021</t>
        </is>
      </c>
      <c r="B49" s="1" t="n">
        <v>44279</v>
      </c>
      <c r="C49" s="1" t="n">
        <v>45967</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45967</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45967</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7276-2022</t>
        </is>
      </c>
      <c r="B52" s="1" t="n">
        <v>44606</v>
      </c>
      <c r="C52" s="1" t="n">
        <v>45967</v>
      </c>
      <c r="D52" t="inlineStr">
        <is>
          <t>STOCKHOLMS LÄN</t>
        </is>
      </c>
      <c r="E52" t="inlineStr">
        <is>
          <t>VALLENTUNA</t>
        </is>
      </c>
      <c r="G52" t="n">
        <v>1.7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45967</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45967</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46924-2021</t>
        </is>
      </c>
      <c r="B55" s="1" t="n">
        <v>44446</v>
      </c>
      <c r="C55" s="1" t="n">
        <v>45967</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14480-2024</t>
        </is>
      </c>
      <c r="B56" s="1" t="n">
        <v>45394.56777777777</v>
      </c>
      <c r="C56" s="1" t="n">
        <v>45967</v>
      </c>
      <c r="D56" t="inlineStr">
        <is>
          <t>STOCKHOLMS LÄN</t>
        </is>
      </c>
      <c r="E56" t="inlineStr">
        <is>
          <t>VALLENTUNA</t>
        </is>
      </c>
      <c r="G56" t="n">
        <v>1.8</v>
      </c>
      <c r="H56" t="n">
        <v>0</v>
      </c>
      <c r="I56" t="n">
        <v>0</v>
      </c>
      <c r="J56" t="n">
        <v>0</v>
      </c>
      <c r="K56" t="n">
        <v>0</v>
      </c>
      <c r="L56" t="n">
        <v>0</v>
      </c>
      <c r="M56" t="n">
        <v>0</v>
      </c>
      <c r="N56" t="n">
        <v>0</v>
      </c>
      <c r="O56" t="n">
        <v>0</v>
      </c>
      <c r="P56" t="n">
        <v>0</v>
      </c>
      <c r="Q56" t="n">
        <v>0</v>
      </c>
      <c r="R56" s="2" t="inlineStr"/>
    </row>
    <row r="57" ht="15" customHeight="1">
      <c r="A57" t="inlineStr">
        <is>
          <t>A 24707-2023</t>
        </is>
      </c>
      <c r="B57" s="1" t="n">
        <v>45084</v>
      </c>
      <c r="C57" s="1" t="n">
        <v>45967</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12609-2024</t>
        </is>
      </c>
      <c r="B58" s="1" t="n">
        <v>45382.8109375</v>
      </c>
      <c r="C58" s="1" t="n">
        <v>45967</v>
      </c>
      <c r="D58" t="inlineStr">
        <is>
          <t>STOCKHOLMS LÄN</t>
        </is>
      </c>
      <c r="E58" t="inlineStr">
        <is>
          <t>VALLENTUNA</t>
        </is>
      </c>
      <c r="G58" t="n">
        <v>0.9</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45967</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30913-2021</t>
        </is>
      </c>
      <c r="B60" s="1" t="n">
        <v>44365</v>
      </c>
      <c r="C60" s="1" t="n">
        <v>45967</v>
      </c>
      <c r="D60" t="inlineStr">
        <is>
          <t>STOCKHOLMS LÄN</t>
        </is>
      </c>
      <c r="E60" t="inlineStr">
        <is>
          <t>VALLENTUNA</t>
        </is>
      </c>
      <c r="F60" t="inlineStr">
        <is>
          <t>Övriga Aktiebolag</t>
        </is>
      </c>
      <c r="G60" t="n">
        <v>3.3</v>
      </c>
      <c r="H60" t="n">
        <v>0</v>
      </c>
      <c r="I60" t="n">
        <v>0</v>
      </c>
      <c r="J60" t="n">
        <v>0</v>
      </c>
      <c r="K60" t="n">
        <v>0</v>
      </c>
      <c r="L60" t="n">
        <v>0</v>
      </c>
      <c r="M60" t="n">
        <v>0</v>
      </c>
      <c r="N60" t="n">
        <v>0</v>
      </c>
      <c r="O60" t="n">
        <v>0</v>
      </c>
      <c r="P60" t="n">
        <v>0</v>
      </c>
      <c r="Q60" t="n">
        <v>0</v>
      </c>
      <c r="R60" s="2" t="inlineStr"/>
    </row>
    <row r="61" ht="15" customHeight="1">
      <c r="A61" t="inlineStr">
        <is>
          <t>A 47140-2024</t>
        </is>
      </c>
      <c r="B61" s="1" t="n">
        <v>45586.58753472222</v>
      </c>
      <c r="C61" s="1" t="n">
        <v>45967</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45967</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7085-2022</t>
        </is>
      </c>
      <c r="B63" s="1" t="n">
        <v>44603</v>
      </c>
      <c r="C63" s="1" t="n">
        <v>45967</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38102-2024</t>
        </is>
      </c>
      <c r="B64" s="1" t="n">
        <v>45545.36349537037</v>
      </c>
      <c r="C64" s="1" t="n">
        <v>45967</v>
      </c>
      <c r="D64" t="inlineStr">
        <is>
          <t>STOCKHOLMS LÄN</t>
        </is>
      </c>
      <c r="E64" t="inlineStr">
        <is>
          <t>VALLENTUNA</t>
        </is>
      </c>
      <c r="G64" t="n">
        <v>3.2</v>
      </c>
      <c r="H64" t="n">
        <v>0</v>
      </c>
      <c r="I64" t="n">
        <v>0</v>
      </c>
      <c r="J64" t="n">
        <v>0</v>
      </c>
      <c r="K64" t="n">
        <v>0</v>
      </c>
      <c r="L64" t="n">
        <v>0</v>
      </c>
      <c r="M64" t="n">
        <v>0</v>
      </c>
      <c r="N64" t="n">
        <v>0</v>
      </c>
      <c r="O64" t="n">
        <v>0</v>
      </c>
      <c r="P64" t="n">
        <v>0</v>
      </c>
      <c r="Q64" t="n">
        <v>0</v>
      </c>
      <c r="R64" s="2" t="inlineStr"/>
    </row>
    <row r="65" ht="15" customHeight="1">
      <c r="A65" t="inlineStr">
        <is>
          <t>A 24994-2021</t>
        </is>
      </c>
      <c r="B65" s="1" t="n">
        <v>44341</v>
      </c>
      <c r="C65" s="1" t="n">
        <v>45967</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8565-2025</t>
        </is>
      </c>
      <c r="B66" s="1" t="n">
        <v>45709</v>
      </c>
      <c r="C66" s="1" t="n">
        <v>45967</v>
      </c>
      <c r="D66" t="inlineStr">
        <is>
          <t>STOCKHOLMS LÄN</t>
        </is>
      </c>
      <c r="E66" t="inlineStr">
        <is>
          <t>VALLENTUNA</t>
        </is>
      </c>
      <c r="F66" t="inlineStr">
        <is>
          <t>Kommuner</t>
        </is>
      </c>
      <c r="G66" t="n">
        <v>4.2</v>
      </c>
      <c r="H66" t="n">
        <v>0</v>
      </c>
      <c r="I66" t="n">
        <v>0</v>
      </c>
      <c r="J66" t="n">
        <v>0</v>
      </c>
      <c r="K66" t="n">
        <v>0</v>
      </c>
      <c r="L66" t="n">
        <v>0</v>
      </c>
      <c r="M66" t="n">
        <v>0</v>
      </c>
      <c r="N66" t="n">
        <v>0</v>
      </c>
      <c r="O66" t="n">
        <v>0</v>
      </c>
      <c r="P66" t="n">
        <v>0</v>
      </c>
      <c r="Q66" t="n">
        <v>0</v>
      </c>
      <c r="R66" s="2" t="inlineStr"/>
    </row>
    <row r="67" ht="15" customHeight="1">
      <c r="A67" t="inlineStr">
        <is>
          <t>A 52989-2023</t>
        </is>
      </c>
      <c r="B67" s="1" t="n">
        <v>45226</v>
      </c>
      <c r="C67" s="1" t="n">
        <v>45967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45967</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21612-2021</t>
        </is>
      </c>
      <c r="B69" s="1" t="n">
        <v>44321</v>
      </c>
      <c r="C69" s="1" t="n">
        <v>45967</v>
      </c>
      <c r="D69" t="inlineStr">
        <is>
          <t>STOCKHOLMS LÄN</t>
        </is>
      </c>
      <c r="E69" t="inlineStr">
        <is>
          <t>VALLENTUNA</t>
        </is>
      </c>
      <c r="G69" t="n">
        <v>1.4</v>
      </c>
      <c r="H69" t="n">
        <v>0</v>
      </c>
      <c r="I69" t="n">
        <v>0</v>
      </c>
      <c r="J69" t="n">
        <v>0</v>
      </c>
      <c r="K69" t="n">
        <v>0</v>
      </c>
      <c r="L69" t="n">
        <v>0</v>
      </c>
      <c r="M69" t="n">
        <v>0</v>
      </c>
      <c r="N69" t="n">
        <v>0</v>
      </c>
      <c r="O69" t="n">
        <v>0</v>
      </c>
      <c r="P69" t="n">
        <v>0</v>
      </c>
      <c r="Q69" t="n">
        <v>0</v>
      </c>
      <c r="R69" s="2" t="inlineStr"/>
    </row>
    <row r="70" ht="15" customHeight="1">
      <c r="A70" t="inlineStr">
        <is>
          <t>A 3937-2022</t>
        </is>
      </c>
      <c r="B70" s="1" t="n">
        <v>44587</v>
      </c>
      <c r="C70" s="1" t="n">
        <v>45967</v>
      </c>
      <c r="D70" t="inlineStr">
        <is>
          <t>STOCKHOLMS LÄN</t>
        </is>
      </c>
      <c r="E70" t="inlineStr">
        <is>
          <t>VALLENTUNA</t>
        </is>
      </c>
      <c r="G70" t="n">
        <v>6.6</v>
      </c>
      <c r="H70" t="n">
        <v>0</v>
      </c>
      <c r="I70" t="n">
        <v>0</v>
      </c>
      <c r="J70" t="n">
        <v>0</v>
      </c>
      <c r="K70" t="n">
        <v>0</v>
      </c>
      <c r="L70" t="n">
        <v>0</v>
      </c>
      <c r="M70" t="n">
        <v>0</v>
      </c>
      <c r="N70" t="n">
        <v>0</v>
      </c>
      <c r="O70" t="n">
        <v>0</v>
      </c>
      <c r="P70" t="n">
        <v>0</v>
      </c>
      <c r="Q70" t="n">
        <v>0</v>
      </c>
      <c r="R70" s="2" t="inlineStr"/>
    </row>
    <row r="71" ht="15" customHeight="1">
      <c r="A71" t="inlineStr">
        <is>
          <t>A 9063-2024</t>
        </is>
      </c>
      <c r="B71" s="1" t="n">
        <v>45357.72652777778</v>
      </c>
      <c r="C71" s="1" t="n">
        <v>45967</v>
      </c>
      <c r="D71" t="inlineStr">
        <is>
          <t>STOCKHOLMS LÄN</t>
        </is>
      </c>
      <c r="E71" t="inlineStr">
        <is>
          <t>VALLENTUNA</t>
        </is>
      </c>
      <c r="G71" t="n">
        <v>4.1</v>
      </c>
      <c r="H71" t="n">
        <v>0</v>
      </c>
      <c r="I71" t="n">
        <v>0</v>
      </c>
      <c r="J71" t="n">
        <v>0</v>
      </c>
      <c r="K71" t="n">
        <v>0</v>
      </c>
      <c r="L71" t="n">
        <v>0</v>
      </c>
      <c r="M71" t="n">
        <v>0</v>
      </c>
      <c r="N71" t="n">
        <v>0</v>
      </c>
      <c r="O71" t="n">
        <v>0</v>
      </c>
      <c r="P71" t="n">
        <v>0</v>
      </c>
      <c r="Q71" t="n">
        <v>0</v>
      </c>
      <c r="R71" s="2" t="inlineStr"/>
    </row>
    <row r="72" ht="15" customHeight="1">
      <c r="A72" t="inlineStr">
        <is>
          <t>A 60818-2023</t>
        </is>
      </c>
      <c r="B72" s="1" t="n">
        <v>45259</v>
      </c>
      <c r="C72" s="1" t="n">
        <v>45967</v>
      </c>
      <c r="D72" t="inlineStr">
        <is>
          <t>STOCKHOLMS LÄN</t>
        </is>
      </c>
      <c r="E72" t="inlineStr">
        <is>
          <t>VALLENTUNA</t>
        </is>
      </c>
      <c r="G72" t="n">
        <v>9.4</v>
      </c>
      <c r="H72" t="n">
        <v>0</v>
      </c>
      <c r="I72" t="n">
        <v>0</v>
      </c>
      <c r="J72" t="n">
        <v>0</v>
      </c>
      <c r="K72" t="n">
        <v>0</v>
      </c>
      <c r="L72" t="n">
        <v>0</v>
      </c>
      <c r="M72" t="n">
        <v>0</v>
      </c>
      <c r="N72" t="n">
        <v>0</v>
      </c>
      <c r="O72" t="n">
        <v>0</v>
      </c>
      <c r="P72" t="n">
        <v>0</v>
      </c>
      <c r="Q72" t="n">
        <v>0</v>
      </c>
      <c r="R72" s="2" t="inlineStr"/>
    </row>
    <row r="73" ht="15" customHeight="1">
      <c r="A73" t="inlineStr">
        <is>
          <t>A 4803-2024</t>
        </is>
      </c>
      <c r="B73" s="1" t="n">
        <v>45328</v>
      </c>
      <c r="C73" s="1" t="n">
        <v>45967</v>
      </c>
      <c r="D73" t="inlineStr">
        <is>
          <t>STOCKHOLMS LÄN</t>
        </is>
      </c>
      <c r="E73" t="inlineStr">
        <is>
          <t>VALLENTUNA</t>
        </is>
      </c>
      <c r="G73" t="n">
        <v>4.6</v>
      </c>
      <c r="H73" t="n">
        <v>0</v>
      </c>
      <c r="I73" t="n">
        <v>0</v>
      </c>
      <c r="J73" t="n">
        <v>0</v>
      </c>
      <c r="K73" t="n">
        <v>0</v>
      </c>
      <c r="L73" t="n">
        <v>0</v>
      </c>
      <c r="M73" t="n">
        <v>0</v>
      </c>
      <c r="N73" t="n">
        <v>0</v>
      </c>
      <c r="O73" t="n">
        <v>0</v>
      </c>
      <c r="P73" t="n">
        <v>0</v>
      </c>
      <c r="Q73" t="n">
        <v>0</v>
      </c>
      <c r="R73" s="2" t="inlineStr"/>
    </row>
    <row r="74" ht="15" customHeight="1">
      <c r="A74" t="inlineStr">
        <is>
          <t>A 3078-2023</t>
        </is>
      </c>
      <c r="B74" s="1" t="n">
        <v>44946.41527777778</v>
      </c>
      <c r="C74" s="1" t="n">
        <v>45967</v>
      </c>
      <c r="D74" t="inlineStr">
        <is>
          <t>STOCKHOLMS LÄN</t>
        </is>
      </c>
      <c r="E74" t="inlineStr">
        <is>
          <t>VALLENTUNA</t>
        </is>
      </c>
      <c r="G74" t="n">
        <v>3.9</v>
      </c>
      <c r="H74" t="n">
        <v>0</v>
      </c>
      <c r="I74" t="n">
        <v>0</v>
      </c>
      <c r="J74" t="n">
        <v>0</v>
      </c>
      <c r="K74" t="n">
        <v>0</v>
      </c>
      <c r="L74" t="n">
        <v>0</v>
      </c>
      <c r="M74" t="n">
        <v>0</v>
      </c>
      <c r="N74" t="n">
        <v>0</v>
      </c>
      <c r="O74" t="n">
        <v>0</v>
      </c>
      <c r="P74" t="n">
        <v>0</v>
      </c>
      <c r="Q74" t="n">
        <v>0</v>
      </c>
      <c r="R74" s="2" t="inlineStr"/>
    </row>
    <row r="75" ht="15" customHeight="1">
      <c r="A75" t="inlineStr">
        <is>
          <t>A 52542-2023</t>
        </is>
      </c>
      <c r="B75" s="1" t="n">
        <v>45225</v>
      </c>
      <c r="C75" s="1" t="n">
        <v>45967</v>
      </c>
      <c r="D75" t="inlineStr">
        <is>
          <t>STOCKHOLMS LÄN</t>
        </is>
      </c>
      <c r="E75" t="inlineStr">
        <is>
          <t>VALLENTUNA</t>
        </is>
      </c>
      <c r="G75" t="n">
        <v>3.8</v>
      </c>
      <c r="H75" t="n">
        <v>0</v>
      </c>
      <c r="I75" t="n">
        <v>0</v>
      </c>
      <c r="J75" t="n">
        <v>0</v>
      </c>
      <c r="K75" t="n">
        <v>0</v>
      </c>
      <c r="L75" t="n">
        <v>0</v>
      </c>
      <c r="M75" t="n">
        <v>0</v>
      </c>
      <c r="N75" t="n">
        <v>0</v>
      </c>
      <c r="O75" t="n">
        <v>0</v>
      </c>
      <c r="P75" t="n">
        <v>0</v>
      </c>
      <c r="Q75" t="n">
        <v>0</v>
      </c>
      <c r="R75" s="2" t="inlineStr"/>
    </row>
    <row r="76" ht="15" customHeight="1">
      <c r="A76" t="inlineStr">
        <is>
          <t>A 60795-2023</t>
        </is>
      </c>
      <c r="B76" s="1" t="n">
        <v>45260</v>
      </c>
      <c r="C76" s="1" t="n">
        <v>45967</v>
      </c>
      <c r="D76" t="inlineStr">
        <is>
          <t>STOCKHOLMS LÄN</t>
        </is>
      </c>
      <c r="E76" t="inlineStr">
        <is>
          <t>VALLENTUNA</t>
        </is>
      </c>
      <c r="G76" t="n">
        <v>2.2</v>
      </c>
      <c r="H76" t="n">
        <v>0</v>
      </c>
      <c r="I76" t="n">
        <v>0</v>
      </c>
      <c r="J76" t="n">
        <v>0</v>
      </c>
      <c r="K76" t="n">
        <v>0</v>
      </c>
      <c r="L76" t="n">
        <v>0</v>
      </c>
      <c r="M76" t="n">
        <v>0</v>
      </c>
      <c r="N76" t="n">
        <v>0</v>
      </c>
      <c r="O76" t="n">
        <v>0</v>
      </c>
      <c r="P76" t="n">
        <v>0</v>
      </c>
      <c r="Q76" t="n">
        <v>0</v>
      </c>
      <c r="R76" s="2" t="inlineStr"/>
    </row>
    <row r="77" ht="15" customHeight="1">
      <c r="A77" t="inlineStr">
        <is>
          <t>A 7264-2022</t>
        </is>
      </c>
      <c r="B77" s="1" t="n">
        <v>44606</v>
      </c>
      <c r="C77" s="1" t="n">
        <v>45967</v>
      </c>
      <c r="D77" t="inlineStr">
        <is>
          <t>STOCKHOLMS LÄN</t>
        </is>
      </c>
      <c r="E77" t="inlineStr">
        <is>
          <t>VALLENTUNA</t>
        </is>
      </c>
      <c r="G77" t="n">
        <v>2.4</v>
      </c>
      <c r="H77" t="n">
        <v>0</v>
      </c>
      <c r="I77" t="n">
        <v>0</v>
      </c>
      <c r="J77" t="n">
        <v>0</v>
      </c>
      <c r="K77" t="n">
        <v>0</v>
      </c>
      <c r="L77" t="n">
        <v>0</v>
      </c>
      <c r="M77" t="n">
        <v>0</v>
      </c>
      <c r="N77" t="n">
        <v>0</v>
      </c>
      <c r="O77" t="n">
        <v>0</v>
      </c>
      <c r="P77" t="n">
        <v>0</v>
      </c>
      <c r="Q77" t="n">
        <v>0</v>
      </c>
      <c r="R77" s="2" t="inlineStr"/>
    </row>
    <row r="78" ht="15" customHeight="1">
      <c r="A78" t="inlineStr">
        <is>
          <t>A 17340-2025</t>
        </is>
      </c>
      <c r="B78" s="1" t="n">
        <v>45756</v>
      </c>
      <c r="C78" s="1" t="n">
        <v>45967</v>
      </c>
      <c r="D78" t="inlineStr">
        <is>
          <t>STOCKHOLMS LÄN</t>
        </is>
      </c>
      <c r="E78" t="inlineStr">
        <is>
          <t>VALLENTUNA</t>
        </is>
      </c>
      <c r="F78" t="inlineStr">
        <is>
          <t>Övriga Aktiebolag</t>
        </is>
      </c>
      <c r="G78" t="n">
        <v>2.6</v>
      </c>
      <c r="H78" t="n">
        <v>0</v>
      </c>
      <c r="I78" t="n">
        <v>0</v>
      </c>
      <c r="J78" t="n">
        <v>0</v>
      </c>
      <c r="K78" t="n">
        <v>0</v>
      </c>
      <c r="L78" t="n">
        <v>0</v>
      </c>
      <c r="M78" t="n">
        <v>0</v>
      </c>
      <c r="N78" t="n">
        <v>0</v>
      </c>
      <c r="O78" t="n">
        <v>0</v>
      </c>
      <c r="P78" t="n">
        <v>0</v>
      </c>
      <c r="Q78" t="n">
        <v>0</v>
      </c>
      <c r="R78" s="2" t="inlineStr"/>
    </row>
    <row r="79" ht="15" customHeight="1">
      <c r="A79" t="inlineStr">
        <is>
          <t>A 68935-2020</t>
        </is>
      </c>
      <c r="B79" s="1" t="n">
        <v>44187</v>
      </c>
      <c r="C79" s="1" t="n">
        <v>45967</v>
      </c>
      <c r="D79" t="inlineStr">
        <is>
          <t>STOCKHOLMS LÄN</t>
        </is>
      </c>
      <c r="E79" t="inlineStr">
        <is>
          <t>VALLENTUNA</t>
        </is>
      </c>
      <c r="G79" t="n">
        <v>7.8</v>
      </c>
      <c r="H79" t="n">
        <v>0</v>
      </c>
      <c r="I79" t="n">
        <v>0</v>
      </c>
      <c r="J79" t="n">
        <v>0</v>
      </c>
      <c r="K79" t="n">
        <v>0</v>
      </c>
      <c r="L79" t="n">
        <v>0</v>
      </c>
      <c r="M79" t="n">
        <v>0</v>
      </c>
      <c r="N79" t="n">
        <v>0</v>
      </c>
      <c r="O79" t="n">
        <v>0</v>
      </c>
      <c r="P79" t="n">
        <v>0</v>
      </c>
      <c r="Q79" t="n">
        <v>0</v>
      </c>
      <c r="R79" s="2" t="inlineStr"/>
    </row>
    <row r="80" ht="15" customHeight="1">
      <c r="A80" t="inlineStr">
        <is>
          <t>A 19356-2025</t>
        </is>
      </c>
      <c r="B80" s="1" t="n">
        <v>45769.62061342593</v>
      </c>
      <c r="C80" s="1" t="n">
        <v>45967</v>
      </c>
      <c r="D80" t="inlineStr">
        <is>
          <t>STOCKHOLMS LÄN</t>
        </is>
      </c>
      <c r="E80" t="inlineStr">
        <is>
          <t>VALLENTUNA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12562-2023</t>
        </is>
      </c>
      <c r="B81" s="1" t="n">
        <v>45000</v>
      </c>
      <c r="C81" s="1" t="n">
        <v>45967</v>
      </c>
      <c r="D81" t="inlineStr">
        <is>
          <t>STOCKHOLMS LÄN</t>
        </is>
      </c>
      <c r="E81" t="inlineStr">
        <is>
          <t>VALLENTUNA</t>
        </is>
      </c>
      <c r="G81" t="n">
        <v>2.1</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45967</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11950-2025</t>
        </is>
      </c>
      <c r="B83" s="1" t="n">
        <v>45728.55622685186</v>
      </c>
      <c r="C83" s="1" t="n">
        <v>45967</v>
      </c>
      <c r="D83" t="inlineStr">
        <is>
          <t>STOCKHOLMS LÄN</t>
        </is>
      </c>
      <c r="E83" t="inlineStr">
        <is>
          <t>VALLENTUNA</t>
        </is>
      </c>
      <c r="G83" t="n">
        <v>1.4</v>
      </c>
      <c r="H83" t="n">
        <v>0</v>
      </c>
      <c r="I83" t="n">
        <v>0</v>
      </c>
      <c r="J83" t="n">
        <v>0</v>
      </c>
      <c r="K83" t="n">
        <v>0</v>
      </c>
      <c r="L83" t="n">
        <v>0</v>
      </c>
      <c r="M83" t="n">
        <v>0</v>
      </c>
      <c r="N83" t="n">
        <v>0</v>
      </c>
      <c r="O83" t="n">
        <v>0</v>
      </c>
      <c r="P83" t="n">
        <v>0</v>
      </c>
      <c r="Q83" t="n">
        <v>0</v>
      </c>
      <c r="R83" s="2" t="inlineStr"/>
    </row>
    <row r="84" ht="15" customHeight="1">
      <c r="A84" t="inlineStr">
        <is>
          <t>A 20791-2025</t>
        </is>
      </c>
      <c r="B84" s="1" t="n">
        <v>45776.62738425926</v>
      </c>
      <c r="C84" s="1" t="n">
        <v>45967</v>
      </c>
      <c r="D84" t="inlineStr">
        <is>
          <t>STOCKHOLMS LÄN</t>
        </is>
      </c>
      <c r="E84" t="inlineStr">
        <is>
          <t>VALLENTUNA</t>
        </is>
      </c>
      <c r="G84" t="n">
        <v>1.5</v>
      </c>
      <c r="H84" t="n">
        <v>0</v>
      </c>
      <c r="I84" t="n">
        <v>0</v>
      </c>
      <c r="J84" t="n">
        <v>0</v>
      </c>
      <c r="K84" t="n">
        <v>0</v>
      </c>
      <c r="L84" t="n">
        <v>0</v>
      </c>
      <c r="M84" t="n">
        <v>0</v>
      </c>
      <c r="N84" t="n">
        <v>0</v>
      </c>
      <c r="O84" t="n">
        <v>0</v>
      </c>
      <c r="P84" t="n">
        <v>0</v>
      </c>
      <c r="Q84" t="n">
        <v>0</v>
      </c>
      <c r="R84" s="2" t="inlineStr"/>
    </row>
    <row r="85" ht="15" customHeight="1">
      <c r="A85" t="inlineStr">
        <is>
          <t>A 68938-2020</t>
        </is>
      </c>
      <c r="B85" s="1" t="n">
        <v>44187</v>
      </c>
      <c r="C85" s="1" t="n">
        <v>45967</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14489-2024</t>
        </is>
      </c>
      <c r="B86" s="1" t="n">
        <v>45394.58053240741</v>
      </c>
      <c r="C86" s="1" t="n">
        <v>45967</v>
      </c>
      <c r="D86" t="inlineStr">
        <is>
          <t>STOCKHOLMS LÄN</t>
        </is>
      </c>
      <c r="E86" t="inlineStr">
        <is>
          <t>VALLENTUNA</t>
        </is>
      </c>
      <c r="G86" t="n">
        <v>2.3</v>
      </c>
      <c r="H86" t="n">
        <v>0</v>
      </c>
      <c r="I86" t="n">
        <v>0</v>
      </c>
      <c r="J86" t="n">
        <v>0</v>
      </c>
      <c r="K86" t="n">
        <v>0</v>
      </c>
      <c r="L86" t="n">
        <v>0</v>
      </c>
      <c r="M86" t="n">
        <v>0</v>
      </c>
      <c r="N86" t="n">
        <v>0</v>
      </c>
      <c r="O86" t="n">
        <v>0</v>
      </c>
      <c r="P86" t="n">
        <v>0</v>
      </c>
      <c r="Q86" t="n">
        <v>0</v>
      </c>
      <c r="R86" s="2" t="inlineStr"/>
    </row>
    <row r="87" ht="15" customHeight="1">
      <c r="A87" t="inlineStr">
        <is>
          <t>A 48014-2025</t>
        </is>
      </c>
      <c r="B87" s="1" t="n">
        <v>45932.64520833334</v>
      </c>
      <c r="C87" s="1" t="n">
        <v>45967</v>
      </c>
      <c r="D87" t="inlineStr">
        <is>
          <t>STOCKHOLMS LÄN</t>
        </is>
      </c>
      <c r="E87" t="inlineStr">
        <is>
          <t>VALLENTUNA</t>
        </is>
      </c>
      <c r="G87" t="n">
        <v>0.6</v>
      </c>
      <c r="H87" t="n">
        <v>0</v>
      </c>
      <c r="I87" t="n">
        <v>0</v>
      </c>
      <c r="J87" t="n">
        <v>0</v>
      </c>
      <c r="K87" t="n">
        <v>0</v>
      </c>
      <c r="L87" t="n">
        <v>0</v>
      </c>
      <c r="M87" t="n">
        <v>0</v>
      </c>
      <c r="N87" t="n">
        <v>0</v>
      </c>
      <c r="O87" t="n">
        <v>0</v>
      </c>
      <c r="P87" t="n">
        <v>0</v>
      </c>
      <c r="Q87" t="n">
        <v>0</v>
      </c>
      <c r="R87" s="2" t="inlineStr"/>
    </row>
    <row r="88" ht="15" customHeight="1">
      <c r="A88" t="inlineStr">
        <is>
          <t>A 48040-2025</t>
        </is>
      </c>
      <c r="B88" s="1" t="n">
        <v>45932.6628125</v>
      </c>
      <c r="C88" s="1" t="n">
        <v>45967</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48038-2025</t>
        </is>
      </c>
      <c r="B89" s="1" t="n">
        <v>45932.66008101852</v>
      </c>
      <c r="C89" s="1" t="n">
        <v>45967</v>
      </c>
      <c r="D89" t="inlineStr">
        <is>
          <t>STOCKHOLMS LÄN</t>
        </is>
      </c>
      <c r="E89" t="inlineStr">
        <is>
          <t>VALLENTUNA</t>
        </is>
      </c>
      <c r="G89" t="n">
        <v>0.5</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45967</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10073-2024</t>
        </is>
      </c>
      <c r="B91" s="1" t="n">
        <v>45364.40821759259</v>
      </c>
      <c r="C91" s="1" t="n">
        <v>45967</v>
      </c>
      <c r="D91" t="inlineStr">
        <is>
          <t>STOCKHOLMS LÄN</t>
        </is>
      </c>
      <c r="E91" t="inlineStr">
        <is>
          <t>VALLENTUNA</t>
        </is>
      </c>
      <c r="G91" t="n">
        <v>1.1</v>
      </c>
      <c r="H91" t="n">
        <v>0</v>
      </c>
      <c r="I91" t="n">
        <v>0</v>
      </c>
      <c r="J91" t="n">
        <v>0</v>
      </c>
      <c r="K91" t="n">
        <v>0</v>
      </c>
      <c r="L91" t="n">
        <v>0</v>
      </c>
      <c r="M91" t="n">
        <v>0</v>
      </c>
      <c r="N91" t="n">
        <v>0</v>
      </c>
      <c r="O91" t="n">
        <v>0</v>
      </c>
      <c r="P91" t="n">
        <v>0</v>
      </c>
      <c r="Q91" t="n">
        <v>0</v>
      </c>
      <c r="R91" s="2" t="inlineStr"/>
    </row>
    <row r="92" ht="15" customHeight="1">
      <c r="A92" t="inlineStr">
        <is>
          <t>A 24068-2024</t>
        </is>
      </c>
      <c r="B92" s="1" t="n">
        <v>45456</v>
      </c>
      <c r="C92" s="1" t="n">
        <v>45967</v>
      </c>
      <c r="D92" t="inlineStr">
        <is>
          <t>STOCKHOLMS LÄN</t>
        </is>
      </c>
      <c r="E92" t="inlineStr">
        <is>
          <t>VALLENTUNA</t>
        </is>
      </c>
      <c r="G92" t="n">
        <v>7.4</v>
      </c>
      <c r="H92" t="n">
        <v>0</v>
      </c>
      <c r="I92" t="n">
        <v>0</v>
      </c>
      <c r="J92" t="n">
        <v>0</v>
      </c>
      <c r="K92" t="n">
        <v>0</v>
      </c>
      <c r="L92" t="n">
        <v>0</v>
      </c>
      <c r="M92" t="n">
        <v>0</v>
      </c>
      <c r="N92" t="n">
        <v>0</v>
      </c>
      <c r="O92" t="n">
        <v>0</v>
      </c>
      <c r="P92" t="n">
        <v>0</v>
      </c>
      <c r="Q92" t="n">
        <v>0</v>
      </c>
      <c r="R92" s="2" t="inlineStr"/>
    </row>
    <row r="93" ht="15" customHeight="1">
      <c r="A93" t="inlineStr">
        <is>
          <t>A 34452-2021</t>
        </is>
      </c>
      <c r="B93" s="1" t="n">
        <v>44381</v>
      </c>
      <c r="C93" s="1" t="n">
        <v>45967</v>
      </c>
      <c r="D93" t="inlineStr">
        <is>
          <t>STOCKHOLMS LÄN</t>
        </is>
      </c>
      <c r="E93" t="inlineStr">
        <is>
          <t>VALLENTUNA</t>
        </is>
      </c>
      <c r="G93" t="n">
        <v>14.7</v>
      </c>
      <c r="H93" t="n">
        <v>0</v>
      </c>
      <c r="I93" t="n">
        <v>0</v>
      </c>
      <c r="J93" t="n">
        <v>0</v>
      </c>
      <c r="K93" t="n">
        <v>0</v>
      </c>
      <c r="L93" t="n">
        <v>0</v>
      </c>
      <c r="M93" t="n">
        <v>0</v>
      </c>
      <c r="N93" t="n">
        <v>0</v>
      </c>
      <c r="O93" t="n">
        <v>0</v>
      </c>
      <c r="P93" t="n">
        <v>0</v>
      </c>
      <c r="Q93" t="n">
        <v>0</v>
      </c>
      <c r="R93" s="2" t="inlineStr"/>
    </row>
    <row r="94" ht="15" customHeight="1">
      <c r="A94" t="inlineStr">
        <is>
          <t>A 12621-2024</t>
        </is>
      </c>
      <c r="B94" s="1" t="n">
        <v>45383.6325</v>
      </c>
      <c r="C94" s="1" t="n">
        <v>45967</v>
      </c>
      <c r="D94" t="inlineStr">
        <is>
          <t>STOCKHOLMS LÄN</t>
        </is>
      </c>
      <c r="E94" t="inlineStr">
        <is>
          <t>VALLENTUNA</t>
        </is>
      </c>
      <c r="G94" t="n">
        <v>4.4</v>
      </c>
      <c r="H94" t="n">
        <v>0</v>
      </c>
      <c r="I94" t="n">
        <v>0</v>
      </c>
      <c r="J94" t="n">
        <v>0</v>
      </c>
      <c r="K94" t="n">
        <v>0</v>
      </c>
      <c r="L94" t="n">
        <v>0</v>
      </c>
      <c r="M94" t="n">
        <v>0</v>
      </c>
      <c r="N94" t="n">
        <v>0</v>
      </c>
      <c r="O94" t="n">
        <v>0</v>
      </c>
      <c r="P94" t="n">
        <v>0</v>
      </c>
      <c r="Q94" t="n">
        <v>0</v>
      </c>
      <c r="R94" s="2" t="inlineStr"/>
    </row>
    <row r="95" ht="15" customHeight="1">
      <c r="A95" t="inlineStr">
        <is>
          <t>A 52562-2023</t>
        </is>
      </c>
      <c r="B95" s="1" t="n">
        <v>45225</v>
      </c>
      <c r="C95" s="1" t="n">
        <v>45967</v>
      </c>
      <c r="D95" t="inlineStr">
        <is>
          <t>STOCKHOLMS LÄN</t>
        </is>
      </c>
      <c r="E95" t="inlineStr">
        <is>
          <t>VALLENTUNA</t>
        </is>
      </c>
      <c r="G95" t="n">
        <v>3.4</v>
      </c>
      <c r="H95" t="n">
        <v>0</v>
      </c>
      <c r="I95" t="n">
        <v>0</v>
      </c>
      <c r="J95" t="n">
        <v>0</v>
      </c>
      <c r="K95" t="n">
        <v>0</v>
      </c>
      <c r="L95" t="n">
        <v>0</v>
      </c>
      <c r="M95" t="n">
        <v>0</v>
      </c>
      <c r="N95" t="n">
        <v>0</v>
      </c>
      <c r="O95" t="n">
        <v>0</v>
      </c>
      <c r="P95" t="n">
        <v>0</v>
      </c>
      <c r="Q95" t="n">
        <v>0</v>
      </c>
      <c r="R95" s="2" t="inlineStr"/>
    </row>
    <row r="96" ht="15" customHeight="1">
      <c r="A96" t="inlineStr">
        <is>
          <t>A 61442-2024</t>
        </is>
      </c>
      <c r="B96" s="1" t="n">
        <v>45646.47003472222</v>
      </c>
      <c r="C96" s="1" t="n">
        <v>45967</v>
      </c>
      <c r="D96" t="inlineStr">
        <is>
          <t>STOCKHOLMS LÄN</t>
        </is>
      </c>
      <c r="E96" t="inlineStr">
        <is>
          <t>VALLENTUNA</t>
        </is>
      </c>
      <c r="G96" t="n">
        <v>4.6</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45967</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23013-2024</t>
        </is>
      </c>
      <c r="B98" s="1" t="n">
        <v>45450.35116898148</v>
      </c>
      <c r="C98" s="1" t="n">
        <v>45967</v>
      </c>
      <c r="D98" t="inlineStr">
        <is>
          <t>STOCKHOLMS LÄN</t>
        </is>
      </c>
      <c r="E98" t="inlineStr">
        <is>
          <t>VALLENTUNA</t>
        </is>
      </c>
      <c r="G98" t="n">
        <v>0.4</v>
      </c>
      <c r="H98" t="n">
        <v>0</v>
      </c>
      <c r="I98" t="n">
        <v>0</v>
      </c>
      <c r="J98" t="n">
        <v>0</v>
      </c>
      <c r="K98" t="n">
        <v>0</v>
      </c>
      <c r="L98" t="n">
        <v>0</v>
      </c>
      <c r="M98" t="n">
        <v>0</v>
      </c>
      <c r="N98" t="n">
        <v>0</v>
      </c>
      <c r="O98" t="n">
        <v>0</v>
      </c>
      <c r="P98" t="n">
        <v>0</v>
      </c>
      <c r="Q98" t="n">
        <v>0</v>
      </c>
      <c r="R98" s="2" t="inlineStr"/>
    </row>
    <row r="99" ht="15" customHeight="1">
      <c r="A99" t="inlineStr">
        <is>
          <t>A 2318-2024</t>
        </is>
      </c>
      <c r="B99" s="1" t="n">
        <v>45310</v>
      </c>
      <c r="C99" s="1" t="n">
        <v>45967</v>
      </c>
      <c r="D99" t="inlineStr">
        <is>
          <t>STOCKHOLMS LÄN</t>
        </is>
      </c>
      <c r="E99" t="inlineStr">
        <is>
          <t>VALLENTUNA</t>
        </is>
      </c>
      <c r="G99" t="n">
        <v>2.2</v>
      </c>
      <c r="H99" t="n">
        <v>0</v>
      </c>
      <c r="I99" t="n">
        <v>0</v>
      </c>
      <c r="J99" t="n">
        <v>0</v>
      </c>
      <c r="K99" t="n">
        <v>0</v>
      </c>
      <c r="L99" t="n">
        <v>0</v>
      </c>
      <c r="M99" t="n">
        <v>0</v>
      </c>
      <c r="N99" t="n">
        <v>0</v>
      </c>
      <c r="O99" t="n">
        <v>0</v>
      </c>
      <c r="P99" t="n">
        <v>0</v>
      </c>
      <c r="Q99" t="n">
        <v>0</v>
      </c>
      <c r="R99" s="2" t="inlineStr"/>
    </row>
    <row r="100" ht="15" customHeight="1">
      <c r="A100" t="inlineStr">
        <is>
          <t>A 46381-2023</t>
        </is>
      </c>
      <c r="B100" s="1" t="n">
        <v>45193</v>
      </c>
      <c r="C100" s="1" t="n">
        <v>45967</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41206-2025</t>
        </is>
      </c>
      <c r="B101" s="1" t="n">
        <v>45898</v>
      </c>
      <c r="C101" s="1" t="n">
        <v>45967</v>
      </c>
      <c r="D101" t="inlineStr">
        <is>
          <t>STOCKHOLMS LÄN</t>
        </is>
      </c>
      <c r="E101" t="inlineStr">
        <is>
          <t>VALLENTUNA</t>
        </is>
      </c>
      <c r="G101" t="n">
        <v>10</v>
      </c>
      <c r="H101" t="n">
        <v>0</v>
      </c>
      <c r="I101" t="n">
        <v>0</v>
      </c>
      <c r="J101" t="n">
        <v>0</v>
      </c>
      <c r="K101" t="n">
        <v>0</v>
      </c>
      <c r="L101" t="n">
        <v>0</v>
      </c>
      <c r="M101" t="n">
        <v>0</v>
      </c>
      <c r="N101" t="n">
        <v>0</v>
      </c>
      <c r="O101" t="n">
        <v>0</v>
      </c>
      <c r="P101" t="n">
        <v>0</v>
      </c>
      <c r="Q101" t="n">
        <v>0</v>
      </c>
      <c r="R101" s="2" t="inlineStr"/>
    </row>
    <row r="102" ht="15" customHeight="1">
      <c r="A102" t="inlineStr">
        <is>
          <t>A 61027-2023</t>
        </is>
      </c>
      <c r="B102" s="1" t="n">
        <v>45261</v>
      </c>
      <c r="C102" s="1" t="n">
        <v>45967</v>
      </c>
      <c r="D102" t="inlineStr">
        <is>
          <t>STOCKHOLMS LÄN</t>
        </is>
      </c>
      <c r="E102" t="inlineStr">
        <is>
          <t>VALLENTUNA</t>
        </is>
      </c>
      <c r="G102" t="n">
        <v>7.1</v>
      </c>
      <c r="H102" t="n">
        <v>0</v>
      </c>
      <c r="I102" t="n">
        <v>0</v>
      </c>
      <c r="J102" t="n">
        <v>0</v>
      </c>
      <c r="K102" t="n">
        <v>0</v>
      </c>
      <c r="L102" t="n">
        <v>0</v>
      </c>
      <c r="M102" t="n">
        <v>0</v>
      </c>
      <c r="N102" t="n">
        <v>0</v>
      </c>
      <c r="O102" t="n">
        <v>0</v>
      </c>
      <c r="P102" t="n">
        <v>0</v>
      </c>
      <c r="Q102" t="n">
        <v>0</v>
      </c>
      <c r="R102" s="2" t="inlineStr"/>
    </row>
    <row r="103" ht="15" customHeight="1">
      <c r="A103" t="inlineStr">
        <is>
          <t>A 19503-2023</t>
        </is>
      </c>
      <c r="B103" s="1" t="n">
        <v>45050.47333333334</v>
      </c>
      <c r="C103" s="1" t="n">
        <v>45967</v>
      </c>
      <c r="D103" t="inlineStr">
        <is>
          <t>STOCKHOLMS LÄN</t>
        </is>
      </c>
      <c r="E103" t="inlineStr">
        <is>
          <t>VALLENTUNA</t>
        </is>
      </c>
      <c r="G103" t="n">
        <v>0.7</v>
      </c>
      <c r="H103" t="n">
        <v>0</v>
      </c>
      <c r="I103" t="n">
        <v>0</v>
      </c>
      <c r="J103" t="n">
        <v>0</v>
      </c>
      <c r="K103" t="n">
        <v>0</v>
      </c>
      <c r="L103" t="n">
        <v>0</v>
      </c>
      <c r="M103" t="n">
        <v>0</v>
      </c>
      <c r="N103" t="n">
        <v>0</v>
      </c>
      <c r="O103" t="n">
        <v>0</v>
      </c>
      <c r="P103" t="n">
        <v>0</v>
      </c>
      <c r="Q103" t="n">
        <v>0</v>
      </c>
      <c r="R103" s="2" t="inlineStr"/>
    </row>
    <row r="104" ht="15" customHeight="1">
      <c r="A104" t="inlineStr">
        <is>
          <t>A 23009-2024</t>
        </is>
      </c>
      <c r="B104" s="1" t="n">
        <v>45450.34506944445</v>
      </c>
      <c r="C104" s="1" t="n">
        <v>45967</v>
      </c>
      <c r="D104" t="inlineStr">
        <is>
          <t>STOCKHOLMS LÄN</t>
        </is>
      </c>
      <c r="E104" t="inlineStr">
        <is>
          <t>VALLENTUNA</t>
        </is>
      </c>
      <c r="G104" t="n">
        <v>1.4</v>
      </c>
      <c r="H104" t="n">
        <v>0</v>
      </c>
      <c r="I104" t="n">
        <v>0</v>
      </c>
      <c r="J104" t="n">
        <v>0</v>
      </c>
      <c r="K104" t="n">
        <v>0</v>
      </c>
      <c r="L104" t="n">
        <v>0</v>
      </c>
      <c r="M104" t="n">
        <v>0</v>
      </c>
      <c r="N104" t="n">
        <v>0</v>
      </c>
      <c r="O104" t="n">
        <v>0</v>
      </c>
      <c r="P104" t="n">
        <v>0</v>
      </c>
      <c r="Q104" t="n">
        <v>0</v>
      </c>
      <c r="R104" s="2" t="inlineStr"/>
    </row>
    <row r="105" ht="15" customHeight="1">
      <c r="A105" t="inlineStr">
        <is>
          <t>A 50784-2025</t>
        </is>
      </c>
      <c r="B105" s="1" t="n">
        <v>45946</v>
      </c>
      <c r="C105" s="1" t="n">
        <v>45967</v>
      </c>
      <c r="D105" t="inlineStr">
        <is>
          <t>STOCKHOLMS LÄN</t>
        </is>
      </c>
      <c r="E105" t="inlineStr">
        <is>
          <t>VALLENTUNA</t>
        </is>
      </c>
      <c r="G105" t="n">
        <v>1</v>
      </c>
      <c r="H105" t="n">
        <v>0</v>
      </c>
      <c r="I105" t="n">
        <v>0</v>
      </c>
      <c r="J105" t="n">
        <v>0</v>
      </c>
      <c r="K105" t="n">
        <v>0</v>
      </c>
      <c r="L105" t="n">
        <v>0</v>
      </c>
      <c r="M105" t="n">
        <v>0</v>
      </c>
      <c r="N105" t="n">
        <v>0</v>
      </c>
      <c r="O105" t="n">
        <v>0</v>
      </c>
      <c r="P105" t="n">
        <v>0</v>
      </c>
      <c r="Q105" t="n">
        <v>0</v>
      </c>
      <c r="R105" s="2" t="inlineStr"/>
    </row>
    <row r="106" ht="15" customHeight="1">
      <c r="A106" t="inlineStr">
        <is>
          <t>A 61742-2022</t>
        </is>
      </c>
      <c r="B106" s="1" t="n">
        <v>44917</v>
      </c>
      <c r="C106" s="1" t="n">
        <v>45967</v>
      </c>
      <c r="D106" t="inlineStr">
        <is>
          <t>STOCKHOLMS LÄN</t>
        </is>
      </c>
      <c r="E106" t="inlineStr">
        <is>
          <t>VALLENTUNA</t>
        </is>
      </c>
      <c r="G106" t="n">
        <v>0.5</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45967</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21445-2023</t>
        </is>
      </c>
      <c r="B108" s="1" t="n">
        <v>45063</v>
      </c>
      <c r="C108" s="1" t="n">
        <v>45967</v>
      </c>
      <c r="D108" t="inlineStr">
        <is>
          <t>STOCKHOLMS LÄN</t>
        </is>
      </c>
      <c r="E108" t="inlineStr">
        <is>
          <t>VALLENTUNA</t>
        </is>
      </c>
      <c r="G108" t="n">
        <v>3.1</v>
      </c>
      <c r="H108" t="n">
        <v>0</v>
      </c>
      <c r="I108" t="n">
        <v>0</v>
      </c>
      <c r="J108" t="n">
        <v>0</v>
      </c>
      <c r="K108" t="n">
        <v>0</v>
      </c>
      <c r="L108" t="n">
        <v>0</v>
      </c>
      <c r="M108" t="n">
        <v>0</v>
      </c>
      <c r="N108" t="n">
        <v>0</v>
      </c>
      <c r="O108" t="n">
        <v>0</v>
      </c>
      <c r="P108" t="n">
        <v>0</v>
      </c>
      <c r="Q108" t="n">
        <v>0</v>
      </c>
      <c r="R108" s="2" t="inlineStr"/>
    </row>
    <row r="109" ht="15" customHeight="1">
      <c r="A109" t="inlineStr">
        <is>
          <t>A 22683-2023</t>
        </is>
      </c>
      <c r="B109" s="1" t="n">
        <v>45071</v>
      </c>
      <c r="C109" s="1" t="n">
        <v>45967</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23923-2025</t>
        </is>
      </c>
      <c r="B110" s="1" t="n">
        <v>45795.39648148148</v>
      </c>
      <c r="C110" s="1" t="n">
        <v>45967</v>
      </c>
      <c r="D110" t="inlineStr">
        <is>
          <t>STOCKHOLMS LÄN</t>
        </is>
      </c>
      <c r="E110" t="inlineStr">
        <is>
          <t>VALLENTUNA</t>
        </is>
      </c>
      <c r="G110" t="n">
        <v>2.3</v>
      </c>
      <c r="H110" t="n">
        <v>0</v>
      </c>
      <c r="I110" t="n">
        <v>0</v>
      </c>
      <c r="J110" t="n">
        <v>0</v>
      </c>
      <c r="K110" t="n">
        <v>0</v>
      </c>
      <c r="L110" t="n">
        <v>0</v>
      </c>
      <c r="M110" t="n">
        <v>0</v>
      </c>
      <c r="N110" t="n">
        <v>0</v>
      </c>
      <c r="O110" t="n">
        <v>0</v>
      </c>
      <c r="P110" t="n">
        <v>0</v>
      </c>
      <c r="Q110" t="n">
        <v>0</v>
      </c>
      <c r="R110" s="2" t="inlineStr"/>
    </row>
    <row r="111" ht="15" customHeight="1">
      <c r="A111" t="inlineStr">
        <is>
          <t>A 24943-2024</t>
        </is>
      </c>
      <c r="B111" s="1" t="n">
        <v>45461.62585648148</v>
      </c>
      <c r="C111" s="1" t="n">
        <v>45967</v>
      </c>
      <c r="D111" t="inlineStr">
        <is>
          <t>STOCKHOLMS LÄN</t>
        </is>
      </c>
      <c r="E111" t="inlineStr">
        <is>
          <t>VALLENTUNA</t>
        </is>
      </c>
      <c r="G111" t="n">
        <v>2</v>
      </c>
      <c r="H111" t="n">
        <v>0</v>
      </c>
      <c r="I111" t="n">
        <v>0</v>
      </c>
      <c r="J111" t="n">
        <v>0</v>
      </c>
      <c r="K111" t="n">
        <v>0</v>
      </c>
      <c r="L111" t="n">
        <v>0</v>
      </c>
      <c r="M111" t="n">
        <v>0</v>
      </c>
      <c r="N111" t="n">
        <v>0</v>
      </c>
      <c r="O111" t="n">
        <v>0</v>
      </c>
      <c r="P111" t="n">
        <v>0</v>
      </c>
      <c r="Q111" t="n">
        <v>0</v>
      </c>
      <c r="R111" s="2" t="inlineStr"/>
    </row>
    <row r="112" ht="15" customHeight="1">
      <c r="A112" t="inlineStr">
        <is>
          <t>A 5910-2022</t>
        </is>
      </c>
      <c r="B112" s="1" t="n">
        <v>44597</v>
      </c>
      <c r="C112" s="1" t="n">
        <v>45967</v>
      </c>
      <c r="D112" t="inlineStr">
        <is>
          <t>STOCKHOLMS LÄN</t>
        </is>
      </c>
      <c r="E112" t="inlineStr">
        <is>
          <t>VALLENTUNA</t>
        </is>
      </c>
      <c r="G112" t="n">
        <v>0.6</v>
      </c>
      <c r="H112" t="n">
        <v>0</v>
      </c>
      <c r="I112" t="n">
        <v>0</v>
      </c>
      <c r="J112" t="n">
        <v>0</v>
      </c>
      <c r="K112" t="n">
        <v>0</v>
      </c>
      <c r="L112" t="n">
        <v>0</v>
      </c>
      <c r="M112" t="n">
        <v>0</v>
      </c>
      <c r="N112" t="n">
        <v>0</v>
      </c>
      <c r="O112" t="n">
        <v>0</v>
      </c>
      <c r="P112" t="n">
        <v>0</v>
      </c>
      <c r="Q112" t="n">
        <v>0</v>
      </c>
      <c r="R112" s="2" t="inlineStr"/>
    </row>
    <row r="113" ht="15" customHeight="1">
      <c r="A113" t="inlineStr">
        <is>
          <t>A 60997-2022</t>
        </is>
      </c>
      <c r="B113" s="1" t="n">
        <v>44914.70746527778</v>
      </c>
      <c r="C113" s="1" t="n">
        <v>45967</v>
      </c>
      <c r="D113" t="inlineStr">
        <is>
          <t>STOCKHOLMS LÄN</t>
        </is>
      </c>
      <c r="E113" t="inlineStr">
        <is>
          <t>VALLENTUNA</t>
        </is>
      </c>
      <c r="G113" t="n">
        <v>1.8</v>
      </c>
      <c r="H113" t="n">
        <v>0</v>
      </c>
      <c r="I113" t="n">
        <v>0</v>
      </c>
      <c r="J113" t="n">
        <v>0</v>
      </c>
      <c r="K113" t="n">
        <v>0</v>
      </c>
      <c r="L113" t="n">
        <v>0</v>
      </c>
      <c r="M113" t="n">
        <v>0</v>
      </c>
      <c r="N113" t="n">
        <v>0</v>
      </c>
      <c r="O113" t="n">
        <v>0</v>
      </c>
      <c r="P113" t="n">
        <v>0</v>
      </c>
      <c r="Q113" t="n">
        <v>0</v>
      </c>
      <c r="R113" s="2" t="inlineStr"/>
    </row>
    <row r="114" ht="15" customHeight="1">
      <c r="A114" t="inlineStr">
        <is>
          <t>A 12234-2022</t>
        </is>
      </c>
      <c r="B114" s="1" t="n">
        <v>44637</v>
      </c>
      <c r="C114" s="1" t="n">
        <v>45967</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45967</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25984-2025</t>
        </is>
      </c>
      <c r="B116" s="1" t="n">
        <v>45804.64016203704</v>
      </c>
      <c r="C116" s="1" t="n">
        <v>45967</v>
      </c>
      <c r="D116" t="inlineStr">
        <is>
          <t>STOCKHOLMS LÄN</t>
        </is>
      </c>
      <c r="E116" t="inlineStr">
        <is>
          <t>VALLENTUNA</t>
        </is>
      </c>
      <c r="G116" t="n">
        <v>2.5</v>
      </c>
      <c r="H116" t="n">
        <v>0</v>
      </c>
      <c r="I116" t="n">
        <v>0</v>
      </c>
      <c r="J116" t="n">
        <v>0</v>
      </c>
      <c r="K116" t="n">
        <v>0</v>
      </c>
      <c r="L116" t="n">
        <v>0</v>
      </c>
      <c r="M116" t="n">
        <v>0</v>
      </c>
      <c r="N116" t="n">
        <v>0</v>
      </c>
      <c r="O116" t="n">
        <v>0</v>
      </c>
      <c r="P116" t="n">
        <v>0</v>
      </c>
      <c r="Q116" t="n">
        <v>0</v>
      </c>
      <c r="R116" s="2" t="inlineStr"/>
    </row>
    <row r="117" ht="15" customHeight="1">
      <c r="A117" t="inlineStr">
        <is>
          <t>A 12585-2023</t>
        </is>
      </c>
      <c r="B117" s="1" t="n">
        <v>45000.41373842592</v>
      </c>
      <c r="C117" s="1" t="n">
        <v>45967</v>
      </c>
      <c r="D117" t="inlineStr">
        <is>
          <t>STOCKHOLMS LÄN</t>
        </is>
      </c>
      <c r="E117" t="inlineStr">
        <is>
          <t>VALLENTUNA</t>
        </is>
      </c>
      <c r="G117" t="n">
        <v>3.7</v>
      </c>
      <c r="H117" t="n">
        <v>0</v>
      </c>
      <c r="I117" t="n">
        <v>0</v>
      </c>
      <c r="J117" t="n">
        <v>0</v>
      </c>
      <c r="K117" t="n">
        <v>0</v>
      </c>
      <c r="L117" t="n">
        <v>0</v>
      </c>
      <c r="M117" t="n">
        <v>0</v>
      </c>
      <c r="N117" t="n">
        <v>0</v>
      </c>
      <c r="O117" t="n">
        <v>0</v>
      </c>
      <c r="P117" t="n">
        <v>0</v>
      </c>
      <c r="Q117" t="n">
        <v>0</v>
      </c>
      <c r="R117" s="2" t="inlineStr"/>
    </row>
    <row r="118" ht="15" customHeight="1">
      <c r="A118" t="inlineStr">
        <is>
          <t>A 26390-2023</t>
        </is>
      </c>
      <c r="B118" s="1" t="n">
        <v>45086</v>
      </c>
      <c r="C118" s="1" t="n">
        <v>45967</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8787-2024</t>
        </is>
      </c>
      <c r="B119" s="1" t="n">
        <v>45356</v>
      </c>
      <c r="C119" s="1" t="n">
        <v>45967</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44988-2025</t>
        </is>
      </c>
      <c r="B120" s="1" t="n">
        <v>45918.65505787037</v>
      </c>
      <c r="C120" s="1" t="n">
        <v>45967</v>
      </c>
      <c r="D120" t="inlineStr">
        <is>
          <t>STOCKHOLMS LÄN</t>
        </is>
      </c>
      <c r="E120" t="inlineStr">
        <is>
          <t>VALLENTUNA</t>
        </is>
      </c>
      <c r="G120" t="n">
        <v>1</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45967</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45967</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45967</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27868-2025</t>
        </is>
      </c>
      <c r="B124" s="1" t="n">
        <v>45817</v>
      </c>
      <c r="C124" s="1" t="n">
        <v>45967</v>
      </c>
      <c r="D124" t="inlineStr">
        <is>
          <t>STOCKHOLMS LÄN</t>
        </is>
      </c>
      <c r="E124" t="inlineStr">
        <is>
          <t>VALLENTUNA</t>
        </is>
      </c>
      <c r="G124" t="n">
        <v>2.1</v>
      </c>
      <c r="H124" t="n">
        <v>0</v>
      </c>
      <c r="I124" t="n">
        <v>0</v>
      </c>
      <c r="J124" t="n">
        <v>0</v>
      </c>
      <c r="K124" t="n">
        <v>0</v>
      </c>
      <c r="L124" t="n">
        <v>0</v>
      </c>
      <c r="M124" t="n">
        <v>0</v>
      </c>
      <c r="N124" t="n">
        <v>0</v>
      </c>
      <c r="O124" t="n">
        <v>0</v>
      </c>
      <c r="P124" t="n">
        <v>0</v>
      </c>
      <c r="Q124" t="n">
        <v>0</v>
      </c>
      <c r="R124" s="2" t="inlineStr"/>
    </row>
    <row r="125" ht="15" customHeight="1">
      <c r="A125" t="inlineStr">
        <is>
          <t>A 54460-2025</t>
        </is>
      </c>
      <c r="B125" s="1" t="n">
        <v>45965.56219907408</v>
      </c>
      <c r="C125" s="1" t="n">
        <v>45967</v>
      </c>
      <c r="D125" t="inlineStr">
        <is>
          <t>STOCKHOLMS LÄN</t>
        </is>
      </c>
      <c r="E125" t="inlineStr">
        <is>
          <t>VALLENTUNA</t>
        </is>
      </c>
      <c r="G125" t="n">
        <v>22.9</v>
      </c>
      <c r="H125" t="n">
        <v>0</v>
      </c>
      <c r="I125" t="n">
        <v>0</v>
      </c>
      <c r="J125" t="n">
        <v>0</v>
      </c>
      <c r="K125" t="n">
        <v>0</v>
      </c>
      <c r="L125" t="n">
        <v>0</v>
      </c>
      <c r="M125" t="n">
        <v>0</v>
      </c>
      <c r="N125" t="n">
        <v>0</v>
      </c>
      <c r="O125" t="n">
        <v>0</v>
      </c>
      <c r="P125" t="n">
        <v>0</v>
      </c>
      <c r="Q125" t="n">
        <v>0</v>
      </c>
      <c r="R125" s="2" t="inlineStr"/>
    </row>
    <row r="126" ht="15" customHeight="1">
      <c r="A126" t="inlineStr">
        <is>
          <t>A 15300-2023</t>
        </is>
      </c>
      <c r="B126" s="1" t="n">
        <v>45019</v>
      </c>
      <c r="C126" s="1" t="n">
        <v>45967</v>
      </c>
      <c r="D126" t="inlineStr">
        <is>
          <t>STOCKHOLMS LÄN</t>
        </is>
      </c>
      <c r="E126" t="inlineStr">
        <is>
          <t>VALLENTUNA</t>
        </is>
      </c>
      <c r="G126" t="n">
        <v>1.7</v>
      </c>
      <c r="H126" t="n">
        <v>0</v>
      </c>
      <c r="I126" t="n">
        <v>0</v>
      </c>
      <c r="J126" t="n">
        <v>0</v>
      </c>
      <c r="K126" t="n">
        <v>0</v>
      </c>
      <c r="L126" t="n">
        <v>0</v>
      </c>
      <c r="M126" t="n">
        <v>0</v>
      </c>
      <c r="N126" t="n">
        <v>0</v>
      </c>
      <c r="O126" t="n">
        <v>0</v>
      </c>
      <c r="P126" t="n">
        <v>0</v>
      </c>
      <c r="Q126" t="n">
        <v>0</v>
      </c>
      <c r="R126" s="2" t="inlineStr"/>
    </row>
    <row r="127" ht="15" customHeight="1">
      <c r="A127" t="inlineStr">
        <is>
          <t>A 54466-2025</t>
        </is>
      </c>
      <c r="B127" s="1" t="n">
        <v>45965.56984953704</v>
      </c>
      <c r="C127" s="1" t="n">
        <v>45967</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27870-2025</t>
        </is>
      </c>
      <c r="B128" s="1" t="n">
        <v>45817</v>
      </c>
      <c r="C128" s="1" t="n">
        <v>45967</v>
      </c>
      <c r="D128" t="inlineStr">
        <is>
          <t>STOCKHOLMS LÄN</t>
        </is>
      </c>
      <c r="E128" t="inlineStr">
        <is>
          <t>VALLENTUNA</t>
        </is>
      </c>
      <c r="G128" t="n">
        <v>2.3</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45967</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45967</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29704-2023</t>
        </is>
      </c>
      <c r="B131" s="1" t="n">
        <v>45107</v>
      </c>
      <c r="C131" s="1" t="n">
        <v>45967</v>
      </c>
      <c r="D131" t="inlineStr">
        <is>
          <t>STOCKHOLMS LÄN</t>
        </is>
      </c>
      <c r="E131" t="inlineStr">
        <is>
          <t>VALLENTUNA</t>
        </is>
      </c>
      <c r="G131" t="n">
        <v>3.7</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45967</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45496-2023</t>
        </is>
      </c>
      <c r="B133" s="1" t="n">
        <v>45194</v>
      </c>
      <c r="C133" s="1" t="n">
        <v>45967</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45967</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45967</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45967</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45967</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30902-2025</t>
        </is>
      </c>
      <c r="B138" s="1" t="n">
        <v>45832.36104166666</v>
      </c>
      <c r="C138" s="1" t="n">
        <v>45967</v>
      </c>
      <c r="D138" t="inlineStr">
        <is>
          <t>STOCKHOLMS LÄN</t>
        </is>
      </c>
      <c r="E138" t="inlineStr">
        <is>
          <t>VALLENTUNA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735-2024</t>
        </is>
      </c>
      <c r="B139" s="1" t="n">
        <v>45300</v>
      </c>
      <c r="C139" s="1" t="n">
        <v>45967</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17411-2023</t>
        </is>
      </c>
      <c r="B140" s="1" t="n">
        <v>45035.82512731481</v>
      </c>
      <c r="C140" s="1" t="n">
        <v>45967</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45967</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28431-2025</t>
        </is>
      </c>
      <c r="B142" s="1" t="n">
        <v>45819.38072916667</v>
      </c>
      <c r="C142" s="1" t="n">
        <v>45967</v>
      </c>
      <c r="D142" t="inlineStr">
        <is>
          <t>STOCKHOLMS LÄN</t>
        </is>
      </c>
      <c r="E142" t="inlineStr">
        <is>
          <t>VALLENTUNA</t>
        </is>
      </c>
      <c r="G142" t="n">
        <v>1.5</v>
      </c>
      <c r="H142" t="n">
        <v>0</v>
      </c>
      <c r="I142" t="n">
        <v>0</v>
      </c>
      <c r="J142" t="n">
        <v>0</v>
      </c>
      <c r="K142" t="n">
        <v>0</v>
      </c>
      <c r="L142" t="n">
        <v>0</v>
      </c>
      <c r="M142" t="n">
        <v>0</v>
      </c>
      <c r="N142" t="n">
        <v>0</v>
      </c>
      <c r="O142" t="n">
        <v>0</v>
      </c>
      <c r="P142" t="n">
        <v>0</v>
      </c>
      <c r="Q142" t="n">
        <v>0</v>
      </c>
      <c r="R142" s="2" t="inlineStr"/>
    </row>
    <row r="143">
      <c r="A143" t="inlineStr">
        <is>
          <t>A 44346-2021</t>
        </is>
      </c>
      <c r="B143" s="1" t="n">
        <v>44434</v>
      </c>
      <c r="C143" s="1" t="n">
        <v>45967</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2025-11-06T10:18:57Z</dcterms:created>
  <dcterms:modified xmlns:dcterms="http://purl.org/dc/terms/" xmlns:xsi="http://www.w3.org/2001/XMLSchema-instance" xsi:type="dcterms:W3CDTF">2025-11-06T10:18:57Z</dcterms:modified>
</cp:coreProperties>
</file>