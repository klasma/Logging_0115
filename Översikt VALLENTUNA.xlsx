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46011</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46011</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46011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46011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46011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46011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46011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46011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46011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46011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46011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46011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46011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46011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46011</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46011</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46011</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46011</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46011</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46011</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46011</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46011</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46011</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46011</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46011</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46011</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46011</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46011</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22830-2024</t>
        </is>
      </c>
      <c r="B30" s="1" t="n">
        <v>45448.56583333333</v>
      </c>
      <c r="C30" s="1" t="n">
        <v>46011</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7890-2023</t>
        </is>
      </c>
      <c r="B31" s="1" t="n">
        <v>44973</v>
      </c>
      <c r="C31" s="1" t="n">
        <v>46011</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54481-2025</t>
        </is>
      </c>
      <c r="B32" s="1" t="n">
        <v>45965.58837962963</v>
      </c>
      <c r="C32" s="1" t="n">
        <v>46011</v>
      </c>
      <c r="D32" t="inlineStr">
        <is>
          <t>STOCKHOLMS LÄN</t>
        </is>
      </c>
      <c r="E32" t="inlineStr">
        <is>
          <t>VALLENTUNA</t>
        </is>
      </c>
      <c r="G32" t="n">
        <v>1.4</v>
      </c>
      <c r="H32" t="n">
        <v>0</v>
      </c>
      <c r="I32" t="n">
        <v>0</v>
      </c>
      <c r="J32" t="n">
        <v>1</v>
      </c>
      <c r="K32" t="n">
        <v>0</v>
      </c>
      <c r="L32" t="n">
        <v>0</v>
      </c>
      <c r="M32" t="n">
        <v>0</v>
      </c>
      <c r="N32" t="n">
        <v>0</v>
      </c>
      <c r="O32" t="n">
        <v>1</v>
      </c>
      <c r="P32" t="n">
        <v>0</v>
      </c>
      <c r="Q32" t="n">
        <v>1</v>
      </c>
      <c r="R32" s="2" t="inlineStr">
        <is>
          <t>Gullklöver</t>
        </is>
      </c>
      <c r="S32">
        <f>HYPERLINK("https://klasma.github.io/Logging_0115/artfynd/A 54481-2025 artfynd.xlsx", "A 54481-2025")</f>
        <v/>
      </c>
      <c r="T32">
        <f>HYPERLINK("https://klasma.github.io/Logging_0115/kartor/A 54481-2025 karta.png", "A 54481-2025")</f>
        <v/>
      </c>
      <c r="V32">
        <f>HYPERLINK("https://klasma.github.io/Logging_0115/klagomål/A 54481-2025 FSC-klagomål.docx", "A 54481-2025")</f>
        <v/>
      </c>
      <c r="W32">
        <f>HYPERLINK("https://klasma.github.io/Logging_0115/klagomålsmail/A 54481-2025 FSC-klagomål mail.docx", "A 54481-2025")</f>
        <v/>
      </c>
      <c r="X32">
        <f>HYPERLINK("https://klasma.github.io/Logging_0115/tillsyn/A 54481-2025 tillsynsbegäran.docx", "A 54481-2025")</f>
        <v/>
      </c>
      <c r="Y32">
        <f>HYPERLINK("https://klasma.github.io/Logging_0115/tillsynsmail/A 54481-2025 tillsynsbegäran mail.docx", "A 54481-2025")</f>
        <v/>
      </c>
    </row>
    <row r="33" ht="15" customHeight="1">
      <c r="A33" t="inlineStr">
        <is>
          <t>A 21-2022</t>
        </is>
      </c>
      <c r="B33" s="1" t="n">
        <v>44560</v>
      </c>
      <c r="C33" s="1" t="n">
        <v>46011</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17341-2025</t>
        </is>
      </c>
      <c r="B34" s="1" t="n">
        <v>45756</v>
      </c>
      <c r="C34" s="1" t="n">
        <v>46011</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34458-2023</t>
        </is>
      </c>
      <c r="B35" s="1" t="n">
        <v>45139</v>
      </c>
      <c r="C35" s="1" t="n">
        <v>46011</v>
      </c>
      <c r="D35" t="inlineStr">
        <is>
          <t>STOCKHOLMS LÄN</t>
        </is>
      </c>
      <c r="E35" t="inlineStr">
        <is>
          <t>VALLENTUNA</t>
        </is>
      </c>
      <c r="G35" t="n">
        <v>2.5</v>
      </c>
      <c r="H35" t="n">
        <v>0</v>
      </c>
      <c r="I35" t="n">
        <v>0</v>
      </c>
      <c r="J35" t="n">
        <v>1</v>
      </c>
      <c r="K35" t="n">
        <v>0</v>
      </c>
      <c r="L35" t="n">
        <v>0</v>
      </c>
      <c r="M35" t="n">
        <v>0</v>
      </c>
      <c r="N35" t="n">
        <v>0</v>
      </c>
      <c r="O35" t="n">
        <v>1</v>
      </c>
      <c r="P35" t="n">
        <v>0</v>
      </c>
      <c r="Q35" t="n">
        <v>1</v>
      </c>
      <c r="R35" s="2" t="inlineStr">
        <is>
          <t>Motaggsvamp</t>
        </is>
      </c>
      <c r="S35">
        <f>HYPERLINK("https://klasma.github.io/Logging_0115/artfynd/A 34458-2023 artfynd.xlsx", "A 34458-2023")</f>
        <v/>
      </c>
      <c r="T35">
        <f>HYPERLINK("https://klasma.github.io/Logging_0115/kartor/A 34458-2023 karta.png", "A 34458-2023")</f>
        <v/>
      </c>
      <c r="V35">
        <f>HYPERLINK("https://klasma.github.io/Logging_0115/klagomål/A 34458-2023 FSC-klagomål.docx", "A 34458-2023")</f>
        <v/>
      </c>
      <c r="W35">
        <f>HYPERLINK("https://klasma.github.io/Logging_0115/klagomålsmail/A 34458-2023 FSC-klagomål mail.docx", "A 34458-2023")</f>
        <v/>
      </c>
      <c r="X35">
        <f>HYPERLINK("https://klasma.github.io/Logging_0115/tillsyn/A 34458-2023 tillsynsbegäran.docx", "A 34458-2023")</f>
        <v/>
      </c>
      <c r="Y35">
        <f>HYPERLINK("https://klasma.github.io/Logging_0115/tillsynsmail/A 34458-2023 tillsynsbegäran mail.docx", "A 34458-2023")</f>
        <v/>
      </c>
    </row>
    <row r="36" ht="15" customHeight="1">
      <c r="A36" t="inlineStr">
        <is>
          <t>A 34460-2023</t>
        </is>
      </c>
      <c r="B36" s="1" t="n">
        <v>45139</v>
      </c>
      <c r="C36" s="1" t="n">
        <v>46011</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21439-2025</t>
        </is>
      </c>
      <c r="B37" s="1" t="n">
        <v>45782.52939814814</v>
      </c>
      <c r="C37" s="1" t="n">
        <v>46011</v>
      </c>
      <c r="D37" t="inlineStr">
        <is>
          <t>STOCKHOLMS LÄN</t>
        </is>
      </c>
      <c r="E37" t="inlineStr">
        <is>
          <t>VALLENTUNA</t>
        </is>
      </c>
      <c r="G37" t="n">
        <v>2.1</v>
      </c>
      <c r="H37" t="n">
        <v>0</v>
      </c>
      <c r="I37" t="n">
        <v>1</v>
      </c>
      <c r="J37" t="n">
        <v>0</v>
      </c>
      <c r="K37" t="n">
        <v>0</v>
      </c>
      <c r="L37" t="n">
        <v>0</v>
      </c>
      <c r="M37" t="n">
        <v>0</v>
      </c>
      <c r="N37" t="n">
        <v>0</v>
      </c>
      <c r="O37" t="n">
        <v>0</v>
      </c>
      <c r="P37" t="n">
        <v>0</v>
      </c>
      <c r="Q37" t="n">
        <v>1</v>
      </c>
      <c r="R37" s="2" t="inlineStr">
        <is>
          <t>Mindre märgborre</t>
        </is>
      </c>
      <c r="S37">
        <f>HYPERLINK("https://klasma.github.io/Logging_0115/artfynd/A 21439-2025 artfynd.xlsx", "A 21439-2025")</f>
        <v/>
      </c>
      <c r="T37">
        <f>HYPERLINK("https://klasma.github.io/Logging_0115/kartor/A 21439-2025 karta.png", "A 21439-2025")</f>
        <v/>
      </c>
      <c r="V37">
        <f>HYPERLINK("https://klasma.github.io/Logging_0115/klagomål/A 21439-2025 FSC-klagomål.docx", "A 21439-2025")</f>
        <v/>
      </c>
      <c r="W37">
        <f>HYPERLINK("https://klasma.github.io/Logging_0115/klagomålsmail/A 21439-2025 FSC-klagomål mail.docx", "A 21439-2025")</f>
        <v/>
      </c>
      <c r="X37">
        <f>HYPERLINK("https://klasma.github.io/Logging_0115/tillsyn/A 21439-2025 tillsynsbegäran.docx", "A 21439-2025")</f>
        <v/>
      </c>
      <c r="Y37">
        <f>HYPERLINK("https://klasma.github.io/Logging_0115/tillsynsmail/A 21439-2025 tillsynsbegäran mail.docx", "A 21439-2025")</f>
        <v/>
      </c>
    </row>
    <row r="38" ht="15" customHeight="1">
      <c r="A38" t="inlineStr">
        <is>
          <t>A 22936-2025</t>
        </is>
      </c>
      <c r="B38" s="1" t="n">
        <v>45790.45738425926</v>
      </c>
      <c r="C38" s="1" t="n">
        <v>46011</v>
      </c>
      <c r="D38" t="inlineStr">
        <is>
          <t>STOCKHOLMS LÄN</t>
        </is>
      </c>
      <c r="E38" t="inlineStr">
        <is>
          <t>VALLENTUNA</t>
        </is>
      </c>
      <c r="G38" t="n">
        <v>2.7</v>
      </c>
      <c r="H38" t="n">
        <v>0</v>
      </c>
      <c r="I38" t="n">
        <v>1</v>
      </c>
      <c r="J38" t="n">
        <v>0</v>
      </c>
      <c r="K38" t="n">
        <v>0</v>
      </c>
      <c r="L38" t="n">
        <v>0</v>
      </c>
      <c r="M38" t="n">
        <v>0</v>
      </c>
      <c r="N38" t="n">
        <v>0</v>
      </c>
      <c r="O38" t="n">
        <v>0</v>
      </c>
      <c r="P38" t="n">
        <v>0</v>
      </c>
      <c r="Q38" t="n">
        <v>1</v>
      </c>
      <c r="R38" s="2" t="inlineStr">
        <is>
          <t>Björksplintborre</t>
        </is>
      </c>
      <c r="S38">
        <f>HYPERLINK("https://klasma.github.io/Logging_0115/artfynd/A 22936-2025 artfynd.xlsx", "A 22936-2025")</f>
        <v/>
      </c>
      <c r="T38">
        <f>HYPERLINK("https://klasma.github.io/Logging_0115/kartor/A 22936-2025 karta.png", "A 22936-2025")</f>
        <v/>
      </c>
      <c r="V38">
        <f>HYPERLINK("https://klasma.github.io/Logging_0115/klagomål/A 22936-2025 FSC-klagomål.docx", "A 22936-2025")</f>
        <v/>
      </c>
      <c r="W38">
        <f>HYPERLINK("https://klasma.github.io/Logging_0115/klagomålsmail/A 22936-2025 FSC-klagomål mail.docx", "A 22936-2025")</f>
        <v/>
      </c>
      <c r="X38">
        <f>HYPERLINK("https://klasma.github.io/Logging_0115/tillsyn/A 22936-2025 tillsynsbegäran.docx", "A 22936-2025")</f>
        <v/>
      </c>
      <c r="Y38">
        <f>HYPERLINK("https://klasma.github.io/Logging_0115/tillsynsmail/A 22936-2025 tillsynsbegäran mail.docx", "A 22936-2025")</f>
        <v/>
      </c>
    </row>
    <row r="39" ht="15" customHeight="1">
      <c r="A39" t="inlineStr">
        <is>
          <t>A 20612-2021</t>
        </is>
      </c>
      <c r="B39" s="1" t="n">
        <v>44315</v>
      </c>
      <c r="C39" s="1" t="n">
        <v>46011</v>
      </c>
      <c r="D39" t="inlineStr">
        <is>
          <t>STOCKHOLMS LÄN</t>
        </is>
      </c>
      <c r="E39" t="inlineStr">
        <is>
          <t>VALLENTUNA</t>
        </is>
      </c>
      <c r="F39" t="inlineStr">
        <is>
          <t>Övriga Aktiebolag</t>
        </is>
      </c>
      <c r="G39" t="n">
        <v>1.2</v>
      </c>
      <c r="H39" t="n">
        <v>0</v>
      </c>
      <c r="I39" t="n">
        <v>0</v>
      </c>
      <c r="J39" t="n">
        <v>0</v>
      </c>
      <c r="K39" t="n">
        <v>0</v>
      </c>
      <c r="L39" t="n">
        <v>0</v>
      </c>
      <c r="M39" t="n">
        <v>0</v>
      </c>
      <c r="N39" t="n">
        <v>0</v>
      </c>
      <c r="O39" t="n">
        <v>0</v>
      </c>
      <c r="P39" t="n">
        <v>0</v>
      </c>
      <c r="Q39" t="n">
        <v>0</v>
      </c>
      <c r="R39" s="2" t="inlineStr"/>
    </row>
    <row r="40" ht="15" customHeight="1">
      <c r="A40" t="inlineStr">
        <is>
          <t>A 8089-2022</t>
        </is>
      </c>
      <c r="B40" s="1" t="n">
        <v>44609.53716435185</v>
      </c>
      <c r="C40" s="1" t="n">
        <v>46011</v>
      </c>
      <c r="D40" t="inlineStr">
        <is>
          <t>STOCKHOLMS LÄN</t>
        </is>
      </c>
      <c r="E40" t="inlineStr">
        <is>
          <t>VALLENTUNA</t>
        </is>
      </c>
      <c r="G40" t="n">
        <v>3.3</v>
      </c>
      <c r="H40" t="n">
        <v>0</v>
      </c>
      <c r="I40" t="n">
        <v>0</v>
      </c>
      <c r="J40" t="n">
        <v>0</v>
      </c>
      <c r="K40" t="n">
        <v>0</v>
      </c>
      <c r="L40" t="n">
        <v>0</v>
      </c>
      <c r="M40" t="n">
        <v>0</v>
      </c>
      <c r="N40" t="n">
        <v>0</v>
      </c>
      <c r="O40" t="n">
        <v>0</v>
      </c>
      <c r="P40" t="n">
        <v>0</v>
      </c>
      <c r="Q40" t="n">
        <v>0</v>
      </c>
      <c r="R40" s="2" t="inlineStr"/>
    </row>
    <row r="41" ht="15" customHeight="1">
      <c r="A41" t="inlineStr">
        <is>
          <t>A 8791-2021</t>
        </is>
      </c>
      <c r="B41" s="1" t="n">
        <v>44246</v>
      </c>
      <c r="C41" s="1" t="n">
        <v>46011</v>
      </c>
      <c r="D41" t="inlineStr">
        <is>
          <t>STOCKHOLMS LÄN</t>
        </is>
      </c>
      <c r="E41" t="inlineStr">
        <is>
          <t>VALLENTUNA</t>
        </is>
      </c>
      <c r="G41" t="n">
        <v>0.8</v>
      </c>
      <c r="H41" t="n">
        <v>0</v>
      </c>
      <c r="I41" t="n">
        <v>0</v>
      </c>
      <c r="J41" t="n">
        <v>0</v>
      </c>
      <c r="K41" t="n">
        <v>0</v>
      </c>
      <c r="L41" t="n">
        <v>0</v>
      </c>
      <c r="M41" t="n">
        <v>0</v>
      </c>
      <c r="N41" t="n">
        <v>0</v>
      </c>
      <c r="O41" t="n">
        <v>0</v>
      </c>
      <c r="P41" t="n">
        <v>0</v>
      </c>
      <c r="Q41" t="n">
        <v>0</v>
      </c>
      <c r="R41" s="2" t="inlineStr"/>
    </row>
    <row r="42" ht="15" customHeight="1">
      <c r="A42" t="inlineStr">
        <is>
          <t>A 9442-2022</t>
        </is>
      </c>
      <c r="B42" s="1" t="n">
        <v>44616</v>
      </c>
      <c r="C42" s="1" t="n">
        <v>46011</v>
      </c>
      <c r="D42" t="inlineStr">
        <is>
          <t>STOCKHOLMS LÄN</t>
        </is>
      </c>
      <c r="E42" t="inlineStr">
        <is>
          <t>VALLENTUNA</t>
        </is>
      </c>
      <c r="G42" t="n">
        <v>3</v>
      </c>
      <c r="H42" t="n">
        <v>0</v>
      </c>
      <c r="I42" t="n">
        <v>0</v>
      </c>
      <c r="J42" t="n">
        <v>0</v>
      </c>
      <c r="K42" t="n">
        <v>0</v>
      </c>
      <c r="L42" t="n">
        <v>0</v>
      </c>
      <c r="M42" t="n">
        <v>0</v>
      </c>
      <c r="N42" t="n">
        <v>0</v>
      </c>
      <c r="O42" t="n">
        <v>0</v>
      </c>
      <c r="P42" t="n">
        <v>0</v>
      </c>
      <c r="Q42" t="n">
        <v>0</v>
      </c>
      <c r="R42" s="2" t="inlineStr"/>
    </row>
    <row r="43" ht="15" customHeight="1">
      <c r="A43" t="inlineStr">
        <is>
          <t>A 14434-2021</t>
        </is>
      </c>
      <c r="B43" s="1" t="n">
        <v>44279</v>
      </c>
      <c r="C43" s="1" t="n">
        <v>46011</v>
      </c>
      <c r="D43" t="inlineStr">
        <is>
          <t>STOCKHOLMS LÄN</t>
        </is>
      </c>
      <c r="E43" t="inlineStr">
        <is>
          <t>VALLENTUNA</t>
        </is>
      </c>
      <c r="G43" t="n">
        <v>2</v>
      </c>
      <c r="H43" t="n">
        <v>0</v>
      </c>
      <c r="I43" t="n">
        <v>0</v>
      </c>
      <c r="J43" t="n">
        <v>0</v>
      </c>
      <c r="K43" t="n">
        <v>0</v>
      </c>
      <c r="L43" t="n">
        <v>0</v>
      </c>
      <c r="M43" t="n">
        <v>0</v>
      </c>
      <c r="N43" t="n">
        <v>0</v>
      </c>
      <c r="O43" t="n">
        <v>0</v>
      </c>
      <c r="P43" t="n">
        <v>0</v>
      </c>
      <c r="Q43" t="n">
        <v>0</v>
      </c>
      <c r="R43" s="2" t="inlineStr"/>
    </row>
    <row r="44" ht="15" customHeight="1">
      <c r="A44" t="inlineStr">
        <is>
          <t>A 178-2022</t>
        </is>
      </c>
      <c r="B44" s="1" t="n">
        <v>44560</v>
      </c>
      <c r="C44" s="1" t="n">
        <v>46011</v>
      </c>
      <c r="D44" t="inlineStr">
        <is>
          <t>STOCKHOLMS LÄN</t>
        </is>
      </c>
      <c r="E44" t="inlineStr">
        <is>
          <t>VALLENTUNA</t>
        </is>
      </c>
      <c r="F44" t="inlineStr">
        <is>
          <t>Övriga Aktiebolag</t>
        </is>
      </c>
      <c r="G44" t="n">
        <v>1.5</v>
      </c>
      <c r="H44" t="n">
        <v>0</v>
      </c>
      <c r="I44" t="n">
        <v>0</v>
      </c>
      <c r="J44" t="n">
        <v>0</v>
      </c>
      <c r="K44" t="n">
        <v>0</v>
      </c>
      <c r="L44" t="n">
        <v>0</v>
      </c>
      <c r="M44" t="n">
        <v>0</v>
      </c>
      <c r="N44" t="n">
        <v>0</v>
      </c>
      <c r="O44" t="n">
        <v>0</v>
      </c>
      <c r="P44" t="n">
        <v>0</v>
      </c>
      <c r="Q44" t="n">
        <v>0</v>
      </c>
      <c r="R44" s="2" t="inlineStr"/>
    </row>
    <row r="45" ht="15" customHeight="1">
      <c r="A45" t="inlineStr">
        <is>
          <t>A 22060-2021</t>
        </is>
      </c>
      <c r="B45" s="1" t="n">
        <v>44323</v>
      </c>
      <c r="C45" s="1" t="n">
        <v>46011</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242-2022</t>
        </is>
      </c>
      <c r="B46" s="1" t="n">
        <v>44560</v>
      </c>
      <c r="C46" s="1" t="n">
        <v>46011</v>
      </c>
      <c r="D46" t="inlineStr">
        <is>
          <t>STOCKHOLMS LÄN</t>
        </is>
      </c>
      <c r="E46" t="inlineStr">
        <is>
          <t>VALLENTUNA</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2867-2022</t>
        </is>
      </c>
      <c r="B47" s="1" t="n">
        <v>44581</v>
      </c>
      <c r="C47" s="1" t="n">
        <v>46011</v>
      </c>
      <c r="D47" t="inlineStr">
        <is>
          <t>STOCKHOLMS LÄN</t>
        </is>
      </c>
      <c r="E47" t="inlineStr">
        <is>
          <t>VALLENTUNA</t>
        </is>
      </c>
      <c r="G47" t="n">
        <v>1.6</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46011</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46011</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46011</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46011</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46011</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46011</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37657-2021</t>
        </is>
      </c>
      <c r="B54" s="1" t="n">
        <v>44400</v>
      </c>
      <c r="C54" s="1" t="n">
        <v>46011</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48078-2021</t>
        </is>
      </c>
      <c r="B55" s="1" t="n">
        <v>44449.42578703703</v>
      </c>
      <c r="C55" s="1" t="n">
        <v>46011</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42624-2021</t>
        </is>
      </c>
      <c r="B56" s="1" t="n">
        <v>44428</v>
      </c>
      <c r="C56" s="1" t="n">
        <v>46011</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14725-2022</t>
        </is>
      </c>
      <c r="B57" s="1" t="n">
        <v>44655</v>
      </c>
      <c r="C57" s="1" t="n">
        <v>46011</v>
      </c>
      <c r="D57" t="inlineStr">
        <is>
          <t>STOCKHOLMS LÄN</t>
        </is>
      </c>
      <c r="E57" t="inlineStr">
        <is>
          <t>VALLENTUNA</t>
        </is>
      </c>
      <c r="G57" t="n">
        <v>0.6</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46011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49530-2023</t>
        </is>
      </c>
      <c r="B59" s="1" t="n">
        <v>45205</v>
      </c>
      <c r="C59" s="1" t="n">
        <v>46011</v>
      </c>
      <c r="D59" t="inlineStr">
        <is>
          <t>STOCKHOLMS LÄN</t>
        </is>
      </c>
      <c r="E59" t="inlineStr">
        <is>
          <t>VALLENTUNA</t>
        </is>
      </c>
      <c r="G59" t="n">
        <v>1.2</v>
      </c>
      <c r="H59" t="n">
        <v>0</v>
      </c>
      <c r="I59" t="n">
        <v>0</v>
      </c>
      <c r="J59" t="n">
        <v>0</v>
      </c>
      <c r="K59" t="n">
        <v>0</v>
      </c>
      <c r="L59" t="n">
        <v>0</v>
      </c>
      <c r="M59" t="n">
        <v>0</v>
      </c>
      <c r="N59" t="n">
        <v>0</v>
      </c>
      <c r="O59" t="n">
        <v>0</v>
      </c>
      <c r="P59" t="n">
        <v>0</v>
      </c>
      <c r="Q59" t="n">
        <v>0</v>
      </c>
      <c r="R59" s="2" t="inlineStr"/>
    </row>
    <row r="60" ht="15" customHeight="1">
      <c r="A60" t="inlineStr">
        <is>
          <t>A 24994-2021</t>
        </is>
      </c>
      <c r="B60" s="1" t="n">
        <v>44341</v>
      </c>
      <c r="C60" s="1" t="n">
        <v>46011</v>
      </c>
      <c r="D60" t="inlineStr">
        <is>
          <t>STOCKHOLMS LÄN</t>
        </is>
      </c>
      <c r="E60" t="inlineStr">
        <is>
          <t>VALLENTUNA</t>
        </is>
      </c>
      <c r="G60" t="n">
        <v>2.6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46011</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46011</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60795-2023</t>
        </is>
      </c>
      <c r="B63" s="1" t="n">
        <v>45260</v>
      </c>
      <c r="C63" s="1" t="n">
        <v>46011</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46011</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23923-2025</t>
        </is>
      </c>
      <c r="B65" s="1" t="n">
        <v>45795.39648148148</v>
      </c>
      <c r="C65" s="1" t="n">
        <v>46011</v>
      </c>
      <c r="D65" t="inlineStr">
        <is>
          <t>STOCKHOLMS LÄN</t>
        </is>
      </c>
      <c r="E65" t="inlineStr">
        <is>
          <t>VALLENTUNA</t>
        </is>
      </c>
      <c r="G65" t="n">
        <v>2.3</v>
      </c>
      <c r="H65" t="n">
        <v>0</v>
      </c>
      <c r="I65" t="n">
        <v>0</v>
      </c>
      <c r="J65" t="n">
        <v>0</v>
      </c>
      <c r="K65" t="n">
        <v>0</v>
      </c>
      <c r="L65" t="n">
        <v>0</v>
      </c>
      <c r="M65" t="n">
        <v>0</v>
      </c>
      <c r="N65" t="n">
        <v>0</v>
      </c>
      <c r="O65" t="n">
        <v>0</v>
      </c>
      <c r="P65" t="n">
        <v>0</v>
      </c>
      <c r="Q65" t="n">
        <v>0</v>
      </c>
      <c r="R65" s="2" t="inlineStr"/>
    </row>
    <row r="66" ht="15" customHeight="1">
      <c r="A66" t="inlineStr">
        <is>
          <t>A 30913-2021</t>
        </is>
      </c>
      <c r="B66" s="1" t="n">
        <v>44365</v>
      </c>
      <c r="C66" s="1" t="n">
        <v>46011</v>
      </c>
      <c r="D66" t="inlineStr">
        <is>
          <t>STOCKHOLMS LÄN</t>
        </is>
      </c>
      <c r="E66" t="inlineStr">
        <is>
          <t>VALLENTUNA</t>
        </is>
      </c>
      <c r="F66" t="inlineStr">
        <is>
          <t>Övriga Aktiebolag</t>
        </is>
      </c>
      <c r="G66" t="n">
        <v>3.3</v>
      </c>
      <c r="H66" t="n">
        <v>0</v>
      </c>
      <c r="I66" t="n">
        <v>0</v>
      </c>
      <c r="J66" t="n">
        <v>0</v>
      </c>
      <c r="K66" t="n">
        <v>0</v>
      </c>
      <c r="L66" t="n">
        <v>0</v>
      </c>
      <c r="M66" t="n">
        <v>0</v>
      </c>
      <c r="N66" t="n">
        <v>0</v>
      </c>
      <c r="O66" t="n">
        <v>0</v>
      </c>
      <c r="P66" t="n">
        <v>0</v>
      </c>
      <c r="Q66" t="n">
        <v>0</v>
      </c>
      <c r="R66" s="2" t="inlineStr"/>
    </row>
    <row r="67" ht="15" customHeight="1">
      <c r="A67" t="inlineStr">
        <is>
          <t>A 25984-2025</t>
        </is>
      </c>
      <c r="B67" s="1" t="n">
        <v>45804.64016203704</v>
      </c>
      <c r="C67" s="1" t="n">
        <v>46011</v>
      </c>
      <c r="D67" t="inlineStr">
        <is>
          <t>STOCKHOLMS LÄN</t>
        </is>
      </c>
      <c r="E67" t="inlineStr">
        <is>
          <t>VALLENTUNA</t>
        </is>
      </c>
      <c r="G67" t="n">
        <v>2.5</v>
      </c>
      <c r="H67" t="n">
        <v>0</v>
      </c>
      <c r="I67" t="n">
        <v>0</v>
      </c>
      <c r="J67" t="n">
        <v>0</v>
      </c>
      <c r="K67" t="n">
        <v>0</v>
      </c>
      <c r="L67" t="n">
        <v>0</v>
      </c>
      <c r="M67" t="n">
        <v>0</v>
      </c>
      <c r="N67" t="n">
        <v>0</v>
      </c>
      <c r="O67" t="n">
        <v>0</v>
      </c>
      <c r="P67" t="n">
        <v>0</v>
      </c>
      <c r="Q67" t="n">
        <v>0</v>
      </c>
      <c r="R67" s="2" t="inlineStr"/>
    </row>
    <row r="68" ht="15" customHeight="1">
      <c r="A68" t="inlineStr">
        <is>
          <t>A 48068-2021</t>
        </is>
      </c>
      <c r="B68" s="1" t="n">
        <v>44449.42270833333</v>
      </c>
      <c r="C68" s="1" t="n">
        <v>46011</v>
      </c>
      <c r="D68" t="inlineStr">
        <is>
          <t>STOCKHOLMS LÄN</t>
        </is>
      </c>
      <c r="E68" t="inlineStr">
        <is>
          <t>VALLENTUNA</t>
        </is>
      </c>
      <c r="G68" t="n">
        <v>1.3</v>
      </c>
      <c r="H68" t="n">
        <v>0</v>
      </c>
      <c r="I68" t="n">
        <v>0</v>
      </c>
      <c r="J68" t="n">
        <v>0</v>
      </c>
      <c r="K68" t="n">
        <v>0</v>
      </c>
      <c r="L68" t="n">
        <v>0</v>
      </c>
      <c r="M68" t="n">
        <v>0</v>
      </c>
      <c r="N68" t="n">
        <v>0</v>
      </c>
      <c r="O68" t="n">
        <v>0</v>
      </c>
      <c r="P68" t="n">
        <v>0</v>
      </c>
      <c r="Q68" t="n">
        <v>0</v>
      </c>
      <c r="R68" s="2" t="inlineStr"/>
    </row>
    <row r="69" ht="15" customHeight="1">
      <c r="A69" t="inlineStr">
        <is>
          <t>A 3937-2022</t>
        </is>
      </c>
      <c r="B69" s="1" t="n">
        <v>44587</v>
      </c>
      <c r="C69" s="1" t="n">
        <v>46011</v>
      </c>
      <c r="D69" t="inlineStr">
        <is>
          <t>STOCKHOLMS LÄN</t>
        </is>
      </c>
      <c r="E69" t="inlineStr">
        <is>
          <t>VALLENTUNA</t>
        </is>
      </c>
      <c r="G69" t="n">
        <v>6.6</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46011</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60818-2023</t>
        </is>
      </c>
      <c r="B71" s="1" t="n">
        <v>45259</v>
      </c>
      <c r="C71" s="1" t="n">
        <v>46011</v>
      </c>
      <c r="D71" t="inlineStr">
        <is>
          <t>STOCKHOLMS LÄN</t>
        </is>
      </c>
      <c r="E71" t="inlineStr">
        <is>
          <t>VALLENTUNA</t>
        </is>
      </c>
      <c r="G71" t="n">
        <v>9.4</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46011</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30902-2025</t>
        </is>
      </c>
      <c r="B73" s="1" t="n">
        <v>45832.36104166666</v>
      </c>
      <c r="C73" s="1" t="n">
        <v>46011</v>
      </c>
      <c r="D73" t="inlineStr">
        <is>
          <t>STOCKHOLMS LÄN</t>
        </is>
      </c>
      <c r="E73" t="inlineStr">
        <is>
          <t>VALLENTUNA</t>
        </is>
      </c>
      <c r="G73" t="n">
        <v>8.199999999999999</v>
      </c>
      <c r="H73" t="n">
        <v>0</v>
      </c>
      <c r="I73" t="n">
        <v>0</v>
      </c>
      <c r="J73" t="n">
        <v>0</v>
      </c>
      <c r="K73" t="n">
        <v>0</v>
      </c>
      <c r="L73" t="n">
        <v>0</v>
      </c>
      <c r="M73" t="n">
        <v>0</v>
      </c>
      <c r="N73" t="n">
        <v>0</v>
      </c>
      <c r="O73" t="n">
        <v>0</v>
      </c>
      <c r="P73" t="n">
        <v>0</v>
      </c>
      <c r="Q73" t="n">
        <v>0</v>
      </c>
      <c r="R73" s="2" t="inlineStr"/>
    </row>
    <row r="74" ht="15" customHeight="1">
      <c r="A74" t="inlineStr">
        <is>
          <t>A 68935-2020</t>
        </is>
      </c>
      <c r="B74" s="1" t="n">
        <v>44187</v>
      </c>
      <c r="C74" s="1" t="n">
        <v>46011</v>
      </c>
      <c r="D74" t="inlineStr">
        <is>
          <t>STOCKHOLMS LÄN</t>
        </is>
      </c>
      <c r="E74" t="inlineStr">
        <is>
          <t>VALLENTUNA</t>
        </is>
      </c>
      <c r="G74" t="n">
        <v>7.8</v>
      </c>
      <c r="H74" t="n">
        <v>0</v>
      </c>
      <c r="I74" t="n">
        <v>0</v>
      </c>
      <c r="J74" t="n">
        <v>0</v>
      </c>
      <c r="K74" t="n">
        <v>0</v>
      </c>
      <c r="L74" t="n">
        <v>0</v>
      </c>
      <c r="M74" t="n">
        <v>0</v>
      </c>
      <c r="N74" t="n">
        <v>0</v>
      </c>
      <c r="O74" t="n">
        <v>0</v>
      </c>
      <c r="P74" t="n">
        <v>0</v>
      </c>
      <c r="Q74" t="n">
        <v>0</v>
      </c>
      <c r="R74" s="2" t="inlineStr"/>
    </row>
    <row r="75" ht="15" customHeight="1">
      <c r="A75" t="inlineStr">
        <is>
          <t>A 44988-2025</t>
        </is>
      </c>
      <c r="B75" s="1" t="n">
        <v>45918.65505787037</v>
      </c>
      <c r="C75" s="1" t="n">
        <v>46011</v>
      </c>
      <c r="D75" t="inlineStr">
        <is>
          <t>STOCKHOLMS LÄN</t>
        </is>
      </c>
      <c r="E75" t="inlineStr">
        <is>
          <t>VALLENTUNA</t>
        </is>
      </c>
      <c r="G75" t="n">
        <v>1</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46011</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46011</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27870-2025</t>
        </is>
      </c>
      <c r="B78" s="1" t="n">
        <v>45817</v>
      </c>
      <c r="C78" s="1" t="n">
        <v>46011</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28431-2025</t>
        </is>
      </c>
      <c r="B79" s="1" t="n">
        <v>45819.38072916667</v>
      </c>
      <c r="C79" s="1" t="n">
        <v>46011</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46011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46011</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46011</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46011</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61442-2024</t>
        </is>
      </c>
      <c r="B84" s="1" t="n">
        <v>45646.47003472222</v>
      </c>
      <c r="C84" s="1" t="n">
        <v>46011</v>
      </c>
      <c r="D84" t="inlineStr">
        <is>
          <t>STOCKHOLMS LÄN</t>
        </is>
      </c>
      <c r="E84" t="inlineStr">
        <is>
          <t>VALLENTUNA</t>
        </is>
      </c>
      <c r="G84" t="n">
        <v>4.6</v>
      </c>
      <c r="H84" t="n">
        <v>0</v>
      </c>
      <c r="I84" t="n">
        <v>0</v>
      </c>
      <c r="J84" t="n">
        <v>0</v>
      </c>
      <c r="K84" t="n">
        <v>0</v>
      </c>
      <c r="L84" t="n">
        <v>0</v>
      </c>
      <c r="M84" t="n">
        <v>0</v>
      </c>
      <c r="N84" t="n">
        <v>0</v>
      </c>
      <c r="O84" t="n">
        <v>0</v>
      </c>
      <c r="P84" t="n">
        <v>0</v>
      </c>
      <c r="Q84" t="n">
        <v>0</v>
      </c>
      <c r="R84" s="2" t="inlineStr"/>
    </row>
    <row r="85" ht="15" customHeight="1">
      <c r="A85" t="inlineStr">
        <is>
          <t>A 44346-2021</t>
        </is>
      </c>
      <c r="B85" s="1" t="n">
        <v>44434</v>
      </c>
      <c r="C85" s="1" t="n">
        <v>46011</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46011</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19503-2023</t>
        </is>
      </c>
      <c r="B87" s="1" t="n">
        <v>45050.47333333334</v>
      </c>
      <c r="C87" s="1" t="n">
        <v>46011</v>
      </c>
      <c r="D87" t="inlineStr">
        <is>
          <t>STOCKHOLMS LÄN</t>
        </is>
      </c>
      <c r="E87" t="inlineStr">
        <is>
          <t>VALLENTUNA</t>
        </is>
      </c>
      <c r="G87" t="n">
        <v>0.7</v>
      </c>
      <c r="H87" t="n">
        <v>0</v>
      </c>
      <c r="I87" t="n">
        <v>0</v>
      </c>
      <c r="J87" t="n">
        <v>0</v>
      </c>
      <c r="K87" t="n">
        <v>0</v>
      </c>
      <c r="L87" t="n">
        <v>0</v>
      </c>
      <c r="M87" t="n">
        <v>0</v>
      </c>
      <c r="N87" t="n">
        <v>0</v>
      </c>
      <c r="O87" t="n">
        <v>0</v>
      </c>
      <c r="P87" t="n">
        <v>0</v>
      </c>
      <c r="Q87" t="n">
        <v>0</v>
      </c>
      <c r="R87" s="2" t="inlineStr"/>
    </row>
    <row r="88" ht="15" customHeight="1">
      <c r="A88" t="inlineStr">
        <is>
          <t>A 21445-2023</t>
        </is>
      </c>
      <c r="B88" s="1" t="n">
        <v>45063</v>
      </c>
      <c r="C88" s="1" t="n">
        <v>46011</v>
      </c>
      <c r="D88" t="inlineStr">
        <is>
          <t>STOCKHOLMS LÄN</t>
        </is>
      </c>
      <c r="E88" t="inlineStr">
        <is>
          <t>VALLENTUNA</t>
        </is>
      </c>
      <c r="G88" t="n">
        <v>3.1</v>
      </c>
      <c r="H88" t="n">
        <v>0</v>
      </c>
      <c r="I88" t="n">
        <v>0</v>
      </c>
      <c r="J88" t="n">
        <v>0</v>
      </c>
      <c r="K88" t="n">
        <v>0</v>
      </c>
      <c r="L88" t="n">
        <v>0</v>
      </c>
      <c r="M88" t="n">
        <v>0</v>
      </c>
      <c r="N88" t="n">
        <v>0</v>
      </c>
      <c r="O88" t="n">
        <v>0</v>
      </c>
      <c r="P88" t="n">
        <v>0</v>
      </c>
      <c r="Q88" t="n">
        <v>0</v>
      </c>
      <c r="R88" s="2" t="inlineStr"/>
    </row>
    <row r="89" ht="15" customHeight="1">
      <c r="A89" t="inlineStr">
        <is>
          <t>A 22683-2023</t>
        </is>
      </c>
      <c r="B89" s="1" t="n">
        <v>45071</v>
      </c>
      <c r="C89" s="1" t="n">
        <v>46011</v>
      </c>
      <c r="D89" t="inlineStr">
        <is>
          <t>STOCKHOLMS LÄN</t>
        </is>
      </c>
      <c r="E89" t="inlineStr">
        <is>
          <t>VALLENTUNA</t>
        </is>
      </c>
      <c r="G89" t="n">
        <v>1.2</v>
      </c>
      <c r="H89" t="n">
        <v>0</v>
      </c>
      <c r="I89" t="n">
        <v>0</v>
      </c>
      <c r="J89" t="n">
        <v>0</v>
      </c>
      <c r="K89" t="n">
        <v>0</v>
      </c>
      <c r="L89" t="n">
        <v>0</v>
      </c>
      <c r="M89" t="n">
        <v>0</v>
      </c>
      <c r="N89" t="n">
        <v>0</v>
      </c>
      <c r="O89" t="n">
        <v>0</v>
      </c>
      <c r="P89" t="n">
        <v>0</v>
      </c>
      <c r="Q89" t="n">
        <v>0</v>
      </c>
      <c r="R89" s="2" t="inlineStr"/>
    </row>
    <row r="90" ht="15" customHeight="1">
      <c r="A90" t="inlineStr">
        <is>
          <t>A 24943-2024</t>
        </is>
      </c>
      <c r="B90" s="1" t="n">
        <v>45461.62585648148</v>
      </c>
      <c r="C90" s="1" t="n">
        <v>46011</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5910-2022</t>
        </is>
      </c>
      <c r="B91" s="1" t="n">
        <v>44597</v>
      </c>
      <c r="C91" s="1" t="n">
        <v>46011</v>
      </c>
      <c r="D91" t="inlineStr">
        <is>
          <t>STOCKHOLMS LÄN</t>
        </is>
      </c>
      <c r="E91" t="inlineStr">
        <is>
          <t>VALLENTUNA</t>
        </is>
      </c>
      <c r="G91" t="n">
        <v>0.6</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46011</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26390-2023</t>
        </is>
      </c>
      <c r="B93" s="1" t="n">
        <v>45086</v>
      </c>
      <c r="C93" s="1" t="n">
        <v>46011</v>
      </c>
      <c r="D93" t="inlineStr">
        <is>
          <t>STOCKHOLMS LÄN</t>
        </is>
      </c>
      <c r="E93" t="inlineStr">
        <is>
          <t>VALLENTUNA</t>
        </is>
      </c>
      <c r="G93" t="n">
        <v>1.6</v>
      </c>
      <c r="H93" t="n">
        <v>0</v>
      </c>
      <c r="I93" t="n">
        <v>0</v>
      </c>
      <c r="J93" t="n">
        <v>0</v>
      </c>
      <c r="K93" t="n">
        <v>0</v>
      </c>
      <c r="L93" t="n">
        <v>0</v>
      </c>
      <c r="M93" t="n">
        <v>0</v>
      </c>
      <c r="N93" t="n">
        <v>0</v>
      </c>
      <c r="O93" t="n">
        <v>0</v>
      </c>
      <c r="P93" t="n">
        <v>0</v>
      </c>
      <c r="Q93" t="n">
        <v>0</v>
      </c>
      <c r="R93" s="2" t="inlineStr"/>
    </row>
    <row r="94" ht="15" customHeight="1">
      <c r="A94" t="inlineStr">
        <is>
          <t>A 61646-2025</t>
        </is>
      </c>
      <c r="B94" s="1" t="n">
        <v>46002</v>
      </c>
      <c r="C94" s="1" t="n">
        <v>46011</v>
      </c>
      <c r="D94" t="inlineStr">
        <is>
          <t>STOCKHOLMS LÄN</t>
        </is>
      </c>
      <c r="E94" t="inlineStr">
        <is>
          <t>VALLENTUNA</t>
        </is>
      </c>
      <c r="G94" t="n">
        <v>3.7</v>
      </c>
      <c r="H94" t="n">
        <v>0</v>
      </c>
      <c r="I94" t="n">
        <v>0</v>
      </c>
      <c r="J94" t="n">
        <v>0</v>
      </c>
      <c r="K94" t="n">
        <v>0</v>
      </c>
      <c r="L94" t="n">
        <v>0</v>
      </c>
      <c r="M94" t="n">
        <v>0</v>
      </c>
      <c r="N94" t="n">
        <v>0</v>
      </c>
      <c r="O94" t="n">
        <v>0</v>
      </c>
      <c r="P94" t="n">
        <v>0</v>
      </c>
      <c r="Q94" t="n">
        <v>0</v>
      </c>
      <c r="R94" s="2" t="inlineStr"/>
    </row>
    <row r="95" ht="15" customHeight="1">
      <c r="A95" t="inlineStr">
        <is>
          <t>A 54466-2025</t>
        </is>
      </c>
      <c r="B95" s="1" t="n">
        <v>45965.56984953704</v>
      </c>
      <c r="C95" s="1" t="n">
        <v>46011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54460-2025</t>
        </is>
      </c>
      <c r="B96" s="1" t="n">
        <v>45965.56219907408</v>
      </c>
      <c r="C96" s="1" t="n">
        <v>46011</v>
      </c>
      <c r="D96" t="inlineStr">
        <is>
          <t>STOCKHOLMS LÄN</t>
        </is>
      </c>
      <c r="E96" t="inlineStr">
        <is>
          <t>VALLENTUNA</t>
        </is>
      </c>
      <c r="G96" t="n">
        <v>22.9</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46011</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12609-2024</t>
        </is>
      </c>
      <c r="B98" s="1" t="n">
        <v>45382.8109375</v>
      </c>
      <c r="C98" s="1" t="n">
        <v>46011</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47140-2024</t>
        </is>
      </c>
      <c r="B99" s="1" t="n">
        <v>45586.58753472222</v>
      </c>
      <c r="C99" s="1" t="n">
        <v>46011</v>
      </c>
      <c r="D99" t="inlineStr">
        <is>
          <t>STOCKHOLMS LÄN</t>
        </is>
      </c>
      <c r="E99" t="inlineStr">
        <is>
          <t>VALLENTUNA</t>
        </is>
      </c>
      <c r="G99" t="n">
        <v>1</v>
      </c>
      <c r="H99" t="n">
        <v>0</v>
      </c>
      <c r="I99" t="n">
        <v>0</v>
      </c>
      <c r="J99" t="n">
        <v>0</v>
      </c>
      <c r="K99" t="n">
        <v>0</v>
      </c>
      <c r="L99" t="n">
        <v>0</v>
      </c>
      <c r="M99" t="n">
        <v>0</v>
      </c>
      <c r="N99" t="n">
        <v>0</v>
      </c>
      <c r="O99" t="n">
        <v>0</v>
      </c>
      <c r="P99" t="n">
        <v>0</v>
      </c>
      <c r="Q99" t="n">
        <v>0</v>
      </c>
      <c r="R99" s="2" t="inlineStr"/>
    </row>
    <row r="100" ht="15" customHeight="1">
      <c r="A100" t="inlineStr">
        <is>
          <t>A 8565-2025</t>
        </is>
      </c>
      <c r="B100" s="1" t="n">
        <v>45709</v>
      </c>
      <c r="C100" s="1" t="n">
        <v>46011</v>
      </c>
      <c r="D100" t="inlineStr">
        <is>
          <t>STOCKHOLMS LÄN</t>
        </is>
      </c>
      <c r="E100" t="inlineStr">
        <is>
          <t>VALLENTUNA</t>
        </is>
      </c>
      <c r="F100" t="inlineStr">
        <is>
          <t>Kommuner</t>
        </is>
      </c>
      <c r="G100" t="n">
        <v>4.2</v>
      </c>
      <c r="H100" t="n">
        <v>0</v>
      </c>
      <c r="I100" t="n">
        <v>0</v>
      </c>
      <c r="J100" t="n">
        <v>0</v>
      </c>
      <c r="K100" t="n">
        <v>0</v>
      </c>
      <c r="L100" t="n">
        <v>0</v>
      </c>
      <c r="M100" t="n">
        <v>0</v>
      </c>
      <c r="N100" t="n">
        <v>0</v>
      </c>
      <c r="O100" t="n">
        <v>0</v>
      </c>
      <c r="P100" t="n">
        <v>0</v>
      </c>
      <c r="Q100" t="n">
        <v>0</v>
      </c>
      <c r="R100" s="2" t="inlineStr"/>
    </row>
    <row r="101" ht="15" customHeight="1">
      <c r="A101" t="inlineStr">
        <is>
          <t>A 9063-2024</t>
        </is>
      </c>
      <c r="B101" s="1" t="n">
        <v>45357.72652777778</v>
      </c>
      <c r="C101" s="1" t="n">
        <v>46011</v>
      </c>
      <c r="D101" t="inlineStr">
        <is>
          <t>STOCKHOLMS LÄN</t>
        </is>
      </c>
      <c r="E101" t="inlineStr">
        <is>
          <t>VALLENTUNA</t>
        </is>
      </c>
      <c r="G101" t="n">
        <v>4.1</v>
      </c>
      <c r="H101" t="n">
        <v>0</v>
      </c>
      <c r="I101" t="n">
        <v>0</v>
      </c>
      <c r="J101" t="n">
        <v>0</v>
      </c>
      <c r="K101" t="n">
        <v>0</v>
      </c>
      <c r="L101" t="n">
        <v>0</v>
      </c>
      <c r="M101" t="n">
        <v>0</v>
      </c>
      <c r="N101" t="n">
        <v>0</v>
      </c>
      <c r="O101" t="n">
        <v>0</v>
      </c>
      <c r="P101" t="n">
        <v>0</v>
      </c>
      <c r="Q101" t="n">
        <v>0</v>
      </c>
      <c r="R101" s="2" t="inlineStr"/>
    </row>
    <row r="102" ht="15" customHeight="1">
      <c r="A102" t="inlineStr">
        <is>
          <t>A 4803-2024</t>
        </is>
      </c>
      <c r="B102" s="1" t="n">
        <v>45328</v>
      </c>
      <c r="C102" s="1" t="n">
        <v>46011</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52542-2023</t>
        </is>
      </c>
      <c r="B103" s="1" t="n">
        <v>45225</v>
      </c>
      <c r="C103" s="1" t="n">
        <v>46011</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11950-2025</t>
        </is>
      </c>
      <c r="B104" s="1" t="n">
        <v>45728.55622685186</v>
      </c>
      <c r="C104" s="1" t="n">
        <v>46011</v>
      </c>
      <c r="D104" t="inlineStr">
        <is>
          <t>STOCKHOLMS LÄN</t>
        </is>
      </c>
      <c r="E104" t="inlineStr">
        <is>
          <t>VALLENTUNA</t>
        </is>
      </c>
      <c r="G104" t="n">
        <v>1.4</v>
      </c>
      <c r="H104" t="n">
        <v>0</v>
      </c>
      <c r="I104" t="n">
        <v>0</v>
      </c>
      <c r="J104" t="n">
        <v>0</v>
      </c>
      <c r="K104" t="n">
        <v>0</v>
      </c>
      <c r="L104" t="n">
        <v>0</v>
      </c>
      <c r="M104" t="n">
        <v>0</v>
      </c>
      <c r="N104" t="n">
        <v>0</v>
      </c>
      <c r="O104" t="n">
        <v>0</v>
      </c>
      <c r="P104" t="n">
        <v>0</v>
      </c>
      <c r="Q104" t="n">
        <v>0</v>
      </c>
      <c r="R104" s="2" t="inlineStr"/>
    </row>
    <row r="105" ht="15" customHeight="1">
      <c r="A105" t="inlineStr">
        <is>
          <t>A 68938-2020</t>
        </is>
      </c>
      <c r="B105" s="1" t="n">
        <v>44187</v>
      </c>
      <c r="C105" s="1" t="n">
        <v>46011</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14489-2024</t>
        </is>
      </c>
      <c r="B106" s="1" t="n">
        <v>45394.58053240741</v>
      </c>
      <c r="C106" s="1" t="n">
        <v>46011</v>
      </c>
      <c r="D106" t="inlineStr">
        <is>
          <t>STOCKHOLMS LÄN</t>
        </is>
      </c>
      <c r="E106" t="inlineStr">
        <is>
          <t>VALLENTUNA</t>
        </is>
      </c>
      <c r="G106" t="n">
        <v>2.3</v>
      </c>
      <c r="H106" t="n">
        <v>0</v>
      </c>
      <c r="I106" t="n">
        <v>0</v>
      </c>
      <c r="J106" t="n">
        <v>0</v>
      </c>
      <c r="K106" t="n">
        <v>0</v>
      </c>
      <c r="L106" t="n">
        <v>0</v>
      </c>
      <c r="M106" t="n">
        <v>0</v>
      </c>
      <c r="N106" t="n">
        <v>0</v>
      </c>
      <c r="O106" t="n">
        <v>0</v>
      </c>
      <c r="P106" t="n">
        <v>0</v>
      </c>
      <c r="Q106" t="n">
        <v>0</v>
      </c>
      <c r="R106" s="2" t="inlineStr"/>
    </row>
    <row r="107" ht="15" customHeight="1">
      <c r="A107" t="inlineStr">
        <is>
          <t>A 52562-2023</t>
        </is>
      </c>
      <c r="B107" s="1" t="n">
        <v>45225</v>
      </c>
      <c r="C107" s="1" t="n">
        <v>46011</v>
      </c>
      <c r="D107" t="inlineStr">
        <is>
          <t>STOCKHOLMS LÄN</t>
        </is>
      </c>
      <c r="E107" t="inlineStr">
        <is>
          <t>VALLENTUNA</t>
        </is>
      </c>
      <c r="G107" t="n">
        <v>3.4</v>
      </c>
      <c r="H107" t="n">
        <v>0</v>
      </c>
      <c r="I107" t="n">
        <v>0</v>
      </c>
      <c r="J107" t="n">
        <v>0</v>
      </c>
      <c r="K107" t="n">
        <v>0</v>
      </c>
      <c r="L107" t="n">
        <v>0</v>
      </c>
      <c r="M107" t="n">
        <v>0</v>
      </c>
      <c r="N107" t="n">
        <v>0</v>
      </c>
      <c r="O107" t="n">
        <v>0</v>
      </c>
      <c r="P107" t="n">
        <v>0</v>
      </c>
      <c r="Q107" t="n">
        <v>0</v>
      </c>
      <c r="R107" s="2" t="inlineStr"/>
    </row>
    <row r="108" ht="15" customHeight="1">
      <c r="A108" t="inlineStr">
        <is>
          <t>A 4804-2024</t>
        </is>
      </c>
      <c r="B108" s="1" t="n">
        <v>45328</v>
      </c>
      <c r="C108" s="1" t="n">
        <v>46011</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45450.35116898148</v>
      </c>
      <c r="C109" s="1" t="n">
        <v>46011</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2318-2024</t>
        </is>
      </c>
      <c r="B110" s="1" t="n">
        <v>45310</v>
      </c>
      <c r="C110" s="1" t="n">
        <v>46011</v>
      </c>
      <c r="D110" t="inlineStr">
        <is>
          <t>STOCKHOLMS LÄN</t>
        </is>
      </c>
      <c r="E110" t="inlineStr">
        <is>
          <t>VALLENTUNA</t>
        </is>
      </c>
      <c r="G110" t="n">
        <v>2.2</v>
      </c>
      <c r="H110" t="n">
        <v>0</v>
      </c>
      <c r="I110" t="n">
        <v>0</v>
      </c>
      <c r="J110" t="n">
        <v>0</v>
      </c>
      <c r="K110" t="n">
        <v>0</v>
      </c>
      <c r="L110" t="n">
        <v>0</v>
      </c>
      <c r="M110" t="n">
        <v>0</v>
      </c>
      <c r="N110" t="n">
        <v>0</v>
      </c>
      <c r="O110" t="n">
        <v>0</v>
      </c>
      <c r="P110" t="n">
        <v>0</v>
      </c>
      <c r="Q110" t="n">
        <v>0</v>
      </c>
      <c r="R110" s="2" t="inlineStr"/>
    </row>
    <row r="111" ht="15" customHeight="1">
      <c r="A111" t="inlineStr">
        <is>
          <t>A 61742-2022</t>
        </is>
      </c>
      <c r="B111" s="1" t="n">
        <v>44917</v>
      </c>
      <c r="C111" s="1" t="n">
        <v>46011</v>
      </c>
      <c r="D111" t="inlineStr">
        <is>
          <t>STOCKHOLMS LÄN</t>
        </is>
      </c>
      <c r="E111" t="inlineStr">
        <is>
          <t>VALLENTUNA</t>
        </is>
      </c>
      <c r="G111" t="n">
        <v>0.5</v>
      </c>
      <c r="H111" t="n">
        <v>0</v>
      </c>
      <c r="I111" t="n">
        <v>0</v>
      </c>
      <c r="J111" t="n">
        <v>0</v>
      </c>
      <c r="K111" t="n">
        <v>0</v>
      </c>
      <c r="L111" t="n">
        <v>0</v>
      </c>
      <c r="M111" t="n">
        <v>0</v>
      </c>
      <c r="N111" t="n">
        <v>0</v>
      </c>
      <c r="O111" t="n">
        <v>0</v>
      </c>
      <c r="P111" t="n">
        <v>0</v>
      </c>
      <c r="Q111" t="n">
        <v>0</v>
      </c>
      <c r="R111" s="2" t="inlineStr"/>
    </row>
    <row r="112" ht="15" customHeight="1">
      <c r="A112" t="inlineStr">
        <is>
          <t>A 3698-2022</t>
        </is>
      </c>
      <c r="B112" s="1" t="n">
        <v>44586</v>
      </c>
      <c r="C112" s="1" t="n">
        <v>46011</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46011</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12234-2022</t>
        </is>
      </c>
      <c r="B114" s="1" t="n">
        <v>44637</v>
      </c>
      <c r="C114" s="1" t="n">
        <v>46011</v>
      </c>
      <c r="D114" t="inlineStr">
        <is>
          <t>STOCKHOLMS LÄN</t>
        </is>
      </c>
      <c r="E114" t="inlineStr">
        <is>
          <t>VALLENTUNA</t>
        </is>
      </c>
      <c r="G114" t="n">
        <v>2.4</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46011</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12585-2023</t>
        </is>
      </c>
      <c r="B116" s="1" t="n">
        <v>45000.41373842592</v>
      </c>
      <c r="C116" s="1" t="n">
        <v>46011</v>
      </c>
      <c r="D116" t="inlineStr">
        <is>
          <t>STOCKHOLMS LÄN</t>
        </is>
      </c>
      <c r="E116" t="inlineStr">
        <is>
          <t>VALLENTUNA</t>
        </is>
      </c>
      <c r="G116" t="n">
        <v>3.7</v>
      </c>
      <c r="H116" t="n">
        <v>0</v>
      </c>
      <c r="I116" t="n">
        <v>0</v>
      </c>
      <c r="J116" t="n">
        <v>0</v>
      </c>
      <c r="K116" t="n">
        <v>0</v>
      </c>
      <c r="L116" t="n">
        <v>0</v>
      </c>
      <c r="M116" t="n">
        <v>0</v>
      </c>
      <c r="N116" t="n">
        <v>0</v>
      </c>
      <c r="O116" t="n">
        <v>0</v>
      </c>
      <c r="P116" t="n">
        <v>0</v>
      </c>
      <c r="Q116" t="n">
        <v>0</v>
      </c>
      <c r="R116" s="2" t="inlineStr"/>
    </row>
    <row r="117" ht="15" customHeight="1">
      <c r="A117" t="inlineStr">
        <is>
          <t>A 8787-2024</t>
        </is>
      </c>
      <c r="B117" s="1" t="n">
        <v>45356</v>
      </c>
      <c r="C117" s="1" t="n">
        <v>46011</v>
      </c>
      <c r="D117" t="inlineStr">
        <is>
          <t>STOCKHOLMS LÄN</t>
        </is>
      </c>
      <c r="E117" t="inlineStr">
        <is>
          <t>VALLENTUNA</t>
        </is>
      </c>
      <c r="G117" t="n">
        <v>1.2</v>
      </c>
      <c r="H117" t="n">
        <v>0</v>
      </c>
      <c r="I117" t="n">
        <v>0</v>
      </c>
      <c r="J117" t="n">
        <v>0</v>
      </c>
      <c r="K117" t="n">
        <v>0</v>
      </c>
      <c r="L117" t="n">
        <v>0</v>
      </c>
      <c r="M117" t="n">
        <v>0</v>
      </c>
      <c r="N117" t="n">
        <v>0</v>
      </c>
      <c r="O117" t="n">
        <v>0</v>
      </c>
      <c r="P117" t="n">
        <v>0</v>
      </c>
      <c r="Q117" t="n">
        <v>0</v>
      </c>
      <c r="R117" s="2" t="inlineStr"/>
    </row>
    <row r="118" ht="15" customHeight="1">
      <c r="A118" t="inlineStr">
        <is>
          <t>A 34441-2023</t>
        </is>
      </c>
      <c r="B118" s="1" t="n">
        <v>45139</v>
      </c>
      <c r="C118" s="1" t="n">
        <v>46011</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34445-2023</t>
        </is>
      </c>
      <c r="B119" s="1" t="n">
        <v>45139</v>
      </c>
      <c r="C119" s="1" t="n">
        <v>46011</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46011</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15300-2023</t>
        </is>
      </c>
      <c r="B121" s="1" t="n">
        <v>45019</v>
      </c>
      <c r="C121" s="1" t="n">
        <v>46011</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46011</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13836-2022</t>
        </is>
      </c>
      <c r="B123" s="1" t="n">
        <v>44649</v>
      </c>
      <c r="C123" s="1" t="n">
        <v>46011</v>
      </c>
      <c r="D123" t="inlineStr">
        <is>
          <t>STOCKHOLMS LÄN</t>
        </is>
      </c>
      <c r="E123" t="inlineStr">
        <is>
          <t>VALLENTUNA</t>
        </is>
      </c>
      <c r="G123" t="n">
        <v>3.5</v>
      </c>
      <c r="H123" t="n">
        <v>0</v>
      </c>
      <c r="I123" t="n">
        <v>0</v>
      </c>
      <c r="J123" t="n">
        <v>0</v>
      </c>
      <c r="K123" t="n">
        <v>0</v>
      </c>
      <c r="L123" t="n">
        <v>0</v>
      </c>
      <c r="M123" t="n">
        <v>0</v>
      </c>
      <c r="N123" t="n">
        <v>0</v>
      </c>
      <c r="O123" t="n">
        <v>0</v>
      </c>
      <c r="P123" t="n">
        <v>0</v>
      </c>
      <c r="Q123" t="n">
        <v>0</v>
      </c>
      <c r="R123" s="2" t="inlineStr"/>
    </row>
    <row r="124" ht="15" customHeight="1">
      <c r="A124" t="inlineStr">
        <is>
          <t>A 29704-2023</t>
        </is>
      </c>
      <c r="B124" s="1" t="n">
        <v>45107</v>
      </c>
      <c r="C124" s="1" t="n">
        <v>46011</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21765-2023</t>
        </is>
      </c>
      <c r="B125" s="1" t="n">
        <v>45064</v>
      </c>
      <c r="C125" s="1" t="n">
        <v>46011</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45496-2023</t>
        </is>
      </c>
      <c r="B126" s="1" t="n">
        <v>45194</v>
      </c>
      <c r="C126" s="1" t="n">
        <v>46011</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45499-2023</t>
        </is>
      </c>
      <c r="B127" s="1" t="n">
        <v>45194</v>
      </c>
      <c r="C127" s="1" t="n">
        <v>46011</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14782-2024</t>
        </is>
      </c>
      <c r="B128" s="1" t="n">
        <v>45397.74266203704</v>
      </c>
      <c r="C128" s="1" t="n">
        <v>46011</v>
      </c>
      <c r="D128" t="inlineStr">
        <is>
          <t>STOCKHOLMS LÄN</t>
        </is>
      </c>
      <c r="E128" t="inlineStr">
        <is>
          <t>VALLENTUNA</t>
        </is>
      </c>
      <c r="G128" t="n">
        <v>3.1</v>
      </c>
      <c r="H128" t="n">
        <v>0</v>
      </c>
      <c r="I128" t="n">
        <v>0</v>
      </c>
      <c r="J128" t="n">
        <v>0</v>
      </c>
      <c r="K128" t="n">
        <v>0</v>
      </c>
      <c r="L128" t="n">
        <v>0</v>
      </c>
      <c r="M128" t="n">
        <v>0</v>
      </c>
      <c r="N128" t="n">
        <v>0</v>
      </c>
      <c r="O128" t="n">
        <v>0</v>
      </c>
      <c r="P128" t="n">
        <v>0</v>
      </c>
      <c r="Q128" t="n">
        <v>0</v>
      </c>
      <c r="R128" s="2" t="inlineStr"/>
    </row>
    <row r="129" ht="15" customHeight="1">
      <c r="A129" t="inlineStr">
        <is>
          <t>A 1385-2024</t>
        </is>
      </c>
      <c r="B129" s="1" t="n">
        <v>45303</v>
      </c>
      <c r="C129" s="1" t="n">
        <v>46011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14775-2024</t>
        </is>
      </c>
      <c r="B130" s="1" t="n">
        <v>45397.73675925926</v>
      </c>
      <c r="C130" s="1" t="n">
        <v>46011</v>
      </c>
      <c r="D130" t="inlineStr">
        <is>
          <t>STOCKHOLMS LÄN</t>
        </is>
      </c>
      <c r="E130" t="inlineStr">
        <is>
          <t>VALLENTUNA</t>
        </is>
      </c>
      <c r="G130" t="n">
        <v>1.7</v>
      </c>
      <c r="H130" t="n">
        <v>0</v>
      </c>
      <c r="I130" t="n">
        <v>0</v>
      </c>
      <c r="J130" t="n">
        <v>0</v>
      </c>
      <c r="K130" t="n">
        <v>0</v>
      </c>
      <c r="L130" t="n">
        <v>0</v>
      </c>
      <c r="M130" t="n">
        <v>0</v>
      </c>
      <c r="N130" t="n">
        <v>0</v>
      </c>
      <c r="O130" t="n">
        <v>0</v>
      </c>
      <c r="P130" t="n">
        <v>0</v>
      </c>
      <c r="Q130" t="n">
        <v>0</v>
      </c>
      <c r="R130" s="2" t="inlineStr"/>
    </row>
    <row r="131" ht="15" customHeight="1">
      <c r="A131" t="inlineStr">
        <is>
          <t>A 735-2024</t>
        </is>
      </c>
      <c r="B131" s="1" t="n">
        <v>45300</v>
      </c>
      <c r="C131" s="1" t="n">
        <v>46011</v>
      </c>
      <c r="D131" t="inlineStr">
        <is>
          <t>STOCKHOLMS LÄN</t>
        </is>
      </c>
      <c r="E131" t="inlineStr">
        <is>
          <t>VALLENTUNA</t>
        </is>
      </c>
      <c r="G131" t="n">
        <v>1.7</v>
      </c>
      <c r="H131" t="n">
        <v>0</v>
      </c>
      <c r="I131" t="n">
        <v>0</v>
      </c>
      <c r="J131" t="n">
        <v>0</v>
      </c>
      <c r="K131" t="n">
        <v>0</v>
      </c>
      <c r="L131" t="n">
        <v>0</v>
      </c>
      <c r="M131" t="n">
        <v>0</v>
      </c>
      <c r="N131" t="n">
        <v>0</v>
      </c>
      <c r="O131" t="n">
        <v>0</v>
      </c>
      <c r="P131" t="n">
        <v>0</v>
      </c>
      <c r="Q131" t="n">
        <v>0</v>
      </c>
      <c r="R131" s="2" t="inlineStr"/>
    </row>
    <row r="132" ht="15" customHeight="1">
      <c r="A132" t="inlineStr">
        <is>
          <t>A 17411-2023</t>
        </is>
      </c>
      <c r="B132" s="1" t="n">
        <v>45035.82512731481</v>
      </c>
      <c r="C132" s="1" t="n">
        <v>46011</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46011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38102-2024</t>
        </is>
      </c>
      <c r="B134" s="1" t="n">
        <v>45545.36349537037</v>
      </c>
      <c r="C134" s="1" t="n">
        <v>46011</v>
      </c>
      <c r="D134" t="inlineStr">
        <is>
          <t>STOCKHOLMS LÄN</t>
        </is>
      </c>
      <c r="E134" t="inlineStr">
        <is>
          <t>VALLENTUNA</t>
        </is>
      </c>
      <c r="G134" t="n">
        <v>3.2</v>
      </c>
      <c r="H134" t="n">
        <v>0</v>
      </c>
      <c r="I134" t="n">
        <v>0</v>
      </c>
      <c r="J134" t="n">
        <v>0</v>
      </c>
      <c r="K134" t="n">
        <v>0</v>
      </c>
      <c r="L134" t="n">
        <v>0</v>
      </c>
      <c r="M134" t="n">
        <v>0</v>
      </c>
      <c r="N134" t="n">
        <v>0</v>
      </c>
      <c r="O134" t="n">
        <v>0</v>
      </c>
      <c r="P134" t="n">
        <v>0</v>
      </c>
      <c r="Q134" t="n">
        <v>0</v>
      </c>
      <c r="R134" s="2" t="inlineStr"/>
    </row>
    <row r="135" ht="15" customHeight="1">
      <c r="A135" t="inlineStr">
        <is>
          <t>A 17340-2025</t>
        </is>
      </c>
      <c r="B135" s="1" t="n">
        <v>45756</v>
      </c>
      <c r="C135" s="1" t="n">
        <v>46011</v>
      </c>
      <c r="D135" t="inlineStr">
        <is>
          <t>STOCKHOLMS LÄN</t>
        </is>
      </c>
      <c r="E135" t="inlineStr">
        <is>
          <t>VALLENTUNA</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46011</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46011</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46011</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12621-2024</t>
        </is>
      </c>
      <c r="B139" s="1" t="n">
        <v>45383.6325</v>
      </c>
      <c r="C139" s="1" t="n">
        <v>46011</v>
      </c>
      <c r="D139" t="inlineStr">
        <is>
          <t>STOCKHOLMS LÄN</t>
        </is>
      </c>
      <c r="E139" t="inlineStr">
        <is>
          <t>VALLENTUNA</t>
        </is>
      </c>
      <c r="G139" t="n">
        <v>4.4</v>
      </c>
      <c r="H139" t="n">
        <v>0</v>
      </c>
      <c r="I139" t="n">
        <v>0</v>
      </c>
      <c r="J139" t="n">
        <v>0</v>
      </c>
      <c r="K139" t="n">
        <v>0</v>
      </c>
      <c r="L139" t="n">
        <v>0</v>
      </c>
      <c r="M139" t="n">
        <v>0</v>
      </c>
      <c r="N139" t="n">
        <v>0</v>
      </c>
      <c r="O139" t="n">
        <v>0</v>
      </c>
      <c r="P139" t="n">
        <v>0</v>
      </c>
      <c r="Q139" t="n">
        <v>0</v>
      </c>
      <c r="R139" s="2" t="inlineStr"/>
    </row>
    <row r="140" ht="15" customHeight="1">
      <c r="A140" t="inlineStr">
        <is>
          <t>A 46381-2023</t>
        </is>
      </c>
      <c r="B140" s="1" t="n">
        <v>45193</v>
      </c>
      <c r="C140" s="1" t="n">
        <v>46011</v>
      </c>
      <c r="D140" t="inlineStr">
        <is>
          <t>STOCKHOLMS LÄN</t>
        </is>
      </c>
      <c r="E140" t="inlineStr">
        <is>
          <t>VALLENTUNA</t>
        </is>
      </c>
      <c r="G140" t="n">
        <v>2.9</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46011</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c r="A142" t="inlineStr">
        <is>
          <t>A 23009-2024</t>
        </is>
      </c>
      <c r="B142" s="1" t="n">
        <v>45450.34506944445</v>
      </c>
      <c r="C142" s="1" t="n">
        <v>46011</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2025-12-20T14:06:00Z</dcterms:created>
  <dcterms:modified xmlns:dcterms="http://purl.org/dc/terms/" xmlns:xsi="http://www.w3.org/2001/XMLSchema-instance" xsi:type="dcterms:W3CDTF">2025-12-20T14:06:00Z</dcterms:modified>
</cp:coreProperties>
</file>