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45881</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45881</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45881</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45881</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18446-2025</t>
        </is>
      </c>
      <c r="B12" s="1" t="n">
        <v>45762</v>
      </c>
      <c r="C12" s="1" t="n">
        <v>45881</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8500-2022</t>
        </is>
      </c>
      <c r="B13" s="1" t="n">
        <v>44613</v>
      </c>
      <c r="C13" s="1" t="n">
        <v>45881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45881</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45881</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45881</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45881</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45881</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45881</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45881</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45881</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45881</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45881</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45881</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45881</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8946-2025</t>
        </is>
      </c>
      <c r="B26" s="1" t="n">
        <v>45712</v>
      </c>
      <c r="C26" s="1" t="n">
        <v>45881</v>
      </c>
      <c r="D26" t="inlineStr">
        <is>
          <t>STOCKHOLMS LÄN</t>
        </is>
      </c>
      <c r="E26" t="inlineStr">
        <is>
          <t>VALLENTUNA</t>
        </is>
      </c>
      <c r="G26" t="n">
        <v>4.4</v>
      </c>
      <c r="H26" t="n">
        <v>0</v>
      </c>
      <c r="I26" t="n">
        <v>0</v>
      </c>
      <c r="J26" t="n">
        <v>1</v>
      </c>
      <c r="K26" t="n">
        <v>0</v>
      </c>
      <c r="L26" t="n">
        <v>0</v>
      </c>
      <c r="M26" t="n">
        <v>0</v>
      </c>
      <c r="N26" t="n">
        <v>0</v>
      </c>
      <c r="O26" t="n">
        <v>1</v>
      </c>
      <c r="P26" t="n">
        <v>0</v>
      </c>
      <c r="Q26" t="n">
        <v>1</v>
      </c>
      <c r="R26" s="2" t="inlineStr">
        <is>
          <t>Granticka</t>
        </is>
      </c>
      <c r="S26">
        <f>HYPERLINK("https://klasma.github.io/Logging_0115/artfynd/A 8946-2025 artfynd.xlsx", "A 8946-2025")</f>
        <v/>
      </c>
      <c r="T26">
        <f>HYPERLINK("https://klasma.github.io/Logging_0115/kartor/A 8946-2025 karta.png", "A 8946-2025")</f>
        <v/>
      </c>
      <c r="V26">
        <f>HYPERLINK("https://klasma.github.io/Logging_0115/klagomål/A 8946-2025 FSC-klagomål.docx", "A 8946-2025")</f>
        <v/>
      </c>
      <c r="W26">
        <f>HYPERLINK("https://klasma.github.io/Logging_0115/klagomålsmail/A 8946-2025 FSC-klagomål mail.docx", "A 8946-2025")</f>
        <v/>
      </c>
      <c r="X26">
        <f>HYPERLINK("https://klasma.github.io/Logging_0115/tillsyn/A 8946-2025 tillsynsbegäran.docx", "A 8946-2025")</f>
        <v/>
      </c>
      <c r="Y26">
        <f>HYPERLINK("https://klasma.github.io/Logging_0115/tillsynsmail/A 8946-2025 tillsynsbegäran mail.docx", "A 8946-2025")</f>
        <v/>
      </c>
    </row>
    <row r="27" ht="15" customHeight="1">
      <c r="A27" t="inlineStr">
        <is>
          <t>A 21439-2025</t>
        </is>
      </c>
      <c r="B27" s="1" t="n">
        <v>45782.52939814814</v>
      </c>
      <c r="C27" s="1" t="n">
        <v>45881</v>
      </c>
      <c r="D27" t="inlineStr">
        <is>
          <t>STOCKHOLMS LÄN</t>
        </is>
      </c>
      <c r="E27" t="inlineStr">
        <is>
          <t>VALLENTUNA</t>
        </is>
      </c>
      <c r="G27" t="n">
        <v>2.1</v>
      </c>
      <c r="H27" t="n">
        <v>0</v>
      </c>
      <c r="I27" t="n">
        <v>1</v>
      </c>
      <c r="J27" t="n">
        <v>0</v>
      </c>
      <c r="K27" t="n">
        <v>0</v>
      </c>
      <c r="L27" t="n">
        <v>0</v>
      </c>
      <c r="M27" t="n">
        <v>0</v>
      </c>
      <c r="N27" t="n">
        <v>0</v>
      </c>
      <c r="O27" t="n">
        <v>0</v>
      </c>
      <c r="P27" t="n">
        <v>0</v>
      </c>
      <c r="Q27" t="n">
        <v>1</v>
      </c>
      <c r="R27" s="2" t="inlineStr">
        <is>
          <t>Mindre märgborre</t>
        </is>
      </c>
      <c r="S27">
        <f>HYPERLINK("https://klasma.github.io/Logging_0115/artfynd/A 21439-2025 artfynd.xlsx", "A 21439-2025")</f>
        <v/>
      </c>
      <c r="T27">
        <f>HYPERLINK("https://klasma.github.io/Logging_0115/kartor/A 21439-2025 karta.png", "A 21439-2025")</f>
        <v/>
      </c>
      <c r="V27">
        <f>HYPERLINK("https://klasma.github.io/Logging_0115/klagomål/A 21439-2025 FSC-klagomål.docx", "A 21439-2025")</f>
        <v/>
      </c>
      <c r="W27">
        <f>HYPERLINK("https://klasma.github.io/Logging_0115/klagomålsmail/A 21439-2025 FSC-klagomål mail.docx", "A 21439-2025")</f>
        <v/>
      </c>
      <c r="X27">
        <f>HYPERLINK("https://klasma.github.io/Logging_0115/tillsyn/A 21439-2025 tillsynsbegäran.docx", "A 21439-2025")</f>
        <v/>
      </c>
      <c r="Y27">
        <f>HYPERLINK("https://klasma.github.io/Logging_0115/tillsynsmail/A 21439-2025 tillsynsbegäran mail.docx", "A 21439-2025")</f>
        <v/>
      </c>
    </row>
    <row r="28" ht="15" customHeight="1">
      <c r="A28" t="inlineStr">
        <is>
          <t>A 21-2022</t>
        </is>
      </c>
      <c r="B28" s="1" t="n">
        <v>44560</v>
      </c>
      <c r="C28" s="1" t="n">
        <v>45881</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7890-2023</t>
        </is>
      </c>
      <c r="B29" s="1" t="n">
        <v>44973</v>
      </c>
      <c r="C29" s="1" t="n">
        <v>45881</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22936-2025</t>
        </is>
      </c>
      <c r="B30" s="1" t="n">
        <v>45790.45738425926</v>
      </c>
      <c r="C30" s="1" t="n">
        <v>45881</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17341-2025</t>
        </is>
      </c>
      <c r="B31" s="1" t="n">
        <v>45756</v>
      </c>
      <c r="C31" s="1" t="n">
        <v>45881</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27870-2025</t>
        </is>
      </c>
      <c r="B32" s="1" t="n">
        <v>45817</v>
      </c>
      <c r="C32" s="1" t="n">
        <v>45881</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45881</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45881</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45881</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45881</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45881</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45881</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45881</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45881</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45881</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45881</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37657-2021</t>
        </is>
      </c>
      <c r="B43" s="1" t="n">
        <v>44400</v>
      </c>
      <c r="C43" s="1" t="n">
        <v>45881</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44346-2021</t>
        </is>
      </c>
      <c r="B44" s="1" t="n">
        <v>44434</v>
      </c>
      <c r="C44" s="1" t="n">
        <v>45881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14725-2022</t>
        </is>
      </c>
      <c r="B45" s="1" t="n">
        <v>44655</v>
      </c>
      <c r="C45" s="1" t="n">
        <v>45881</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7276-2022</t>
        </is>
      </c>
      <c r="B46" s="1" t="n">
        <v>44606</v>
      </c>
      <c r="C46" s="1" t="n">
        <v>45881</v>
      </c>
      <c r="D46" t="inlineStr">
        <is>
          <t>STOCKHOLMS LÄN</t>
        </is>
      </c>
      <c r="E46" t="inlineStr">
        <is>
          <t>VALLENTUNA</t>
        </is>
      </c>
      <c r="G46" t="n">
        <v>1.7</v>
      </c>
      <c r="H46" t="n">
        <v>0</v>
      </c>
      <c r="I46" t="n">
        <v>0</v>
      </c>
      <c r="J46" t="n">
        <v>0</v>
      </c>
      <c r="K46" t="n">
        <v>0</v>
      </c>
      <c r="L46" t="n">
        <v>0</v>
      </c>
      <c r="M46" t="n">
        <v>0</v>
      </c>
      <c r="N46" t="n">
        <v>0</v>
      </c>
      <c r="O46" t="n">
        <v>0</v>
      </c>
      <c r="P46" t="n">
        <v>0</v>
      </c>
      <c r="Q46" t="n">
        <v>0</v>
      </c>
      <c r="R46" s="2" t="inlineStr"/>
    </row>
    <row r="47" ht="15" customHeight="1">
      <c r="A47" t="inlineStr">
        <is>
          <t>A 7085-2022</t>
        </is>
      </c>
      <c r="B47" s="1" t="n">
        <v>44603</v>
      </c>
      <c r="C47" s="1" t="n">
        <v>45881</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48078-2021</t>
        </is>
      </c>
      <c r="B48" s="1" t="n">
        <v>44449.42578703703</v>
      </c>
      <c r="C48" s="1" t="n">
        <v>45881</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42624-2021</t>
        </is>
      </c>
      <c r="B49" s="1" t="n">
        <v>44428</v>
      </c>
      <c r="C49" s="1" t="n">
        <v>45881</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45881</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14430-2021</t>
        </is>
      </c>
      <c r="B51" s="1" t="n">
        <v>44279.4665625</v>
      </c>
      <c r="C51" s="1" t="n">
        <v>45881</v>
      </c>
      <c r="D51" t="inlineStr">
        <is>
          <t>STOCKHOLMS LÄN</t>
        </is>
      </c>
      <c r="E51" t="inlineStr">
        <is>
          <t>VALLENTUNA</t>
        </is>
      </c>
      <c r="G51" t="n">
        <v>1.1</v>
      </c>
      <c r="H51" t="n">
        <v>0</v>
      </c>
      <c r="I51" t="n">
        <v>0</v>
      </c>
      <c r="J51" t="n">
        <v>0</v>
      </c>
      <c r="K51" t="n">
        <v>0</v>
      </c>
      <c r="L51" t="n">
        <v>0</v>
      </c>
      <c r="M51" t="n">
        <v>0</v>
      </c>
      <c r="N51" t="n">
        <v>0</v>
      </c>
      <c r="O51" t="n">
        <v>0</v>
      </c>
      <c r="P51" t="n">
        <v>0</v>
      </c>
      <c r="Q51" t="n">
        <v>0</v>
      </c>
      <c r="R51" s="2" t="inlineStr"/>
    </row>
    <row r="52" ht="15" customHeight="1">
      <c r="A52" t="inlineStr">
        <is>
          <t>A 14443-2021</t>
        </is>
      </c>
      <c r="B52" s="1" t="n">
        <v>44279</v>
      </c>
      <c r="C52" s="1" t="n">
        <v>45881</v>
      </c>
      <c r="D52" t="inlineStr">
        <is>
          <t>STOCKHOLMS LÄN</t>
        </is>
      </c>
      <c r="E52" t="inlineStr">
        <is>
          <t>VALLENTUNA</t>
        </is>
      </c>
      <c r="G52" t="n">
        <v>3.5</v>
      </c>
      <c r="H52" t="n">
        <v>0</v>
      </c>
      <c r="I52" t="n">
        <v>0</v>
      </c>
      <c r="J52" t="n">
        <v>0</v>
      </c>
      <c r="K52" t="n">
        <v>0</v>
      </c>
      <c r="L52" t="n">
        <v>0</v>
      </c>
      <c r="M52" t="n">
        <v>0</v>
      </c>
      <c r="N52" t="n">
        <v>0</v>
      </c>
      <c r="O52" t="n">
        <v>0</v>
      </c>
      <c r="P52" t="n">
        <v>0</v>
      </c>
      <c r="Q52" t="n">
        <v>0</v>
      </c>
      <c r="R52" s="2" t="inlineStr"/>
    </row>
    <row r="53" ht="15" customHeight="1">
      <c r="A53" t="inlineStr">
        <is>
          <t>A 14447-2021</t>
        </is>
      </c>
      <c r="B53" s="1" t="n">
        <v>44279</v>
      </c>
      <c r="C53" s="1" t="n">
        <v>45881</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52377-2021</t>
        </is>
      </c>
      <c r="B54" s="1" t="n">
        <v>44465</v>
      </c>
      <c r="C54" s="1" t="n">
        <v>45881</v>
      </c>
      <c r="D54" t="inlineStr">
        <is>
          <t>STOCKHOLMS LÄN</t>
        </is>
      </c>
      <c r="E54" t="inlineStr">
        <is>
          <t>VALLENTUNA</t>
        </is>
      </c>
      <c r="G54" t="n">
        <v>1.4</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45881</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19503-2023</t>
        </is>
      </c>
      <c r="B56" s="1" t="n">
        <v>45050.47333333334</v>
      </c>
      <c r="C56" s="1" t="n">
        <v>45881</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24994-2021</t>
        </is>
      </c>
      <c r="B57" s="1" t="n">
        <v>44341</v>
      </c>
      <c r="C57" s="1" t="n">
        <v>45881</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18847-2025</t>
        </is>
      </c>
      <c r="B58" s="1" t="n">
        <v>45764</v>
      </c>
      <c r="C58" s="1" t="n">
        <v>45881</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45881</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21612-2021</t>
        </is>
      </c>
      <c r="B60" s="1" t="n">
        <v>44321</v>
      </c>
      <c r="C60" s="1" t="n">
        <v>45881</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3078-2023</t>
        </is>
      </c>
      <c r="B61" s="1" t="n">
        <v>44946.41527777778</v>
      </c>
      <c r="C61" s="1" t="n">
        <v>45881</v>
      </c>
      <c r="D61" t="inlineStr">
        <is>
          <t>STOCKHOLMS LÄN</t>
        </is>
      </c>
      <c r="E61" t="inlineStr">
        <is>
          <t>VALLENTUNA</t>
        </is>
      </c>
      <c r="G61" t="n">
        <v>3.9</v>
      </c>
      <c r="H61" t="n">
        <v>0</v>
      </c>
      <c r="I61" t="n">
        <v>0</v>
      </c>
      <c r="J61" t="n">
        <v>0</v>
      </c>
      <c r="K61" t="n">
        <v>0</v>
      </c>
      <c r="L61" t="n">
        <v>0</v>
      </c>
      <c r="M61" t="n">
        <v>0</v>
      </c>
      <c r="N61" t="n">
        <v>0</v>
      </c>
      <c r="O61" t="n">
        <v>0</v>
      </c>
      <c r="P61" t="n">
        <v>0</v>
      </c>
      <c r="Q61" t="n">
        <v>0</v>
      </c>
      <c r="R61" s="2" t="inlineStr"/>
    </row>
    <row r="62" ht="15" customHeight="1">
      <c r="A62" t="inlineStr">
        <is>
          <t>A 60795-2023</t>
        </is>
      </c>
      <c r="B62" s="1" t="n">
        <v>45260</v>
      </c>
      <c r="C62" s="1" t="n">
        <v>45881</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45881</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34441-2023</t>
        </is>
      </c>
      <c r="B64" s="1" t="n">
        <v>45139</v>
      </c>
      <c r="C64" s="1" t="n">
        <v>45881</v>
      </c>
      <c r="D64" t="inlineStr">
        <is>
          <t>STOCKHOLMS LÄN</t>
        </is>
      </c>
      <c r="E64" t="inlineStr">
        <is>
          <t>VALLENTUNA</t>
        </is>
      </c>
      <c r="G64" t="n">
        <v>1.6</v>
      </c>
      <c r="H64" t="n">
        <v>0</v>
      </c>
      <c r="I64" t="n">
        <v>0</v>
      </c>
      <c r="J64" t="n">
        <v>0</v>
      </c>
      <c r="K64" t="n">
        <v>0</v>
      </c>
      <c r="L64" t="n">
        <v>0</v>
      </c>
      <c r="M64" t="n">
        <v>0</v>
      </c>
      <c r="N64" t="n">
        <v>0</v>
      </c>
      <c r="O64" t="n">
        <v>0</v>
      </c>
      <c r="P64" t="n">
        <v>0</v>
      </c>
      <c r="Q64" t="n">
        <v>0</v>
      </c>
      <c r="R64" s="2" t="inlineStr"/>
    </row>
    <row r="65" ht="15" customHeight="1">
      <c r="A65" t="inlineStr">
        <is>
          <t>A 34445-2023</t>
        </is>
      </c>
      <c r="B65" s="1" t="n">
        <v>45139</v>
      </c>
      <c r="C65" s="1" t="n">
        <v>45881</v>
      </c>
      <c r="D65" t="inlineStr">
        <is>
          <t>STOCKHOLMS LÄN</t>
        </is>
      </c>
      <c r="E65" t="inlineStr">
        <is>
          <t>VALLENTUNA</t>
        </is>
      </c>
      <c r="G65" t="n">
        <v>0.9</v>
      </c>
      <c r="H65" t="n">
        <v>0</v>
      </c>
      <c r="I65" t="n">
        <v>0</v>
      </c>
      <c r="J65" t="n">
        <v>0</v>
      </c>
      <c r="K65" t="n">
        <v>0</v>
      </c>
      <c r="L65" t="n">
        <v>0</v>
      </c>
      <c r="M65" t="n">
        <v>0</v>
      </c>
      <c r="N65" t="n">
        <v>0</v>
      </c>
      <c r="O65" t="n">
        <v>0</v>
      </c>
      <c r="P65" t="n">
        <v>0</v>
      </c>
      <c r="Q65" t="n">
        <v>0</v>
      </c>
      <c r="R65" s="2" t="inlineStr"/>
    </row>
    <row r="66" ht="15" customHeight="1">
      <c r="A66" t="inlineStr">
        <is>
          <t>A 34460-2023</t>
        </is>
      </c>
      <c r="B66" s="1" t="n">
        <v>45139</v>
      </c>
      <c r="C66" s="1" t="n">
        <v>45881</v>
      </c>
      <c r="D66" t="inlineStr">
        <is>
          <t>STOCKHOLMS LÄN</t>
        </is>
      </c>
      <c r="E66" t="inlineStr">
        <is>
          <t>VALLENTUNA</t>
        </is>
      </c>
      <c r="G66" t="n">
        <v>1.7</v>
      </c>
      <c r="H66" t="n">
        <v>0</v>
      </c>
      <c r="I66" t="n">
        <v>0</v>
      </c>
      <c r="J66" t="n">
        <v>0</v>
      </c>
      <c r="K66" t="n">
        <v>0</v>
      </c>
      <c r="L66" t="n">
        <v>0</v>
      </c>
      <c r="M66" t="n">
        <v>0</v>
      </c>
      <c r="N66" t="n">
        <v>0</v>
      </c>
      <c r="O66" t="n">
        <v>0</v>
      </c>
      <c r="P66" t="n">
        <v>0</v>
      </c>
      <c r="Q66" t="n">
        <v>0</v>
      </c>
      <c r="R66" s="2" t="inlineStr"/>
    </row>
    <row r="67" ht="15" customHeight="1">
      <c r="A67" t="inlineStr">
        <is>
          <t>A 23986-2023</t>
        </is>
      </c>
      <c r="B67" s="1" t="n">
        <v>45078</v>
      </c>
      <c r="C67" s="1" t="n">
        <v>45881</v>
      </c>
      <c r="D67" t="inlineStr">
        <is>
          <t>STOCKHOLMS LÄN</t>
        </is>
      </c>
      <c r="E67" t="inlineStr">
        <is>
          <t>VALLENTUNA</t>
        </is>
      </c>
      <c r="F67" t="inlineStr">
        <is>
          <t>Kyrkan</t>
        </is>
      </c>
      <c r="G67" t="n">
        <v>5.7</v>
      </c>
      <c r="H67" t="n">
        <v>0</v>
      </c>
      <c r="I67" t="n">
        <v>0</v>
      </c>
      <c r="J67" t="n">
        <v>0</v>
      </c>
      <c r="K67" t="n">
        <v>0</v>
      </c>
      <c r="L67" t="n">
        <v>0</v>
      </c>
      <c r="M67" t="n">
        <v>0</v>
      </c>
      <c r="N67" t="n">
        <v>0</v>
      </c>
      <c r="O67" t="n">
        <v>0</v>
      </c>
      <c r="P67" t="n">
        <v>0</v>
      </c>
      <c r="Q67" t="n">
        <v>0</v>
      </c>
      <c r="R67" s="2" t="inlineStr"/>
    </row>
    <row r="68" ht="15" customHeight="1">
      <c r="A68" t="inlineStr">
        <is>
          <t>A 21445-2023</t>
        </is>
      </c>
      <c r="B68" s="1" t="n">
        <v>45063</v>
      </c>
      <c r="C68" s="1" t="n">
        <v>45881</v>
      </c>
      <c r="D68" t="inlineStr">
        <is>
          <t>STOCKHOLMS LÄN</t>
        </is>
      </c>
      <c r="E68" t="inlineStr">
        <is>
          <t>VALLENTUNA</t>
        </is>
      </c>
      <c r="G68" t="n">
        <v>3.1</v>
      </c>
      <c r="H68" t="n">
        <v>0</v>
      </c>
      <c r="I68" t="n">
        <v>0</v>
      </c>
      <c r="J68" t="n">
        <v>0</v>
      </c>
      <c r="K68" t="n">
        <v>0</v>
      </c>
      <c r="L68" t="n">
        <v>0</v>
      </c>
      <c r="M68" t="n">
        <v>0</v>
      </c>
      <c r="N68" t="n">
        <v>0</v>
      </c>
      <c r="O68" t="n">
        <v>0</v>
      </c>
      <c r="P68" t="n">
        <v>0</v>
      </c>
      <c r="Q68" t="n">
        <v>0</v>
      </c>
      <c r="R68" s="2" t="inlineStr"/>
    </row>
    <row r="69" ht="15" customHeight="1">
      <c r="A69" t="inlineStr">
        <is>
          <t>A 22683-2023</t>
        </is>
      </c>
      <c r="B69" s="1" t="n">
        <v>45071</v>
      </c>
      <c r="C69" s="1" t="n">
        <v>45881</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15300-2023</t>
        </is>
      </c>
      <c r="B70" s="1" t="n">
        <v>45019</v>
      </c>
      <c r="C70" s="1" t="n">
        <v>45881</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24943-2024</t>
        </is>
      </c>
      <c r="B71" s="1" t="n">
        <v>45461.62585648148</v>
      </c>
      <c r="C71" s="1" t="n">
        <v>45881</v>
      </c>
      <c r="D71" t="inlineStr">
        <is>
          <t>STOCKHOLMS LÄN</t>
        </is>
      </c>
      <c r="E71" t="inlineStr">
        <is>
          <t>VALLENTUNA</t>
        </is>
      </c>
      <c r="G71" t="n">
        <v>2</v>
      </c>
      <c r="H71" t="n">
        <v>0</v>
      </c>
      <c r="I71" t="n">
        <v>0</v>
      </c>
      <c r="J71" t="n">
        <v>0</v>
      </c>
      <c r="K71" t="n">
        <v>0</v>
      </c>
      <c r="L71" t="n">
        <v>0</v>
      </c>
      <c r="M71" t="n">
        <v>0</v>
      </c>
      <c r="N71" t="n">
        <v>0</v>
      </c>
      <c r="O71" t="n">
        <v>0</v>
      </c>
      <c r="P71" t="n">
        <v>0</v>
      </c>
      <c r="Q71" t="n">
        <v>0</v>
      </c>
      <c r="R71" s="2" t="inlineStr"/>
    </row>
    <row r="72" ht="15" customHeight="1">
      <c r="A72" t="inlineStr">
        <is>
          <t>A 5910-2022</t>
        </is>
      </c>
      <c r="B72" s="1" t="n">
        <v>44597</v>
      </c>
      <c r="C72" s="1" t="n">
        <v>45881</v>
      </c>
      <c r="D72" t="inlineStr">
        <is>
          <t>STOCKHOLMS LÄN</t>
        </is>
      </c>
      <c r="E72" t="inlineStr">
        <is>
          <t>VALLENTUNA</t>
        </is>
      </c>
      <c r="G72" t="n">
        <v>0.6</v>
      </c>
      <c r="H72" t="n">
        <v>0</v>
      </c>
      <c r="I72" t="n">
        <v>0</v>
      </c>
      <c r="J72" t="n">
        <v>0</v>
      </c>
      <c r="K72" t="n">
        <v>0</v>
      </c>
      <c r="L72" t="n">
        <v>0</v>
      </c>
      <c r="M72" t="n">
        <v>0</v>
      </c>
      <c r="N72" t="n">
        <v>0</v>
      </c>
      <c r="O72" t="n">
        <v>0</v>
      </c>
      <c r="P72" t="n">
        <v>0</v>
      </c>
      <c r="Q72" t="n">
        <v>0</v>
      </c>
      <c r="R72" s="2" t="inlineStr"/>
    </row>
    <row r="73" ht="15" customHeight="1">
      <c r="A73" t="inlineStr">
        <is>
          <t>A 30913-2021</t>
        </is>
      </c>
      <c r="B73" s="1" t="n">
        <v>44365</v>
      </c>
      <c r="C73" s="1" t="n">
        <v>45881</v>
      </c>
      <c r="D73" t="inlineStr">
        <is>
          <t>STOCKHOLMS LÄN</t>
        </is>
      </c>
      <c r="E73" t="inlineStr">
        <is>
          <t>VALLENTUNA</t>
        </is>
      </c>
      <c r="F73" t="inlineStr">
        <is>
          <t>Övriga Aktiebolag</t>
        </is>
      </c>
      <c r="G73" t="n">
        <v>3.3</v>
      </c>
      <c r="H73" t="n">
        <v>0</v>
      </c>
      <c r="I73" t="n">
        <v>0</v>
      </c>
      <c r="J73" t="n">
        <v>0</v>
      </c>
      <c r="K73" t="n">
        <v>0</v>
      </c>
      <c r="L73" t="n">
        <v>0</v>
      </c>
      <c r="M73" t="n">
        <v>0</v>
      </c>
      <c r="N73" t="n">
        <v>0</v>
      </c>
      <c r="O73" t="n">
        <v>0</v>
      </c>
      <c r="P73" t="n">
        <v>0</v>
      </c>
      <c r="Q73" t="n">
        <v>0</v>
      </c>
      <c r="R73" s="2" t="inlineStr"/>
    </row>
    <row r="74" ht="15" customHeight="1">
      <c r="A74" t="inlineStr">
        <is>
          <t>A 8077-2022</t>
        </is>
      </c>
      <c r="B74" s="1" t="n">
        <v>44609</v>
      </c>
      <c r="C74" s="1" t="n">
        <v>45881</v>
      </c>
      <c r="D74" t="inlineStr">
        <is>
          <t>STOCKHOLMS LÄN</t>
        </is>
      </c>
      <c r="E74" t="inlineStr">
        <is>
          <t>VALLENTUNA</t>
        </is>
      </c>
      <c r="G74" t="n">
        <v>1.3</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45881</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17342-2025</t>
        </is>
      </c>
      <c r="B76" s="1" t="n">
        <v>45756</v>
      </c>
      <c r="C76" s="1" t="n">
        <v>45881</v>
      </c>
      <c r="D76" t="inlineStr">
        <is>
          <t>STOCKHOLMS LÄN</t>
        </is>
      </c>
      <c r="E76" t="inlineStr">
        <is>
          <t>VALLENTUNA</t>
        </is>
      </c>
      <c r="F76" t="inlineStr">
        <is>
          <t>Övriga Aktiebolag</t>
        </is>
      </c>
      <c r="G76" t="n">
        <v>3.9</v>
      </c>
      <c r="H76" t="n">
        <v>0</v>
      </c>
      <c r="I76" t="n">
        <v>0</v>
      </c>
      <c r="J76" t="n">
        <v>0</v>
      </c>
      <c r="K76" t="n">
        <v>0</v>
      </c>
      <c r="L76" t="n">
        <v>0</v>
      </c>
      <c r="M76" t="n">
        <v>0</v>
      </c>
      <c r="N76" t="n">
        <v>0</v>
      </c>
      <c r="O76" t="n">
        <v>0</v>
      </c>
      <c r="P76" t="n">
        <v>0</v>
      </c>
      <c r="Q76" t="n">
        <v>0</v>
      </c>
      <c r="R76" s="2" t="inlineStr"/>
    </row>
    <row r="77" ht="15" customHeight="1">
      <c r="A77" t="inlineStr">
        <is>
          <t>A 18832-2025</t>
        </is>
      </c>
      <c r="B77" s="1" t="n">
        <v>45764</v>
      </c>
      <c r="C77" s="1" t="n">
        <v>45881</v>
      </c>
      <c r="D77" t="inlineStr">
        <is>
          <t>STOCKHOLMS LÄN</t>
        </is>
      </c>
      <c r="E77" t="inlineStr">
        <is>
          <t>VALLENTUNA</t>
        </is>
      </c>
      <c r="G77" t="n">
        <v>2.7</v>
      </c>
      <c r="H77" t="n">
        <v>0</v>
      </c>
      <c r="I77" t="n">
        <v>0</v>
      </c>
      <c r="J77" t="n">
        <v>0</v>
      </c>
      <c r="K77" t="n">
        <v>0</v>
      </c>
      <c r="L77" t="n">
        <v>0</v>
      </c>
      <c r="M77" t="n">
        <v>0</v>
      </c>
      <c r="N77" t="n">
        <v>0</v>
      </c>
      <c r="O77" t="n">
        <v>0</v>
      </c>
      <c r="P77" t="n">
        <v>0</v>
      </c>
      <c r="Q77" t="n">
        <v>0</v>
      </c>
      <c r="R77" s="2" t="inlineStr"/>
    </row>
    <row r="78" ht="15" customHeight="1">
      <c r="A78" t="inlineStr">
        <is>
          <t>A 29704-2023</t>
        </is>
      </c>
      <c r="B78" s="1" t="n">
        <v>45107</v>
      </c>
      <c r="C78" s="1" t="n">
        <v>45881</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21765-2023</t>
        </is>
      </c>
      <c r="B79" s="1" t="n">
        <v>45064</v>
      </c>
      <c r="C79" s="1" t="n">
        <v>45881</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45496-2023</t>
        </is>
      </c>
      <c r="B80" s="1" t="n">
        <v>45194</v>
      </c>
      <c r="C80" s="1" t="n">
        <v>45881</v>
      </c>
      <c r="D80" t="inlineStr">
        <is>
          <t>STOCKHOLMS LÄN</t>
        </is>
      </c>
      <c r="E80" t="inlineStr">
        <is>
          <t>VALLENTUNA</t>
        </is>
      </c>
      <c r="G80" t="n">
        <v>1.2</v>
      </c>
      <c r="H80" t="n">
        <v>0</v>
      </c>
      <c r="I80" t="n">
        <v>0</v>
      </c>
      <c r="J80" t="n">
        <v>0</v>
      </c>
      <c r="K80" t="n">
        <v>0</v>
      </c>
      <c r="L80" t="n">
        <v>0</v>
      </c>
      <c r="M80" t="n">
        <v>0</v>
      </c>
      <c r="N80" t="n">
        <v>0</v>
      </c>
      <c r="O80" t="n">
        <v>0</v>
      </c>
      <c r="P80" t="n">
        <v>0</v>
      </c>
      <c r="Q80" t="n">
        <v>0</v>
      </c>
      <c r="R80" s="2" t="inlineStr"/>
    </row>
    <row r="81" ht="15" customHeight="1">
      <c r="A81" t="inlineStr">
        <is>
          <t>A 45499-2023</t>
        </is>
      </c>
      <c r="B81" s="1" t="n">
        <v>45194</v>
      </c>
      <c r="C81" s="1" t="n">
        <v>45881</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56152-2024</t>
        </is>
      </c>
      <c r="B82" s="1" t="n">
        <v>45624.52403935185</v>
      </c>
      <c r="C82" s="1" t="n">
        <v>45881</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14782-2024</t>
        </is>
      </c>
      <c r="B83" s="1" t="n">
        <v>45397.74266203704</v>
      </c>
      <c r="C83" s="1" t="n">
        <v>45881</v>
      </c>
      <c r="D83" t="inlineStr">
        <is>
          <t>STOCKHOLMS LÄN</t>
        </is>
      </c>
      <c r="E83" t="inlineStr">
        <is>
          <t>VALLENTUNA</t>
        </is>
      </c>
      <c r="G83" t="n">
        <v>3.1</v>
      </c>
      <c r="H83" t="n">
        <v>0</v>
      </c>
      <c r="I83" t="n">
        <v>0</v>
      </c>
      <c r="J83" t="n">
        <v>0</v>
      </c>
      <c r="K83" t="n">
        <v>0</v>
      </c>
      <c r="L83" t="n">
        <v>0</v>
      </c>
      <c r="M83" t="n">
        <v>0</v>
      </c>
      <c r="N83" t="n">
        <v>0</v>
      </c>
      <c r="O83" t="n">
        <v>0</v>
      </c>
      <c r="P83" t="n">
        <v>0</v>
      </c>
      <c r="Q83" t="n">
        <v>0</v>
      </c>
      <c r="R83" s="2" t="inlineStr"/>
    </row>
    <row r="84" ht="15" customHeight="1">
      <c r="A84" t="inlineStr">
        <is>
          <t>A 1385-2024</t>
        </is>
      </c>
      <c r="B84" s="1" t="n">
        <v>45303</v>
      </c>
      <c r="C84" s="1" t="n">
        <v>45881</v>
      </c>
      <c r="D84" t="inlineStr">
        <is>
          <t>STOCKHOLMS LÄN</t>
        </is>
      </c>
      <c r="E84" t="inlineStr">
        <is>
          <t>VALLENTUNA</t>
        </is>
      </c>
      <c r="G84" t="n">
        <v>2.6</v>
      </c>
      <c r="H84" t="n">
        <v>0</v>
      </c>
      <c r="I84" t="n">
        <v>0</v>
      </c>
      <c r="J84" t="n">
        <v>0</v>
      </c>
      <c r="K84" t="n">
        <v>0</v>
      </c>
      <c r="L84" t="n">
        <v>0</v>
      </c>
      <c r="M84" t="n">
        <v>0</v>
      </c>
      <c r="N84" t="n">
        <v>0</v>
      </c>
      <c r="O84" t="n">
        <v>0</v>
      </c>
      <c r="P84" t="n">
        <v>0</v>
      </c>
      <c r="Q84" t="n">
        <v>0</v>
      </c>
      <c r="R84" s="2" t="inlineStr"/>
    </row>
    <row r="85" ht="15" customHeight="1">
      <c r="A85" t="inlineStr">
        <is>
          <t>A 48068-2021</t>
        </is>
      </c>
      <c r="B85" s="1" t="n">
        <v>44449.42270833333</v>
      </c>
      <c r="C85" s="1" t="n">
        <v>45881</v>
      </c>
      <c r="D85" t="inlineStr">
        <is>
          <t>STOCKHOLMS LÄN</t>
        </is>
      </c>
      <c r="E85" t="inlineStr">
        <is>
          <t>VALLENTUNA</t>
        </is>
      </c>
      <c r="G85" t="n">
        <v>1.3</v>
      </c>
      <c r="H85" t="n">
        <v>0</v>
      </c>
      <c r="I85" t="n">
        <v>0</v>
      </c>
      <c r="J85" t="n">
        <v>0</v>
      </c>
      <c r="K85" t="n">
        <v>0</v>
      </c>
      <c r="L85" t="n">
        <v>0</v>
      </c>
      <c r="M85" t="n">
        <v>0</v>
      </c>
      <c r="N85" t="n">
        <v>0</v>
      </c>
      <c r="O85" t="n">
        <v>0</v>
      </c>
      <c r="P85" t="n">
        <v>0</v>
      </c>
      <c r="Q85" t="n">
        <v>0</v>
      </c>
      <c r="R85" s="2" t="inlineStr"/>
    </row>
    <row r="86" ht="15" customHeight="1">
      <c r="A86" t="inlineStr">
        <is>
          <t>A 14775-2024</t>
        </is>
      </c>
      <c r="B86" s="1" t="n">
        <v>45397.73675925926</v>
      </c>
      <c r="C86" s="1" t="n">
        <v>45881</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3937-2022</t>
        </is>
      </c>
      <c r="B87" s="1" t="n">
        <v>44587</v>
      </c>
      <c r="C87" s="1" t="n">
        <v>45881</v>
      </c>
      <c r="D87" t="inlineStr">
        <is>
          <t>STOCKHOLMS LÄN</t>
        </is>
      </c>
      <c r="E87" t="inlineStr">
        <is>
          <t>VALLENTUNA</t>
        </is>
      </c>
      <c r="G87" t="n">
        <v>6.6</v>
      </c>
      <c r="H87" t="n">
        <v>0</v>
      </c>
      <c r="I87" t="n">
        <v>0</v>
      </c>
      <c r="J87" t="n">
        <v>0</v>
      </c>
      <c r="K87" t="n">
        <v>0</v>
      </c>
      <c r="L87" t="n">
        <v>0</v>
      </c>
      <c r="M87" t="n">
        <v>0</v>
      </c>
      <c r="N87" t="n">
        <v>0</v>
      </c>
      <c r="O87" t="n">
        <v>0</v>
      </c>
      <c r="P87" t="n">
        <v>0</v>
      </c>
      <c r="Q87" t="n">
        <v>0</v>
      </c>
      <c r="R87" s="2" t="inlineStr"/>
    </row>
    <row r="88" ht="15" customHeight="1">
      <c r="A88" t="inlineStr">
        <is>
          <t>A 26390-2023</t>
        </is>
      </c>
      <c r="B88" s="1" t="n">
        <v>45086</v>
      </c>
      <c r="C88" s="1" t="n">
        <v>45881</v>
      </c>
      <c r="D88" t="inlineStr">
        <is>
          <t>STOCKHOLMS LÄN</t>
        </is>
      </c>
      <c r="E88" t="inlineStr">
        <is>
          <t>VALLENTUNA</t>
        </is>
      </c>
      <c r="G88" t="n">
        <v>1.6</v>
      </c>
      <c r="H88" t="n">
        <v>0</v>
      </c>
      <c r="I88" t="n">
        <v>0</v>
      </c>
      <c r="J88" t="n">
        <v>0</v>
      </c>
      <c r="K88" t="n">
        <v>0</v>
      </c>
      <c r="L88" t="n">
        <v>0</v>
      </c>
      <c r="M88" t="n">
        <v>0</v>
      </c>
      <c r="N88" t="n">
        <v>0</v>
      </c>
      <c r="O88" t="n">
        <v>0</v>
      </c>
      <c r="P88" t="n">
        <v>0</v>
      </c>
      <c r="Q88" t="n">
        <v>0</v>
      </c>
      <c r="R88" s="2" t="inlineStr"/>
    </row>
    <row r="89" ht="15" customHeight="1">
      <c r="A89" t="inlineStr">
        <is>
          <t>A 60818-2023</t>
        </is>
      </c>
      <c r="B89" s="1" t="n">
        <v>45259</v>
      </c>
      <c r="C89" s="1" t="n">
        <v>45881</v>
      </c>
      <c r="D89" t="inlineStr">
        <is>
          <t>STOCKHOLMS LÄN</t>
        </is>
      </c>
      <c r="E89" t="inlineStr">
        <is>
          <t>VALLENTUNA</t>
        </is>
      </c>
      <c r="G89" t="n">
        <v>9.4</v>
      </c>
      <c r="H89" t="n">
        <v>0</v>
      </c>
      <c r="I89" t="n">
        <v>0</v>
      </c>
      <c r="J89" t="n">
        <v>0</v>
      </c>
      <c r="K89" t="n">
        <v>0</v>
      </c>
      <c r="L89" t="n">
        <v>0</v>
      </c>
      <c r="M89" t="n">
        <v>0</v>
      </c>
      <c r="N89" t="n">
        <v>0</v>
      </c>
      <c r="O89" t="n">
        <v>0</v>
      </c>
      <c r="P89" t="n">
        <v>0</v>
      </c>
      <c r="Q89" t="n">
        <v>0</v>
      </c>
      <c r="R89" s="2" t="inlineStr"/>
    </row>
    <row r="90" ht="15" customHeight="1">
      <c r="A90" t="inlineStr">
        <is>
          <t>A 14485-2024</t>
        </is>
      </c>
      <c r="B90" s="1" t="n">
        <v>45394.57304398148</v>
      </c>
      <c r="C90" s="1" t="n">
        <v>45881</v>
      </c>
      <c r="D90" t="inlineStr">
        <is>
          <t>STOCKHOLMS LÄN</t>
        </is>
      </c>
      <c r="E90" t="inlineStr">
        <is>
          <t>VALLENTUNA</t>
        </is>
      </c>
      <c r="G90" t="n">
        <v>5.1</v>
      </c>
      <c r="H90" t="n">
        <v>0</v>
      </c>
      <c r="I90" t="n">
        <v>0</v>
      </c>
      <c r="J90" t="n">
        <v>0</v>
      </c>
      <c r="K90" t="n">
        <v>0</v>
      </c>
      <c r="L90" t="n">
        <v>0</v>
      </c>
      <c r="M90" t="n">
        <v>0</v>
      </c>
      <c r="N90" t="n">
        <v>0</v>
      </c>
      <c r="O90" t="n">
        <v>0</v>
      </c>
      <c r="P90" t="n">
        <v>0</v>
      </c>
      <c r="Q90" t="n">
        <v>0</v>
      </c>
      <c r="R90" s="2" t="inlineStr"/>
    </row>
    <row r="91" ht="15" customHeight="1">
      <c r="A91" t="inlineStr">
        <is>
          <t>A 735-2024</t>
        </is>
      </c>
      <c r="B91" s="1" t="n">
        <v>45300</v>
      </c>
      <c r="C91" s="1" t="n">
        <v>45881</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17411-2023</t>
        </is>
      </c>
      <c r="B92" s="1" t="n">
        <v>45035.82512731481</v>
      </c>
      <c r="C92" s="1" t="n">
        <v>45881</v>
      </c>
      <c r="D92" t="inlineStr">
        <is>
          <t>STOCKHOLMS LÄN</t>
        </is>
      </c>
      <c r="E92" t="inlineStr">
        <is>
          <t>VALLENTUNA</t>
        </is>
      </c>
      <c r="G92" t="n">
        <v>0.7</v>
      </c>
      <c r="H92" t="n">
        <v>0</v>
      </c>
      <c r="I92" t="n">
        <v>0</v>
      </c>
      <c r="J92" t="n">
        <v>0</v>
      </c>
      <c r="K92" t="n">
        <v>0</v>
      </c>
      <c r="L92" t="n">
        <v>0</v>
      </c>
      <c r="M92" t="n">
        <v>0</v>
      </c>
      <c r="N92" t="n">
        <v>0</v>
      </c>
      <c r="O92" t="n">
        <v>0</v>
      </c>
      <c r="P92" t="n">
        <v>0</v>
      </c>
      <c r="Q92" t="n">
        <v>0</v>
      </c>
      <c r="R92" s="2" t="inlineStr"/>
    </row>
    <row r="93" ht="15" customHeight="1">
      <c r="A93" t="inlineStr">
        <is>
          <t>A 62402-2022</t>
        </is>
      </c>
      <c r="B93" s="1" t="n">
        <v>44923</v>
      </c>
      <c r="C93" s="1" t="n">
        <v>45881</v>
      </c>
      <c r="D93" t="inlineStr">
        <is>
          <t>STOCKHOLMS LÄN</t>
        </is>
      </c>
      <c r="E93" t="inlineStr">
        <is>
          <t>VALLENTUNA</t>
        </is>
      </c>
      <c r="G93" t="n">
        <v>3.8</v>
      </c>
      <c r="H93" t="n">
        <v>0</v>
      </c>
      <c r="I93" t="n">
        <v>0</v>
      </c>
      <c r="J93" t="n">
        <v>0</v>
      </c>
      <c r="K93" t="n">
        <v>0</v>
      </c>
      <c r="L93" t="n">
        <v>0</v>
      </c>
      <c r="M93" t="n">
        <v>0</v>
      </c>
      <c r="N93" t="n">
        <v>0</v>
      </c>
      <c r="O93" t="n">
        <v>0</v>
      </c>
      <c r="P93" t="n">
        <v>0</v>
      </c>
      <c r="Q93" t="n">
        <v>0</v>
      </c>
      <c r="R93" s="2" t="inlineStr"/>
    </row>
    <row r="94" ht="15" customHeight="1">
      <c r="A94" t="inlineStr">
        <is>
          <t>A 7264-2022</t>
        </is>
      </c>
      <c r="B94" s="1" t="n">
        <v>44606</v>
      </c>
      <c r="C94" s="1" t="n">
        <v>45881</v>
      </c>
      <c r="D94" t="inlineStr">
        <is>
          <t>STOCKHOLMS LÄN</t>
        </is>
      </c>
      <c r="E94" t="inlineStr">
        <is>
          <t>VALLENTUNA</t>
        </is>
      </c>
      <c r="G94" t="n">
        <v>2.4</v>
      </c>
      <c r="H94" t="n">
        <v>0</v>
      </c>
      <c r="I94" t="n">
        <v>0</v>
      </c>
      <c r="J94" t="n">
        <v>0</v>
      </c>
      <c r="K94" t="n">
        <v>0</v>
      </c>
      <c r="L94" t="n">
        <v>0</v>
      </c>
      <c r="M94" t="n">
        <v>0</v>
      </c>
      <c r="N94" t="n">
        <v>0</v>
      </c>
      <c r="O94" t="n">
        <v>0</v>
      </c>
      <c r="P94" t="n">
        <v>0</v>
      </c>
      <c r="Q94" t="n">
        <v>0</v>
      </c>
      <c r="R94" s="2" t="inlineStr"/>
    </row>
    <row r="95" ht="15" customHeight="1">
      <c r="A95" t="inlineStr">
        <is>
          <t>A 68935-2020</t>
        </is>
      </c>
      <c r="B95" s="1" t="n">
        <v>44187</v>
      </c>
      <c r="C95" s="1" t="n">
        <v>45881</v>
      </c>
      <c r="D95" t="inlineStr">
        <is>
          <t>STOCKHOLMS LÄN</t>
        </is>
      </c>
      <c r="E95" t="inlineStr">
        <is>
          <t>VALLENTUNA</t>
        </is>
      </c>
      <c r="G95" t="n">
        <v>7.8</v>
      </c>
      <c r="H95" t="n">
        <v>0</v>
      </c>
      <c r="I95" t="n">
        <v>0</v>
      </c>
      <c r="J95" t="n">
        <v>0</v>
      </c>
      <c r="K95" t="n">
        <v>0</v>
      </c>
      <c r="L95" t="n">
        <v>0</v>
      </c>
      <c r="M95" t="n">
        <v>0</v>
      </c>
      <c r="N95" t="n">
        <v>0</v>
      </c>
      <c r="O95" t="n">
        <v>0</v>
      </c>
      <c r="P95" t="n">
        <v>0</v>
      </c>
      <c r="Q95" t="n">
        <v>0</v>
      </c>
      <c r="R95" s="2" t="inlineStr"/>
    </row>
    <row r="96" ht="15" customHeight="1">
      <c r="A96" t="inlineStr">
        <is>
          <t>A 15268-2023</t>
        </is>
      </c>
      <c r="B96" s="1" t="n">
        <v>45019.41045138889</v>
      </c>
      <c r="C96" s="1" t="n">
        <v>45881</v>
      </c>
      <c r="D96" t="inlineStr">
        <is>
          <t>STOCKHOLMS LÄN</t>
        </is>
      </c>
      <c r="E96" t="inlineStr">
        <is>
          <t>VALLENTUNA</t>
        </is>
      </c>
      <c r="G96" t="n">
        <v>2.2</v>
      </c>
      <c r="H96" t="n">
        <v>0</v>
      </c>
      <c r="I96" t="n">
        <v>0</v>
      </c>
      <c r="J96" t="n">
        <v>0</v>
      </c>
      <c r="K96" t="n">
        <v>0</v>
      </c>
      <c r="L96" t="n">
        <v>0</v>
      </c>
      <c r="M96" t="n">
        <v>0</v>
      </c>
      <c r="N96" t="n">
        <v>0</v>
      </c>
      <c r="O96" t="n">
        <v>0</v>
      </c>
      <c r="P96" t="n">
        <v>0</v>
      </c>
      <c r="Q96" t="n">
        <v>0</v>
      </c>
      <c r="R96" s="2" t="inlineStr"/>
    </row>
    <row r="97" ht="15" customHeight="1">
      <c r="A97" t="inlineStr">
        <is>
          <t>A 19356-2025</t>
        </is>
      </c>
      <c r="B97" s="1" t="n">
        <v>45769.62061342593</v>
      </c>
      <c r="C97" s="1" t="n">
        <v>45881</v>
      </c>
      <c r="D97" t="inlineStr">
        <is>
          <t>STOCKHOLMS LÄN</t>
        </is>
      </c>
      <c r="E97" t="inlineStr">
        <is>
          <t>VALLENTUNA</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12562-2023</t>
        </is>
      </c>
      <c r="B98" s="1" t="n">
        <v>45000</v>
      </c>
      <c r="C98" s="1" t="n">
        <v>45881</v>
      </c>
      <c r="D98" t="inlineStr">
        <is>
          <t>STOCKHOLMS LÄN</t>
        </is>
      </c>
      <c r="E98" t="inlineStr">
        <is>
          <t>VALLENTUNA</t>
        </is>
      </c>
      <c r="G98" t="n">
        <v>2.1</v>
      </c>
      <c r="H98" t="n">
        <v>0</v>
      </c>
      <c r="I98" t="n">
        <v>0</v>
      </c>
      <c r="J98" t="n">
        <v>0</v>
      </c>
      <c r="K98" t="n">
        <v>0</v>
      </c>
      <c r="L98" t="n">
        <v>0</v>
      </c>
      <c r="M98" t="n">
        <v>0</v>
      </c>
      <c r="N98" t="n">
        <v>0</v>
      </c>
      <c r="O98" t="n">
        <v>0</v>
      </c>
      <c r="P98" t="n">
        <v>0</v>
      </c>
      <c r="Q98" t="n">
        <v>0</v>
      </c>
      <c r="R98" s="2" t="inlineStr"/>
    </row>
    <row r="99" ht="15" customHeight="1">
      <c r="A99" t="inlineStr">
        <is>
          <t>A 6593-2021</t>
        </is>
      </c>
      <c r="B99" s="1" t="n">
        <v>44236</v>
      </c>
      <c r="C99" s="1" t="n">
        <v>45881</v>
      </c>
      <c r="D99" t="inlineStr">
        <is>
          <t>STOCKHOLMS LÄN</t>
        </is>
      </c>
      <c r="E99" t="inlineStr">
        <is>
          <t>VALLENTUNA</t>
        </is>
      </c>
      <c r="G99" t="n">
        <v>2.3</v>
      </c>
      <c r="H99" t="n">
        <v>0</v>
      </c>
      <c r="I99" t="n">
        <v>0</v>
      </c>
      <c r="J99" t="n">
        <v>0</v>
      </c>
      <c r="K99" t="n">
        <v>0</v>
      </c>
      <c r="L99" t="n">
        <v>0</v>
      </c>
      <c r="M99" t="n">
        <v>0</v>
      </c>
      <c r="N99" t="n">
        <v>0</v>
      </c>
      <c r="O99" t="n">
        <v>0</v>
      </c>
      <c r="P99" t="n">
        <v>0</v>
      </c>
      <c r="Q99" t="n">
        <v>0</v>
      </c>
      <c r="R99" s="2" t="inlineStr"/>
    </row>
    <row r="100" ht="15" customHeight="1">
      <c r="A100" t="inlineStr">
        <is>
          <t>A 38102-2024</t>
        </is>
      </c>
      <c r="B100" s="1" t="n">
        <v>45545.36349537037</v>
      </c>
      <c r="C100" s="1" t="n">
        <v>45881</v>
      </c>
      <c r="D100" t="inlineStr">
        <is>
          <t>STOCKHOLMS LÄN</t>
        </is>
      </c>
      <c r="E100" t="inlineStr">
        <is>
          <t>VALLENTUNA</t>
        </is>
      </c>
      <c r="G100" t="n">
        <v>3.2</v>
      </c>
      <c r="H100" t="n">
        <v>0</v>
      </c>
      <c r="I100" t="n">
        <v>0</v>
      </c>
      <c r="J100" t="n">
        <v>0</v>
      </c>
      <c r="K100" t="n">
        <v>0</v>
      </c>
      <c r="L100" t="n">
        <v>0</v>
      </c>
      <c r="M100" t="n">
        <v>0</v>
      </c>
      <c r="N100" t="n">
        <v>0</v>
      </c>
      <c r="O100" t="n">
        <v>0</v>
      </c>
      <c r="P100" t="n">
        <v>0</v>
      </c>
      <c r="Q100" t="n">
        <v>0</v>
      </c>
      <c r="R100" s="2" t="inlineStr"/>
    </row>
    <row r="101" ht="15" customHeight="1">
      <c r="A101" t="inlineStr">
        <is>
          <t>A 24707-2023</t>
        </is>
      </c>
      <c r="B101" s="1" t="n">
        <v>45084</v>
      </c>
      <c r="C101" s="1" t="n">
        <v>45881</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12609-2024</t>
        </is>
      </c>
      <c r="B102" s="1" t="n">
        <v>45382.8109375</v>
      </c>
      <c r="C102" s="1" t="n">
        <v>45881</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17340-2025</t>
        </is>
      </c>
      <c r="B103" s="1" t="n">
        <v>45756</v>
      </c>
      <c r="C103" s="1" t="n">
        <v>45881</v>
      </c>
      <c r="D103" t="inlineStr">
        <is>
          <t>STOCKHOLMS LÄN</t>
        </is>
      </c>
      <c r="E103" t="inlineStr">
        <is>
          <t>VALLENTUNA</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47140-2024</t>
        </is>
      </c>
      <c r="B104" s="1" t="n">
        <v>45586.58753472222</v>
      </c>
      <c r="C104" s="1" t="n">
        <v>45881</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24068-2024</t>
        </is>
      </c>
      <c r="B105" s="1" t="n">
        <v>45456</v>
      </c>
      <c r="C105" s="1" t="n">
        <v>45881</v>
      </c>
      <c r="D105" t="inlineStr">
        <is>
          <t>STOCKHOLMS LÄN</t>
        </is>
      </c>
      <c r="E105" t="inlineStr">
        <is>
          <t>VALLENTUNA</t>
        </is>
      </c>
      <c r="G105" t="n">
        <v>7.4</v>
      </c>
      <c r="H105" t="n">
        <v>0</v>
      </c>
      <c r="I105" t="n">
        <v>0</v>
      </c>
      <c r="J105" t="n">
        <v>0</v>
      </c>
      <c r="K105" t="n">
        <v>0</v>
      </c>
      <c r="L105" t="n">
        <v>0</v>
      </c>
      <c r="M105" t="n">
        <v>0</v>
      </c>
      <c r="N105" t="n">
        <v>0</v>
      </c>
      <c r="O105" t="n">
        <v>0</v>
      </c>
      <c r="P105" t="n">
        <v>0</v>
      </c>
      <c r="Q105" t="n">
        <v>0</v>
      </c>
      <c r="R105" s="2" t="inlineStr"/>
    </row>
    <row r="106" ht="15" customHeight="1">
      <c r="A106" t="inlineStr">
        <is>
          <t>A 20791-2025</t>
        </is>
      </c>
      <c r="B106" s="1" t="n">
        <v>45776.62738425926</v>
      </c>
      <c r="C106" s="1" t="n">
        <v>45881</v>
      </c>
      <c r="D106" t="inlineStr">
        <is>
          <t>STOCKHOLMS LÄN</t>
        </is>
      </c>
      <c r="E106" t="inlineStr">
        <is>
          <t>VALLENTUNA</t>
        </is>
      </c>
      <c r="G106" t="n">
        <v>1.5</v>
      </c>
      <c r="H106" t="n">
        <v>0</v>
      </c>
      <c r="I106" t="n">
        <v>0</v>
      </c>
      <c r="J106" t="n">
        <v>0</v>
      </c>
      <c r="K106" t="n">
        <v>0</v>
      </c>
      <c r="L106" t="n">
        <v>0</v>
      </c>
      <c r="M106" t="n">
        <v>0</v>
      </c>
      <c r="N106" t="n">
        <v>0</v>
      </c>
      <c r="O106" t="n">
        <v>0</v>
      </c>
      <c r="P106" t="n">
        <v>0</v>
      </c>
      <c r="Q106" t="n">
        <v>0</v>
      </c>
      <c r="R106" s="2" t="inlineStr"/>
    </row>
    <row r="107" ht="15" customHeight="1">
      <c r="A107" t="inlineStr">
        <is>
          <t>A 10073-2024</t>
        </is>
      </c>
      <c r="B107" s="1" t="n">
        <v>45364.40821759259</v>
      </c>
      <c r="C107" s="1" t="n">
        <v>45881</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20789-2025</t>
        </is>
      </c>
      <c r="B108" s="1" t="n">
        <v>45776.62518518518</v>
      </c>
      <c r="C108" s="1" t="n">
        <v>45881</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20786-2025</t>
        </is>
      </c>
      <c r="B109" s="1" t="n">
        <v>45776.62273148148</v>
      </c>
      <c r="C109" s="1" t="n">
        <v>45881</v>
      </c>
      <c r="D109" t="inlineStr">
        <is>
          <t>STOCKHOLMS LÄN</t>
        </is>
      </c>
      <c r="E109" t="inlineStr">
        <is>
          <t>VALLENTUNA</t>
        </is>
      </c>
      <c r="G109" t="n">
        <v>7.6</v>
      </c>
      <c r="H109" t="n">
        <v>0</v>
      </c>
      <c r="I109" t="n">
        <v>0</v>
      </c>
      <c r="J109" t="n">
        <v>0</v>
      </c>
      <c r="K109" t="n">
        <v>0</v>
      </c>
      <c r="L109" t="n">
        <v>0</v>
      </c>
      <c r="M109" t="n">
        <v>0</v>
      </c>
      <c r="N109" t="n">
        <v>0</v>
      </c>
      <c r="O109" t="n">
        <v>0</v>
      </c>
      <c r="P109" t="n">
        <v>0</v>
      </c>
      <c r="Q109" t="n">
        <v>0</v>
      </c>
      <c r="R109" s="2" t="inlineStr"/>
    </row>
    <row r="110" ht="15" customHeight="1">
      <c r="A110" t="inlineStr">
        <is>
          <t>A 34452-2021</t>
        </is>
      </c>
      <c r="B110" s="1" t="n">
        <v>44381</v>
      </c>
      <c r="C110" s="1" t="n">
        <v>45881</v>
      </c>
      <c r="D110" t="inlineStr">
        <is>
          <t>STOCKHOLMS LÄN</t>
        </is>
      </c>
      <c r="E110" t="inlineStr">
        <is>
          <t>VALLENTUNA</t>
        </is>
      </c>
      <c r="G110" t="n">
        <v>14.7</v>
      </c>
      <c r="H110" t="n">
        <v>0</v>
      </c>
      <c r="I110" t="n">
        <v>0</v>
      </c>
      <c r="J110" t="n">
        <v>0</v>
      </c>
      <c r="K110" t="n">
        <v>0</v>
      </c>
      <c r="L110" t="n">
        <v>0</v>
      </c>
      <c r="M110" t="n">
        <v>0</v>
      </c>
      <c r="N110" t="n">
        <v>0</v>
      </c>
      <c r="O110" t="n">
        <v>0</v>
      </c>
      <c r="P110" t="n">
        <v>0</v>
      </c>
      <c r="Q110" t="n">
        <v>0</v>
      </c>
      <c r="R110" s="2" t="inlineStr"/>
    </row>
    <row r="111" ht="15" customHeight="1">
      <c r="A111" t="inlineStr">
        <is>
          <t>A 47204-2024</t>
        </is>
      </c>
      <c r="B111" s="1" t="n">
        <v>45586.63575231482</v>
      </c>
      <c r="C111" s="1" t="n">
        <v>45881</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12621-2024</t>
        </is>
      </c>
      <c r="B112" s="1" t="n">
        <v>45383.6325</v>
      </c>
      <c r="C112" s="1" t="n">
        <v>45881</v>
      </c>
      <c r="D112" t="inlineStr">
        <is>
          <t>STOCKHOLMS LÄN</t>
        </is>
      </c>
      <c r="E112" t="inlineStr">
        <is>
          <t>VALLENTUNA</t>
        </is>
      </c>
      <c r="G112" t="n">
        <v>4.4</v>
      </c>
      <c r="H112" t="n">
        <v>0</v>
      </c>
      <c r="I112" t="n">
        <v>0</v>
      </c>
      <c r="J112" t="n">
        <v>0</v>
      </c>
      <c r="K112" t="n">
        <v>0</v>
      </c>
      <c r="L112" t="n">
        <v>0</v>
      </c>
      <c r="M112" t="n">
        <v>0</v>
      </c>
      <c r="N112" t="n">
        <v>0</v>
      </c>
      <c r="O112" t="n">
        <v>0</v>
      </c>
      <c r="P112" t="n">
        <v>0</v>
      </c>
      <c r="Q112" t="n">
        <v>0</v>
      </c>
      <c r="R112" s="2" t="inlineStr"/>
    </row>
    <row r="113" ht="15" customHeight="1">
      <c r="A113" t="inlineStr">
        <is>
          <t>A 20236-2025</t>
        </is>
      </c>
      <c r="B113" s="1" t="n">
        <v>45772.67444444444</v>
      </c>
      <c r="C113" s="1" t="n">
        <v>45881</v>
      </c>
      <c r="D113" t="inlineStr">
        <is>
          <t>STOCKHOLMS LÄN</t>
        </is>
      </c>
      <c r="E113" t="inlineStr">
        <is>
          <t>VALLENTUNA</t>
        </is>
      </c>
      <c r="G113" t="n">
        <v>1.1</v>
      </c>
      <c r="H113" t="n">
        <v>0</v>
      </c>
      <c r="I113" t="n">
        <v>0</v>
      </c>
      <c r="J113" t="n">
        <v>0</v>
      </c>
      <c r="K113" t="n">
        <v>0</v>
      </c>
      <c r="L113" t="n">
        <v>0</v>
      </c>
      <c r="M113" t="n">
        <v>0</v>
      </c>
      <c r="N113" t="n">
        <v>0</v>
      </c>
      <c r="O113" t="n">
        <v>0</v>
      </c>
      <c r="P113" t="n">
        <v>0</v>
      </c>
      <c r="Q113" t="n">
        <v>0</v>
      </c>
      <c r="R113" s="2" t="inlineStr"/>
    </row>
    <row r="114" ht="15" customHeight="1">
      <c r="A114" t="inlineStr">
        <is>
          <t>A 61442-2024</t>
        </is>
      </c>
      <c r="B114" s="1" t="n">
        <v>45646.47003472222</v>
      </c>
      <c r="C114" s="1" t="n">
        <v>45881</v>
      </c>
      <c r="D114" t="inlineStr">
        <is>
          <t>STOCKHOLMS LÄN</t>
        </is>
      </c>
      <c r="E114" t="inlineStr">
        <is>
          <t>VALLENTUNA</t>
        </is>
      </c>
      <c r="G114" t="n">
        <v>4.6</v>
      </c>
      <c r="H114" t="n">
        <v>0</v>
      </c>
      <c r="I114" t="n">
        <v>0</v>
      </c>
      <c r="J114" t="n">
        <v>0</v>
      </c>
      <c r="K114" t="n">
        <v>0</v>
      </c>
      <c r="L114" t="n">
        <v>0</v>
      </c>
      <c r="M114" t="n">
        <v>0</v>
      </c>
      <c r="N114" t="n">
        <v>0</v>
      </c>
      <c r="O114" t="n">
        <v>0</v>
      </c>
      <c r="P114" t="n">
        <v>0</v>
      </c>
      <c r="Q114" t="n">
        <v>0</v>
      </c>
      <c r="R114" s="2" t="inlineStr"/>
    </row>
    <row r="115" ht="15" customHeight="1">
      <c r="A115" t="inlineStr">
        <is>
          <t>A 8565-2025</t>
        </is>
      </c>
      <c r="B115" s="1" t="n">
        <v>45709</v>
      </c>
      <c r="C115" s="1" t="n">
        <v>45881</v>
      </c>
      <c r="D115" t="inlineStr">
        <is>
          <t>STOCKHOLMS LÄN</t>
        </is>
      </c>
      <c r="E115" t="inlineStr">
        <is>
          <t>VALLENTUNA</t>
        </is>
      </c>
      <c r="F115" t="inlineStr">
        <is>
          <t>Kommuner</t>
        </is>
      </c>
      <c r="G115" t="n">
        <v>4.2</v>
      </c>
      <c r="H115" t="n">
        <v>0</v>
      </c>
      <c r="I115" t="n">
        <v>0</v>
      </c>
      <c r="J115" t="n">
        <v>0</v>
      </c>
      <c r="K115" t="n">
        <v>0</v>
      </c>
      <c r="L115" t="n">
        <v>0</v>
      </c>
      <c r="M115" t="n">
        <v>0</v>
      </c>
      <c r="N115" t="n">
        <v>0</v>
      </c>
      <c r="O115" t="n">
        <v>0</v>
      </c>
      <c r="P115" t="n">
        <v>0</v>
      </c>
      <c r="Q115" t="n">
        <v>0</v>
      </c>
      <c r="R115" s="2" t="inlineStr"/>
    </row>
    <row r="116" ht="15" customHeight="1">
      <c r="A116" t="inlineStr">
        <is>
          <t>A 48717-2024</t>
        </is>
      </c>
      <c r="B116" s="1" t="n">
        <v>45593</v>
      </c>
      <c r="C116" s="1" t="n">
        <v>45881</v>
      </c>
      <c r="D116" t="inlineStr">
        <is>
          <t>STOCKHOLMS LÄN</t>
        </is>
      </c>
      <c r="E116" t="inlineStr">
        <is>
          <t>VALLENTUNA</t>
        </is>
      </c>
      <c r="G116" t="n">
        <v>6.2</v>
      </c>
      <c r="H116" t="n">
        <v>0</v>
      </c>
      <c r="I116" t="n">
        <v>0</v>
      </c>
      <c r="J116" t="n">
        <v>0</v>
      </c>
      <c r="K116" t="n">
        <v>0</v>
      </c>
      <c r="L116" t="n">
        <v>0</v>
      </c>
      <c r="M116" t="n">
        <v>0</v>
      </c>
      <c r="N116" t="n">
        <v>0</v>
      </c>
      <c r="O116" t="n">
        <v>0</v>
      </c>
      <c r="P116" t="n">
        <v>0</v>
      </c>
      <c r="Q116" t="n">
        <v>0</v>
      </c>
      <c r="R116" s="2" t="inlineStr"/>
    </row>
    <row r="117" ht="15" customHeight="1">
      <c r="A117" t="inlineStr">
        <is>
          <t>A 9063-2024</t>
        </is>
      </c>
      <c r="B117" s="1" t="n">
        <v>45357.72652777778</v>
      </c>
      <c r="C117" s="1" t="n">
        <v>45881</v>
      </c>
      <c r="D117" t="inlineStr">
        <is>
          <t>STOCKHOLMS LÄN</t>
        </is>
      </c>
      <c r="E117" t="inlineStr">
        <is>
          <t>VALLENTUNA</t>
        </is>
      </c>
      <c r="G117" t="n">
        <v>4.1</v>
      </c>
      <c r="H117" t="n">
        <v>0</v>
      </c>
      <c r="I117" t="n">
        <v>0</v>
      </c>
      <c r="J117" t="n">
        <v>0</v>
      </c>
      <c r="K117" t="n">
        <v>0</v>
      </c>
      <c r="L117" t="n">
        <v>0</v>
      </c>
      <c r="M117" t="n">
        <v>0</v>
      </c>
      <c r="N117" t="n">
        <v>0</v>
      </c>
      <c r="O117" t="n">
        <v>0</v>
      </c>
      <c r="P117" t="n">
        <v>0</v>
      </c>
      <c r="Q117" t="n">
        <v>0</v>
      </c>
      <c r="R117" s="2" t="inlineStr"/>
    </row>
    <row r="118" ht="15" customHeight="1">
      <c r="A118" t="inlineStr">
        <is>
          <t>A 46381-2023</t>
        </is>
      </c>
      <c r="B118" s="1" t="n">
        <v>45193</v>
      </c>
      <c r="C118" s="1" t="n">
        <v>45881</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61027-2023</t>
        </is>
      </c>
      <c r="B119" s="1" t="n">
        <v>45261</v>
      </c>
      <c r="C119" s="1" t="n">
        <v>45881</v>
      </c>
      <c r="D119" t="inlineStr">
        <is>
          <t>STOCKHOLMS LÄN</t>
        </is>
      </c>
      <c r="E119" t="inlineStr">
        <is>
          <t>VALLENTUNA</t>
        </is>
      </c>
      <c r="G119" t="n">
        <v>7.1</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45881</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52542-2023</t>
        </is>
      </c>
      <c r="B121" s="1" t="n">
        <v>45225</v>
      </c>
      <c r="C121" s="1" t="n">
        <v>45881</v>
      </c>
      <c r="D121" t="inlineStr">
        <is>
          <t>STOCKHOLMS LÄN</t>
        </is>
      </c>
      <c r="E121" t="inlineStr">
        <is>
          <t>VALLENTUNA</t>
        </is>
      </c>
      <c r="G121" t="n">
        <v>3.8</v>
      </c>
      <c r="H121" t="n">
        <v>0</v>
      </c>
      <c r="I121" t="n">
        <v>0</v>
      </c>
      <c r="J121" t="n">
        <v>0</v>
      </c>
      <c r="K121" t="n">
        <v>0</v>
      </c>
      <c r="L121" t="n">
        <v>0</v>
      </c>
      <c r="M121" t="n">
        <v>0</v>
      </c>
      <c r="N121" t="n">
        <v>0</v>
      </c>
      <c r="O121" t="n">
        <v>0</v>
      </c>
      <c r="P121" t="n">
        <v>0</v>
      </c>
      <c r="Q121" t="n">
        <v>0</v>
      </c>
      <c r="R121" s="2" t="inlineStr"/>
    </row>
    <row r="122" ht="15" customHeight="1">
      <c r="A122" t="inlineStr">
        <is>
          <t>A 23009-2024</t>
        </is>
      </c>
      <c r="B122" s="1" t="n">
        <v>45450.34506944445</v>
      </c>
      <c r="C122" s="1" t="n">
        <v>45881</v>
      </c>
      <c r="D122" t="inlineStr">
        <is>
          <t>STOCKHOLMS LÄN</t>
        </is>
      </c>
      <c r="E122" t="inlineStr">
        <is>
          <t>VALLENTUNA</t>
        </is>
      </c>
      <c r="G122" t="n">
        <v>1.4</v>
      </c>
      <c r="H122" t="n">
        <v>0</v>
      </c>
      <c r="I122" t="n">
        <v>0</v>
      </c>
      <c r="J122" t="n">
        <v>0</v>
      </c>
      <c r="K122" t="n">
        <v>0</v>
      </c>
      <c r="L122" t="n">
        <v>0</v>
      </c>
      <c r="M122" t="n">
        <v>0</v>
      </c>
      <c r="N122" t="n">
        <v>0</v>
      </c>
      <c r="O122" t="n">
        <v>0</v>
      </c>
      <c r="P122" t="n">
        <v>0</v>
      </c>
      <c r="Q122" t="n">
        <v>0</v>
      </c>
      <c r="R122" s="2" t="inlineStr"/>
    </row>
    <row r="123" ht="15" customHeight="1">
      <c r="A123" t="inlineStr">
        <is>
          <t>A 23923-2025</t>
        </is>
      </c>
      <c r="B123" s="1" t="n">
        <v>45795.39648148148</v>
      </c>
      <c r="C123" s="1" t="n">
        <v>45881</v>
      </c>
      <c r="D123" t="inlineStr">
        <is>
          <t>STOCKHOLMS LÄN</t>
        </is>
      </c>
      <c r="E123" t="inlineStr">
        <is>
          <t>VALLENTUNA</t>
        </is>
      </c>
      <c r="G123" t="n">
        <v>2.3</v>
      </c>
      <c r="H123" t="n">
        <v>0</v>
      </c>
      <c r="I123" t="n">
        <v>0</v>
      </c>
      <c r="J123" t="n">
        <v>0</v>
      </c>
      <c r="K123" t="n">
        <v>0</v>
      </c>
      <c r="L123" t="n">
        <v>0</v>
      </c>
      <c r="M123" t="n">
        <v>0</v>
      </c>
      <c r="N123" t="n">
        <v>0</v>
      </c>
      <c r="O123" t="n">
        <v>0</v>
      </c>
      <c r="P123" t="n">
        <v>0</v>
      </c>
      <c r="Q123" t="n">
        <v>0</v>
      </c>
      <c r="R123" s="2" t="inlineStr"/>
    </row>
    <row r="124" ht="15" customHeight="1">
      <c r="A124" t="inlineStr">
        <is>
          <t>A 61655-2020</t>
        </is>
      </c>
      <c r="B124" s="1" t="n">
        <v>44158</v>
      </c>
      <c r="C124" s="1" t="n">
        <v>45881</v>
      </c>
      <c r="D124" t="inlineStr">
        <is>
          <t>STOCKHOLMS LÄN</t>
        </is>
      </c>
      <c r="E124" t="inlineStr">
        <is>
          <t>VALLENTUNA</t>
        </is>
      </c>
      <c r="G124" t="n">
        <v>1.6</v>
      </c>
      <c r="H124" t="n">
        <v>0</v>
      </c>
      <c r="I124" t="n">
        <v>0</v>
      </c>
      <c r="J124" t="n">
        <v>0</v>
      </c>
      <c r="K124" t="n">
        <v>0</v>
      </c>
      <c r="L124" t="n">
        <v>0</v>
      </c>
      <c r="M124" t="n">
        <v>0</v>
      </c>
      <c r="N124" t="n">
        <v>0</v>
      </c>
      <c r="O124" t="n">
        <v>0</v>
      </c>
      <c r="P124" t="n">
        <v>0</v>
      </c>
      <c r="Q124" t="n">
        <v>0</v>
      </c>
      <c r="R124" s="2" t="inlineStr"/>
    </row>
    <row r="125" ht="15" customHeight="1">
      <c r="A125" t="inlineStr">
        <is>
          <t>A 11950-2025</t>
        </is>
      </c>
      <c r="B125" s="1" t="n">
        <v>45728.55622685186</v>
      </c>
      <c r="C125" s="1" t="n">
        <v>45881</v>
      </c>
      <c r="D125" t="inlineStr">
        <is>
          <t>STOCKHOLMS LÄN</t>
        </is>
      </c>
      <c r="E125" t="inlineStr">
        <is>
          <t>VALLENTUNA</t>
        </is>
      </c>
      <c r="G125" t="n">
        <v>1.4</v>
      </c>
      <c r="H125" t="n">
        <v>0</v>
      </c>
      <c r="I125" t="n">
        <v>0</v>
      </c>
      <c r="J125" t="n">
        <v>0</v>
      </c>
      <c r="K125" t="n">
        <v>0</v>
      </c>
      <c r="L125" t="n">
        <v>0</v>
      </c>
      <c r="M125" t="n">
        <v>0</v>
      </c>
      <c r="N125" t="n">
        <v>0</v>
      </c>
      <c r="O125" t="n">
        <v>0</v>
      </c>
      <c r="P125" t="n">
        <v>0</v>
      </c>
      <c r="Q125" t="n">
        <v>0</v>
      </c>
      <c r="R125" s="2" t="inlineStr"/>
    </row>
    <row r="126" ht="15" customHeight="1">
      <c r="A126" t="inlineStr">
        <is>
          <t>A 68938-2020</t>
        </is>
      </c>
      <c r="B126" s="1" t="n">
        <v>44187</v>
      </c>
      <c r="C126" s="1" t="n">
        <v>45881</v>
      </c>
      <c r="D126" t="inlineStr">
        <is>
          <t>STOCKHOLMS LÄN</t>
        </is>
      </c>
      <c r="E126" t="inlineStr">
        <is>
          <t>VALLENTUNA</t>
        </is>
      </c>
      <c r="G126" t="n">
        <v>3</v>
      </c>
      <c r="H126" t="n">
        <v>0</v>
      </c>
      <c r="I126" t="n">
        <v>0</v>
      </c>
      <c r="J126" t="n">
        <v>0</v>
      </c>
      <c r="K126" t="n">
        <v>0</v>
      </c>
      <c r="L126" t="n">
        <v>0</v>
      </c>
      <c r="M126" t="n">
        <v>0</v>
      </c>
      <c r="N126" t="n">
        <v>0</v>
      </c>
      <c r="O126" t="n">
        <v>0</v>
      </c>
      <c r="P126" t="n">
        <v>0</v>
      </c>
      <c r="Q126" t="n">
        <v>0</v>
      </c>
      <c r="R126" s="2" t="inlineStr"/>
    </row>
    <row r="127" ht="15" customHeight="1">
      <c r="A127" t="inlineStr">
        <is>
          <t>A 14489-2024</t>
        </is>
      </c>
      <c r="B127" s="1" t="n">
        <v>45394.58053240741</v>
      </c>
      <c r="C127" s="1" t="n">
        <v>45881</v>
      </c>
      <c r="D127" t="inlineStr">
        <is>
          <t>STOCKHOLMS LÄN</t>
        </is>
      </c>
      <c r="E127" t="inlineStr">
        <is>
          <t>VALLENTUNA</t>
        </is>
      </c>
      <c r="G127" t="n">
        <v>2.3</v>
      </c>
      <c r="H127" t="n">
        <v>0</v>
      </c>
      <c r="I127" t="n">
        <v>0</v>
      </c>
      <c r="J127" t="n">
        <v>0</v>
      </c>
      <c r="K127" t="n">
        <v>0</v>
      </c>
      <c r="L127" t="n">
        <v>0</v>
      </c>
      <c r="M127" t="n">
        <v>0</v>
      </c>
      <c r="N127" t="n">
        <v>0</v>
      </c>
      <c r="O127" t="n">
        <v>0</v>
      </c>
      <c r="P127" t="n">
        <v>0</v>
      </c>
      <c r="Q127" t="n">
        <v>0</v>
      </c>
      <c r="R127" s="2" t="inlineStr"/>
    </row>
    <row r="128" ht="15" customHeight="1">
      <c r="A128" t="inlineStr">
        <is>
          <t>A 25984-2025</t>
        </is>
      </c>
      <c r="B128" s="1" t="n">
        <v>45804.64016203704</v>
      </c>
      <c r="C128" s="1" t="n">
        <v>45881</v>
      </c>
      <c r="D128" t="inlineStr">
        <is>
          <t>STOCKHOLMS LÄN</t>
        </is>
      </c>
      <c r="E128" t="inlineStr">
        <is>
          <t>VALLENTUNA</t>
        </is>
      </c>
      <c r="G128" t="n">
        <v>2.5</v>
      </c>
      <c r="H128" t="n">
        <v>0</v>
      </c>
      <c r="I128" t="n">
        <v>0</v>
      </c>
      <c r="J128" t="n">
        <v>0</v>
      </c>
      <c r="K128" t="n">
        <v>0</v>
      </c>
      <c r="L128" t="n">
        <v>0</v>
      </c>
      <c r="M128" t="n">
        <v>0</v>
      </c>
      <c r="N128" t="n">
        <v>0</v>
      </c>
      <c r="O128" t="n">
        <v>0</v>
      </c>
      <c r="P128" t="n">
        <v>0</v>
      </c>
      <c r="Q128" t="n">
        <v>0</v>
      </c>
      <c r="R128" s="2" t="inlineStr"/>
    </row>
    <row r="129" ht="15" customHeight="1">
      <c r="A129" t="inlineStr">
        <is>
          <t>A 52562-2023</t>
        </is>
      </c>
      <c r="B129" s="1" t="n">
        <v>45225</v>
      </c>
      <c r="C129" s="1" t="n">
        <v>45881</v>
      </c>
      <c r="D129" t="inlineStr">
        <is>
          <t>STOCKHOLMS LÄN</t>
        </is>
      </c>
      <c r="E129" t="inlineStr">
        <is>
          <t>VALLENTUNA</t>
        </is>
      </c>
      <c r="G129" t="n">
        <v>3.4</v>
      </c>
      <c r="H129" t="n">
        <v>0</v>
      </c>
      <c r="I129" t="n">
        <v>0</v>
      </c>
      <c r="J129" t="n">
        <v>0</v>
      </c>
      <c r="K129" t="n">
        <v>0</v>
      </c>
      <c r="L129" t="n">
        <v>0</v>
      </c>
      <c r="M129" t="n">
        <v>0</v>
      </c>
      <c r="N129" t="n">
        <v>0</v>
      </c>
      <c r="O129" t="n">
        <v>0</v>
      </c>
      <c r="P129" t="n">
        <v>0</v>
      </c>
      <c r="Q129" t="n">
        <v>0</v>
      </c>
      <c r="R129" s="2" t="inlineStr"/>
    </row>
    <row r="130" ht="15" customHeight="1">
      <c r="A130" t="inlineStr">
        <is>
          <t>A 11840-2025</t>
        </is>
      </c>
      <c r="B130" s="1" t="n">
        <v>45728.36706018518</v>
      </c>
      <c r="C130" s="1" t="n">
        <v>45881</v>
      </c>
      <c r="D130" t="inlineStr">
        <is>
          <t>STOCKHOLMS LÄN</t>
        </is>
      </c>
      <c r="E130" t="inlineStr">
        <is>
          <t>VALLENTUNA</t>
        </is>
      </c>
      <c r="G130" t="n">
        <v>14.9</v>
      </c>
      <c r="H130" t="n">
        <v>0</v>
      </c>
      <c r="I130" t="n">
        <v>0</v>
      </c>
      <c r="J130" t="n">
        <v>0</v>
      </c>
      <c r="K130" t="n">
        <v>0</v>
      </c>
      <c r="L130" t="n">
        <v>0</v>
      </c>
      <c r="M130" t="n">
        <v>0</v>
      </c>
      <c r="N130" t="n">
        <v>0</v>
      </c>
      <c r="O130" t="n">
        <v>0</v>
      </c>
      <c r="P130" t="n">
        <v>0</v>
      </c>
      <c r="Q130" t="n">
        <v>0</v>
      </c>
      <c r="R130" s="2" t="inlineStr"/>
    </row>
    <row r="131" ht="15" customHeight="1">
      <c r="A131" t="inlineStr">
        <is>
          <t>A 4804-2024</t>
        </is>
      </c>
      <c r="B131" s="1" t="n">
        <v>45328</v>
      </c>
      <c r="C131" s="1" t="n">
        <v>45881</v>
      </c>
      <c r="D131" t="inlineStr">
        <is>
          <t>STOCKHOLMS LÄN</t>
        </is>
      </c>
      <c r="E131" t="inlineStr">
        <is>
          <t>VALLENTUNA</t>
        </is>
      </c>
      <c r="G131" t="n">
        <v>3</v>
      </c>
      <c r="H131" t="n">
        <v>0</v>
      </c>
      <c r="I131" t="n">
        <v>0</v>
      </c>
      <c r="J131" t="n">
        <v>0</v>
      </c>
      <c r="K131" t="n">
        <v>0</v>
      </c>
      <c r="L131" t="n">
        <v>0</v>
      </c>
      <c r="M131" t="n">
        <v>0</v>
      </c>
      <c r="N131" t="n">
        <v>0</v>
      </c>
      <c r="O131" t="n">
        <v>0</v>
      </c>
      <c r="P131" t="n">
        <v>0</v>
      </c>
      <c r="Q131" t="n">
        <v>0</v>
      </c>
      <c r="R131" s="2" t="inlineStr"/>
    </row>
    <row r="132" ht="15" customHeight="1">
      <c r="A132" t="inlineStr">
        <is>
          <t>A 23013-2024</t>
        </is>
      </c>
      <c r="B132" s="1" t="n">
        <v>45450.35116898148</v>
      </c>
      <c r="C132" s="1" t="n">
        <v>45881</v>
      </c>
      <c r="D132" t="inlineStr">
        <is>
          <t>STOCKHOLMS LÄN</t>
        </is>
      </c>
      <c r="E132" t="inlineStr">
        <is>
          <t>VALLENTUNA</t>
        </is>
      </c>
      <c r="G132" t="n">
        <v>0.4</v>
      </c>
      <c r="H132" t="n">
        <v>0</v>
      </c>
      <c r="I132" t="n">
        <v>0</v>
      </c>
      <c r="J132" t="n">
        <v>0</v>
      </c>
      <c r="K132" t="n">
        <v>0</v>
      </c>
      <c r="L132" t="n">
        <v>0</v>
      </c>
      <c r="M132" t="n">
        <v>0</v>
      </c>
      <c r="N132" t="n">
        <v>0</v>
      </c>
      <c r="O132" t="n">
        <v>0</v>
      </c>
      <c r="P132" t="n">
        <v>0</v>
      </c>
      <c r="Q132" t="n">
        <v>0</v>
      </c>
      <c r="R132" s="2" t="inlineStr"/>
    </row>
    <row r="133" ht="15" customHeight="1">
      <c r="A133" t="inlineStr">
        <is>
          <t>A 2318-2024</t>
        </is>
      </c>
      <c r="B133" s="1" t="n">
        <v>45310</v>
      </c>
      <c r="C133" s="1" t="n">
        <v>45881</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28431-2025</t>
        </is>
      </c>
      <c r="B134" s="1" t="n">
        <v>45819.38072916667</v>
      </c>
      <c r="C134" s="1" t="n">
        <v>45881</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27868-2025</t>
        </is>
      </c>
      <c r="B135" s="1" t="n">
        <v>45817</v>
      </c>
      <c r="C135" s="1" t="n">
        <v>45881</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45881</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30902-2025</t>
        </is>
      </c>
      <c r="B137" s="1" t="n">
        <v>45832.36104166666</v>
      </c>
      <c r="C137" s="1" t="n">
        <v>45881</v>
      </c>
      <c r="D137" t="inlineStr">
        <is>
          <t>STOCKHOLMS LÄN</t>
        </is>
      </c>
      <c r="E137" t="inlineStr">
        <is>
          <t>VALLENTUNA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3698-2022</t>
        </is>
      </c>
      <c r="B138" s="1" t="n">
        <v>44586</v>
      </c>
      <c r="C138" s="1" t="n">
        <v>45881</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60997-2022</t>
        </is>
      </c>
      <c r="B139" s="1" t="n">
        <v>44914.70746527778</v>
      </c>
      <c r="C139" s="1" t="n">
        <v>45881</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34458-2023</t>
        </is>
      </c>
      <c r="B140" s="1" t="n">
        <v>45139</v>
      </c>
      <c r="C140" s="1" t="n">
        <v>45881</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row r="141" ht="15" customHeight="1">
      <c r="A141" t="inlineStr">
        <is>
          <t>A 12234-2022</t>
        </is>
      </c>
      <c r="B141" s="1" t="n">
        <v>44637</v>
      </c>
      <c r="C141" s="1" t="n">
        <v>45881</v>
      </c>
      <c r="D141" t="inlineStr">
        <is>
          <t>STOCKHOLMS LÄN</t>
        </is>
      </c>
      <c r="E141" t="inlineStr">
        <is>
          <t>VALLENTUNA</t>
        </is>
      </c>
      <c r="G141" t="n">
        <v>2.4</v>
      </c>
      <c r="H141" t="n">
        <v>0</v>
      </c>
      <c r="I141" t="n">
        <v>0</v>
      </c>
      <c r="J141" t="n">
        <v>0</v>
      </c>
      <c r="K141" t="n">
        <v>0</v>
      </c>
      <c r="L141" t="n">
        <v>0</v>
      </c>
      <c r="M141" t="n">
        <v>0</v>
      </c>
      <c r="N141" t="n">
        <v>0</v>
      </c>
      <c r="O141" t="n">
        <v>0</v>
      </c>
      <c r="P141" t="n">
        <v>0</v>
      </c>
      <c r="Q141" t="n">
        <v>0</v>
      </c>
      <c r="R141" s="2" t="inlineStr"/>
    </row>
    <row r="142" ht="15" customHeight="1">
      <c r="A142" t="inlineStr">
        <is>
          <t>A 21614-2022</t>
        </is>
      </c>
      <c r="B142" s="1" t="n">
        <v>44706</v>
      </c>
      <c r="C142" s="1" t="n">
        <v>45881</v>
      </c>
      <c r="D142" t="inlineStr">
        <is>
          <t>STOCKHOLMS LÄN</t>
        </is>
      </c>
      <c r="E142" t="inlineStr">
        <is>
          <t>VALLENTUNA</t>
        </is>
      </c>
      <c r="G142" t="n">
        <v>4</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45000.41373842592</v>
      </c>
      <c r="C143" s="1" t="n">
        <v>45881</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c r="A144" t="inlineStr">
        <is>
          <t>A 8787-2024</t>
        </is>
      </c>
      <c r="B144" s="1" t="n">
        <v>45356</v>
      </c>
      <c r="C144" s="1" t="n">
        <v>45881</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2025-08-12T08:23:07Z</dcterms:created>
  <dcterms:modified xmlns:dcterms="http://purl.org/dc/terms/" xmlns:xsi="http://www.w3.org/2001/XMLSchema-instance" xsi:type="dcterms:W3CDTF">2025-08-12T08:23:07Z</dcterms:modified>
</cp:coreProperties>
</file>