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45993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45993</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45993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45993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45993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45993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45993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45993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45993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45993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45993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45993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45993</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17342-2025</t>
        </is>
      </c>
      <c r="B15" s="1" t="n">
        <v>45756</v>
      </c>
      <c r="C15" s="1" t="n">
        <v>45993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45993</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9445-2022</t>
        </is>
      </c>
      <c r="B17" s="1" t="n">
        <v>44616</v>
      </c>
      <c r="C17" s="1" t="n">
        <v>45993</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60-2022</t>
        </is>
      </c>
      <c r="B18" s="1" t="n">
        <v>44560</v>
      </c>
      <c r="C18" s="1" t="n">
        <v>45993</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45993</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46-2022</t>
        </is>
      </c>
      <c r="B20" s="1" t="n">
        <v>44560</v>
      </c>
      <c r="C20" s="1" t="n">
        <v>45993</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41021-2023</t>
        </is>
      </c>
      <c r="B21" s="1" t="n">
        <v>45173</v>
      </c>
      <c r="C21" s="1" t="n">
        <v>45993</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9745-2022</t>
        </is>
      </c>
      <c r="B22" s="1" t="n">
        <v>44618</v>
      </c>
      <c r="C22" s="1" t="n">
        <v>45993</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45993</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754-2024</t>
        </is>
      </c>
      <c r="B24" s="1" t="n">
        <v>45300</v>
      </c>
      <c r="C24" s="1" t="n">
        <v>45993</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22830-2024</t>
        </is>
      </c>
      <c r="B25" s="1" t="n">
        <v>45448.56583333333</v>
      </c>
      <c r="C25" s="1" t="n">
        <v>45993</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8817-2025</t>
        </is>
      </c>
      <c r="B26" s="1" t="n">
        <v>45712.70987268518</v>
      </c>
      <c r="C26" s="1" t="n">
        <v>45993</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34460-2023</t>
        </is>
      </c>
      <c r="B27" s="1" t="n">
        <v>45139</v>
      </c>
      <c r="C27" s="1" t="n">
        <v>45993</v>
      </c>
      <c r="D27" t="inlineStr">
        <is>
          <t>STOCKHOLMS LÄN</t>
        </is>
      </c>
      <c r="E27" t="inlineStr">
        <is>
          <t>VALLENTUNA</t>
        </is>
      </c>
      <c r="G27" t="n">
        <v>1.7</v>
      </c>
      <c r="H27" t="n">
        <v>0</v>
      </c>
      <c r="I27" t="n">
        <v>0</v>
      </c>
      <c r="J27" t="n">
        <v>1</v>
      </c>
      <c r="K27" t="n">
        <v>0</v>
      </c>
      <c r="L27" t="n">
        <v>0</v>
      </c>
      <c r="M27" t="n">
        <v>0</v>
      </c>
      <c r="N27" t="n">
        <v>0</v>
      </c>
      <c r="O27" t="n">
        <v>1</v>
      </c>
      <c r="P27" t="n">
        <v>0</v>
      </c>
      <c r="Q27" t="n">
        <v>1</v>
      </c>
      <c r="R27" s="2" t="inlineStr">
        <is>
          <t>Orange taggsvamp</t>
        </is>
      </c>
      <c r="S27">
        <f>HYPERLINK("https://klasma.github.io/Logging_0115/artfynd/A 34460-2023 artfynd.xlsx", "A 34460-2023")</f>
        <v/>
      </c>
      <c r="T27">
        <f>HYPERLINK("https://klasma.github.io/Logging_0115/kartor/A 34460-2023 karta.png", "A 34460-2023")</f>
        <v/>
      </c>
      <c r="V27">
        <f>HYPERLINK("https://klasma.github.io/Logging_0115/klagomål/A 34460-2023 FSC-klagomål.docx", "A 34460-2023")</f>
        <v/>
      </c>
      <c r="W27">
        <f>HYPERLINK("https://klasma.github.io/Logging_0115/klagomålsmail/A 34460-2023 FSC-klagomål mail.docx", "A 34460-2023")</f>
        <v/>
      </c>
      <c r="X27">
        <f>HYPERLINK("https://klasma.github.io/Logging_0115/tillsyn/A 34460-2023 tillsynsbegäran.docx", "A 34460-2023")</f>
        <v/>
      </c>
      <c r="Y27">
        <f>HYPERLINK("https://klasma.github.io/Logging_0115/tillsynsmail/A 34460-2023 tillsynsbegäran mail.docx", "A 34460-2023")</f>
        <v/>
      </c>
    </row>
    <row r="28" ht="15" customHeight="1">
      <c r="A28" t="inlineStr">
        <is>
          <t>A 14508-2024</t>
        </is>
      </c>
      <c r="B28" s="1" t="n">
        <v>45394.61583333334</v>
      </c>
      <c r="C28" s="1" t="n">
        <v>45993</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45993</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45993</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17341-2025</t>
        </is>
      </c>
      <c r="B31" s="1" t="n">
        <v>45756</v>
      </c>
      <c r="C31" s="1" t="n">
        <v>45993</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7890-2023</t>
        </is>
      </c>
      <c r="B32" s="1" t="n">
        <v>44973</v>
      </c>
      <c r="C32" s="1" t="n">
        <v>45993</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34458-2023</t>
        </is>
      </c>
      <c r="B33" s="1" t="n">
        <v>45139</v>
      </c>
      <c r="C33" s="1" t="n">
        <v>45993</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21439-2025</t>
        </is>
      </c>
      <c r="B34" s="1" t="n">
        <v>45782.52939814814</v>
      </c>
      <c r="C34" s="1" t="n">
        <v>45993</v>
      </c>
      <c r="D34" t="inlineStr">
        <is>
          <t>STOCKHOLMS LÄN</t>
        </is>
      </c>
      <c r="E34" t="inlineStr">
        <is>
          <t>VALLENTUNA</t>
        </is>
      </c>
      <c r="G34" t="n">
        <v>2.1</v>
      </c>
      <c r="H34" t="n">
        <v>0</v>
      </c>
      <c r="I34" t="n">
        <v>1</v>
      </c>
      <c r="J34" t="n">
        <v>0</v>
      </c>
      <c r="K34" t="n">
        <v>0</v>
      </c>
      <c r="L34" t="n">
        <v>0</v>
      </c>
      <c r="M34" t="n">
        <v>0</v>
      </c>
      <c r="N34" t="n">
        <v>0</v>
      </c>
      <c r="O34" t="n">
        <v>0</v>
      </c>
      <c r="P34" t="n">
        <v>0</v>
      </c>
      <c r="Q34" t="n">
        <v>1</v>
      </c>
      <c r="R34" s="2" t="inlineStr">
        <is>
          <t>Mindre märgborre</t>
        </is>
      </c>
      <c r="S34">
        <f>HYPERLINK("https://klasma.github.io/Logging_0115/artfynd/A 21439-2025 artfynd.xlsx", "A 21439-2025")</f>
        <v/>
      </c>
      <c r="T34">
        <f>HYPERLINK("https://klasma.github.io/Logging_0115/kartor/A 21439-2025 karta.png", "A 21439-2025")</f>
        <v/>
      </c>
      <c r="V34">
        <f>HYPERLINK("https://klasma.github.io/Logging_0115/klagomål/A 21439-2025 FSC-klagomål.docx", "A 21439-2025")</f>
        <v/>
      </c>
      <c r="W34">
        <f>HYPERLINK("https://klasma.github.io/Logging_0115/klagomålsmail/A 21439-2025 FSC-klagomål mail.docx", "A 21439-2025")</f>
        <v/>
      </c>
      <c r="X34">
        <f>HYPERLINK("https://klasma.github.io/Logging_0115/tillsyn/A 21439-2025 tillsynsbegäran.docx", "A 21439-2025")</f>
        <v/>
      </c>
      <c r="Y34">
        <f>HYPERLINK("https://klasma.github.io/Logging_0115/tillsynsmail/A 21439-2025 tillsynsbegäran mail.docx", "A 21439-2025")</f>
        <v/>
      </c>
    </row>
    <row r="35" ht="15" customHeight="1">
      <c r="A35" t="inlineStr">
        <is>
          <t>A 54481-2025</t>
        </is>
      </c>
      <c r="B35" s="1" t="n">
        <v>45965.58837962963</v>
      </c>
      <c r="C35" s="1" t="n">
        <v>45993</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22936-2025</t>
        </is>
      </c>
      <c r="B36" s="1" t="n">
        <v>45790.45738425926</v>
      </c>
      <c r="C36" s="1" t="n">
        <v>45993</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20612-2021</t>
        </is>
      </c>
      <c r="B37" s="1" t="n">
        <v>44315</v>
      </c>
      <c r="C37" s="1" t="n">
        <v>45993</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45993</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45993</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45993</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45993</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45993</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45993</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45993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45993</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45993</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45993</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48078-2021</t>
        </is>
      </c>
      <c r="B48" s="1" t="n">
        <v>44449.42578703703</v>
      </c>
      <c r="C48" s="1" t="n">
        <v>45993</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42624-2021</t>
        </is>
      </c>
      <c r="B49" s="1" t="n">
        <v>44428</v>
      </c>
      <c r="C49" s="1" t="n">
        <v>45993</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45993</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45993</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45993</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45993</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45993</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37657-2021</t>
        </is>
      </c>
      <c r="B55" s="1" t="n">
        <v>44400</v>
      </c>
      <c r="C55" s="1" t="n">
        <v>45993</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7085-2022</t>
        </is>
      </c>
      <c r="B56" s="1" t="n">
        <v>44603</v>
      </c>
      <c r="C56" s="1" t="n">
        <v>45993</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14480-2024</t>
        </is>
      </c>
      <c r="B57" s="1" t="n">
        <v>45394.56777777777</v>
      </c>
      <c r="C57" s="1" t="n">
        <v>45993</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30913-2021</t>
        </is>
      </c>
      <c r="B58" s="1" t="n">
        <v>44365</v>
      </c>
      <c r="C58" s="1" t="n">
        <v>45993</v>
      </c>
      <c r="D58" t="inlineStr">
        <is>
          <t>STOCKHOLMS LÄN</t>
        </is>
      </c>
      <c r="E58" t="inlineStr">
        <is>
          <t>VALLENTUNA</t>
        </is>
      </c>
      <c r="F58" t="inlineStr">
        <is>
          <t>Övriga Aktiebolag</t>
        </is>
      </c>
      <c r="G58" t="n">
        <v>3.3</v>
      </c>
      <c r="H58" t="n">
        <v>0</v>
      </c>
      <c r="I58" t="n">
        <v>0</v>
      </c>
      <c r="J58" t="n">
        <v>0</v>
      </c>
      <c r="K58" t="n">
        <v>0</v>
      </c>
      <c r="L58" t="n">
        <v>0</v>
      </c>
      <c r="M58" t="n">
        <v>0</v>
      </c>
      <c r="N58" t="n">
        <v>0</v>
      </c>
      <c r="O58" t="n">
        <v>0</v>
      </c>
      <c r="P58" t="n">
        <v>0</v>
      </c>
      <c r="Q58" t="n">
        <v>0</v>
      </c>
      <c r="R58" s="2" t="inlineStr"/>
    </row>
    <row r="59" ht="15" customHeight="1">
      <c r="A59" t="inlineStr">
        <is>
          <t>A 7276-2022</t>
        </is>
      </c>
      <c r="B59" s="1" t="n">
        <v>44606</v>
      </c>
      <c r="C59" s="1" t="n">
        <v>45993</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34441-2023</t>
        </is>
      </c>
      <c r="B60" s="1" t="n">
        <v>45139</v>
      </c>
      <c r="C60" s="1" t="n">
        <v>45993</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34445-2023</t>
        </is>
      </c>
      <c r="B61" s="1" t="n">
        <v>45139</v>
      </c>
      <c r="C61" s="1" t="n">
        <v>45993</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23986-2023</t>
        </is>
      </c>
      <c r="B62" s="1" t="n">
        <v>45078</v>
      </c>
      <c r="C62" s="1" t="n">
        <v>45993</v>
      </c>
      <c r="D62" t="inlineStr">
        <is>
          <t>STOCKHOLMS LÄN</t>
        </is>
      </c>
      <c r="E62" t="inlineStr">
        <is>
          <t>VALLENTUNA</t>
        </is>
      </c>
      <c r="F62" t="inlineStr">
        <is>
          <t>Kyrkan</t>
        </is>
      </c>
      <c r="G62" t="n">
        <v>5.7</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45993</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45993</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24994-2021</t>
        </is>
      </c>
      <c r="B65" s="1" t="n">
        <v>44341</v>
      </c>
      <c r="C65" s="1" t="n">
        <v>45993</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48068-2021</t>
        </is>
      </c>
      <c r="B66" s="1" t="n">
        <v>44449.42270833333</v>
      </c>
      <c r="C66" s="1" t="n">
        <v>45993</v>
      </c>
      <c r="D66" t="inlineStr">
        <is>
          <t>STOCKHOLMS LÄN</t>
        </is>
      </c>
      <c r="E66" t="inlineStr">
        <is>
          <t>VALLENTUNA</t>
        </is>
      </c>
      <c r="G66" t="n">
        <v>1.3</v>
      </c>
      <c r="H66" t="n">
        <v>0</v>
      </c>
      <c r="I66" t="n">
        <v>0</v>
      </c>
      <c r="J66" t="n">
        <v>0</v>
      </c>
      <c r="K66" t="n">
        <v>0</v>
      </c>
      <c r="L66" t="n">
        <v>0</v>
      </c>
      <c r="M66" t="n">
        <v>0</v>
      </c>
      <c r="N66" t="n">
        <v>0</v>
      </c>
      <c r="O66" t="n">
        <v>0</v>
      </c>
      <c r="P66" t="n">
        <v>0</v>
      </c>
      <c r="Q66" t="n">
        <v>0</v>
      </c>
      <c r="R66" s="2" t="inlineStr"/>
    </row>
    <row r="67" ht="15" customHeight="1">
      <c r="A67" t="inlineStr">
        <is>
          <t>A 52989-2023</t>
        </is>
      </c>
      <c r="B67" s="1" t="n">
        <v>45226</v>
      </c>
      <c r="C67" s="1" t="n">
        <v>45993</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24707-2023</t>
        </is>
      </c>
      <c r="B68" s="1" t="n">
        <v>45084</v>
      </c>
      <c r="C68" s="1" t="n">
        <v>45993</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45993</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21612-2021</t>
        </is>
      </c>
      <c r="B70" s="1" t="n">
        <v>44321</v>
      </c>
      <c r="C70" s="1" t="n">
        <v>45993</v>
      </c>
      <c r="D70" t="inlineStr">
        <is>
          <t>STOCKHOLMS LÄN</t>
        </is>
      </c>
      <c r="E70" t="inlineStr">
        <is>
          <t>VALLENTUNA</t>
        </is>
      </c>
      <c r="G70" t="n">
        <v>1.4</v>
      </c>
      <c r="H70" t="n">
        <v>0</v>
      </c>
      <c r="I70" t="n">
        <v>0</v>
      </c>
      <c r="J70" t="n">
        <v>0</v>
      </c>
      <c r="K70" t="n">
        <v>0</v>
      </c>
      <c r="L70" t="n">
        <v>0</v>
      </c>
      <c r="M70" t="n">
        <v>0</v>
      </c>
      <c r="N70" t="n">
        <v>0</v>
      </c>
      <c r="O70" t="n">
        <v>0</v>
      </c>
      <c r="P70" t="n">
        <v>0</v>
      </c>
      <c r="Q70" t="n">
        <v>0</v>
      </c>
      <c r="R70" s="2" t="inlineStr"/>
    </row>
    <row r="71" ht="15" customHeight="1">
      <c r="A71" t="inlineStr">
        <is>
          <t>A 12609-2024</t>
        </is>
      </c>
      <c r="B71" s="1" t="n">
        <v>45382.8109375</v>
      </c>
      <c r="C71" s="1" t="n">
        <v>45993</v>
      </c>
      <c r="D71" t="inlineStr">
        <is>
          <t>STOCKHOLMS LÄN</t>
        </is>
      </c>
      <c r="E71" t="inlineStr">
        <is>
          <t>VALLENTUNA</t>
        </is>
      </c>
      <c r="G71" t="n">
        <v>0.9</v>
      </c>
      <c r="H71" t="n">
        <v>0</v>
      </c>
      <c r="I71" t="n">
        <v>0</v>
      </c>
      <c r="J71" t="n">
        <v>0</v>
      </c>
      <c r="K71" t="n">
        <v>0</v>
      </c>
      <c r="L71" t="n">
        <v>0</v>
      </c>
      <c r="M71" t="n">
        <v>0</v>
      </c>
      <c r="N71" t="n">
        <v>0</v>
      </c>
      <c r="O71" t="n">
        <v>0</v>
      </c>
      <c r="P71" t="n">
        <v>0</v>
      </c>
      <c r="Q71" t="n">
        <v>0</v>
      </c>
      <c r="R71" s="2" t="inlineStr"/>
    </row>
    <row r="72" ht="15" customHeight="1">
      <c r="A72" t="inlineStr">
        <is>
          <t>A 60818-2023</t>
        </is>
      </c>
      <c r="B72" s="1" t="n">
        <v>45259</v>
      </c>
      <c r="C72" s="1" t="n">
        <v>45993</v>
      </c>
      <c r="D72" t="inlineStr">
        <is>
          <t>STOCKHOLMS LÄN</t>
        </is>
      </c>
      <c r="E72" t="inlineStr">
        <is>
          <t>VALLENTUNA</t>
        </is>
      </c>
      <c r="G72" t="n">
        <v>9.4</v>
      </c>
      <c r="H72" t="n">
        <v>0</v>
      </c>
      <c r="I72" t="n">
        <v>0</v>
      </c>
      <c r="J72" t="n">
        <v>0</v>
      </c>
      <c r="K72" t="n">
        <v>0</v>
      </c>
      <c r="L72" t="n">
        <v>0</v>
      </c>
      <c r="M72" t="n">
        <v>0</v>
      </c>
      <c r="N72" t="n">
        <v>0</v>
      </c>
      <c r="O72" t="n">
        <v>0</v>
      </c>
      <c r="P72" t="n">
        <v>0</v>
      </c>
      <c r="Q72" t="n">
        <v>0</v>
      </c>
      <c r="R72" s="2" t="inlineStr"/>
    </row>
    <row r="73" ht="15" customHeight="1">
      <c r="A73" t="inlineStr">
        <is>
          <t>A 47140-2024</t>
        </is>
      </c>
      <c r="B73" s="1" t="n">
        <v>45586.58753472222</v>
      </c>
      <c r="C73" s="1" t="n">
        <v>45993</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8077-2022</t>
        </is>
      </c>
      <c r="B74" s="1" t="n">
        <v>44609</v>
      </c>
      <c r="C74" s="1" t="n">
        <v>45993</v>
      </c>
      <c r="D74" t="inlineStr">
        <is>
          <t>STOCKHOLMS LÄN</t>
        </is>
      </c>
      <c r="E74" t="inlineStr">
        <is>
          <t>VALLENTUNA</t>
        </is>
      </c>
      <c r="G74" t="n">
        <v>1.3</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45993</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3078-2023</t>
        </is>
      </c>
      <c r="B76" s="1" t="n">
        <v>44946.41527777778</v>
      </c>
      <c r="C76" s="1" t="n">
        <v>45993</v>
      </c>
      <c r="D76" t="inlineStr">
        <is>
          <t>STOCKHOLMS LÄN</t>
        </is>
      </c>
      <c r="E76" t="inlineStr">
        <is>
          <t>VALLENTUNA</t>
        </is>
      </c>
      <c r="G76" t="n">
        <v>3.9</v>
      </c>
      <c r="H76" t="n">
        <v>0</v>
      </c>
      <c r="I76" t="n">
        <v>0</v>
      </c>
      <c r="J76" t="n">
        <v>0</v>
      </c>
      <c r="K76" t="n">
        <v>0</v>
      </c>
      <c r="L76" t="n">
        <v>0</v>
      </c>
      <c r="M76" t="n">
        <v>0</v>
      </c>
      <c r="N76" t="n">
        <v>0</v>
      </c>
      <c r="O76" t="n">
        <v>0</v>
      </c>
      <c r="P76" t="n">
        <v>0</v>
      </c>
      <c r="Q76" t="n">
        <v>0</v>
      </c>
      <c r="R76" s="2" t="inlineStr"/>
    </row>
    <row r="77" ht="15" customHeight="1">
      <c r="A77" t="inlineStr">
        <is>
          <t>A 60795-2023</t>
        </is>
      </c>
      <c r="B77" s="1" t="n">
        <v>45260</v>
      </c>
      <c r="C77" s="1" t="n">
        <v>45993</v>
      </c>
      <c r="D77" t="inlineStr">
        <is>
          <t>STOCKHOLMS LÄN</t>
        </is>
      </c>
      <c r="E77" t="inlineStr">
        <is>
          <t>VALLENTUNA</t>
        </is>
      </c>
      <c r="G77" t="n">
        <v>2.2</v>
      </c>
      <c r="H77" t="n">
        <v>0</v>
      </c>
      <c r="I77" t="n">
        <v>0</v>
      </c>
      <c r="J77" t="n">
        <v>0</v>
      </c>
      <c r="K77" t="n">
        <v>0</v>
      </c>
      <c r="L77" t="n">
        <v>0</v>
      </c>
      <c r="M77" t="n">
        <v>0</v>
      </c>
      <c r="N77" t="n">
        <v>0</v>
      </c>
      <c r="O77" t="n">
        <v>0</v>
      </c>
      <c r="P77" t="n">
        <v>0</v>
      </c>
      <c r="Q77" t="n">
        <v>0</v>
      </c>
      <c r="R77" s="2" t="inlineStr"/>
    </row>
    <row r="78" ht="15" customHeight="1">
      <c r="A78" t="inlineStr">
        <is>
          <t>A 8565-2025</t>
        </is>
      </c>
      <c r="B78" s="1" t="n">
        <v>45709</v>
      </c>
      <c r="C78" s="1" t="n">
        <v>45993</v>
      </c>
      <c r="D78" t="inlineStr">
        <is>
          <t>STOCKHOLMS LÄN</t>
        </is>
      </c>
      <c r="E78" t="inlineStr">
        <is>
          <t>VALLENTUNA</t>
        </is>
      </c>
      <c r="F78" t="inlineStr">
        <is>
          <t>Kommuner</t>
        </is>
      </c>
      <c r="G78" t="n">
        <v>4.2</v>
      </c>
      <c r="H78" t="n">
        <v>0</v>
      </c>
      <c r="I78" t="n">
        <v>0</v>
      </c>
      <c r="J78" t="n">
        <v>0</v>
      </c>
      <c r="K78" t="n">
        <v>0</v>
      </c>
      <c r="L78" t="n">
        <v>0</v>
      </c>
      <c r="M78" t="n">
        <v>0</v>
      </c>
      <c r="N78" t="n">
        <v>0</v>
      </c>
      <c r="O78" t="n">
        <v>0</v>
      </c>
      <c r="P78" t="n">
        <v>0</v>
      </c>
      <c r="Q78" t="n">
        <v>0</v>
      </c>
      <c r="R78" s="2" t="inlineStr"/>
    </row>
    <row r="79" ht="15" customHeight="1">
      <c r="A79" t="inlineStr">
        <is>
          <t>A 7264-2022</t>
        </is>
      </c>
      <c r="B79" s="1" t="n">
        <v>44606</v>
      </c>
      <c r="C79" s="1" t="n">
        <v>45993</v>
      </c>
      <c r="D79" t="inlineStr">
        <is>
          <t>STOCKHOLMS LÄN</t>
        </is>
      </c>
      <c r="E79" t="inlineStr">
        <is>
          <t>VALLENTUNA</t>
        </is>
      </c>
      <c r="G79" t="n">
        <v>2.4</v>
      </c>
      <c r="H79" t="n">
        <v>0</v>
      </c>
      <c r="I79" t="n">
        <v>0</v>
      </c>
      <c r="J79" t="n">
        <v>0</v>
      </c>
      <c r="K79" t="n">
        <v>0</v>
      </c>
      <c r="L79" t="n">
        <v>0</v>
      </c>
      <c r="M79" t="n">
        <v>0</v>
      </c>
      <c r="N79" t="n">
        <v>0</v>
      </c>
      <c r="O79" t="n">
        <v>0</v>
      </c>
      <c r="P79" t="n">
        <v>0</v>
      </c>
      <c r="Q79" t="n">
        <v>0</v>
      </c>
      <c r="R79" s="2" t="inlineStr"/>
    </row>
    <row r="80" ht="15" customHeight="1">
      <c r="A80" t="inlineStr">
        <is>
          <t>A 9063-2024</t>
        </is>
      </c>
      <c r="B80" s="1" t="n">
        <v>45357.72652777778</v>
      </c>
      <c r="C80" s="1" t="n">
        <v>45993</v>
      </c>
      <c r="D80" t="inlineStr">
        <is>
          <t>STOCKHOLMS LÄN</t>
        </is>
      </c>
      <c r="E80" t="inlineStr">
        <is>
          <t>VALLENTUNA</t>
        </is>
      </c>
      <c r="G80" t="n">
        <v>4.1</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45993</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29704-2023</t>
        </is>
      </c>
      <c r="B82" s="1" t="n">
        <v>45107</v>
      </c>
      <c r="C82" s="1" t="n">
        <v>45993</v>
      </c>
      <c r="D82" t="inlineStr">
        <is>
          <t>STOCKHOLMS LÄN</t>
        </is>
      </c>
      <c r="E82" t="inlineStr">
        <is>
          <t>VALLENTUNA</t>
        </is>
      </c>
      <c r="G82" t="n">
        <v>3.7</v>
      </c>
      <c r="H82" t="n">
        <v>0</v>
      </c>
      <c r="I82" t="n">
        <v>0</v>
      </c>
      <c r="J82" t="n">
        <v>0</v>
      </c>
      <c r="K82" t="n">
        <v>0</v>
      </c>
      <c r="L82" t="n">
        <v>0</v>
      </c>
      <c r="M82" t="n">
        <v>0</v>
      </c>
      <c r="N82" t="n">
        <v>0</v>
      </c>
      <c r="O82" t="n">
        <v>0</v>
      </c>
      <c r="P82" t="n">
        <v>0</v>
      </c>
      <c r="Q82" t="n">
        <v>0</v>
      </c>
      <c r="R82" s="2" t="inlineStr"/>
    </row>
    <row r="83" ht="15" customHeight="1">
      <c r="A83" t="inlineStr">
        <is>
          <t>A 4803-2024</t>
        </is>
      </c>
      <c r="B83" s="1" t="n">
        <v>45328</v>
      </c>
      <c r="C83" s="1" t="n">
        <v>45993</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44346-2021</t>
        </is>
      </c>
      <c r="B84" s="1" t="n">
        <v>44434</v>
      </c>
      <c r="C84" s="1" t="n">
        <v>45993</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21765-2023</t>
        </is>
      </c>
      <c r="B85" s="1" t="n">
        <v>45064</v>
      </c>
      <c r="C85" s="1" t="n">
        <v>45993</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45496-2023</t>
        </is>
      </c>
      <c r="B86" s="1" t="n">
        <v>45194</v>
      </c>
      <c r="C86" s="1" t="n">
        <v>45993</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45499-2023</t>
        </is>
      </c>
      <c r="B87" s="1" t="n">
        <v>45194</v>
      </c>
      <c r="C87" s="1" t="n">
        <v>45993</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52542-2023</t>
        </is>
      </c>
      <c r="B88" s="1" t="n">
        <v>45225</v>
      </c>
      <c r="C88" s="1" t="n">
        <v>45993</v>
      </c>
      <c r="D88" t="inlineStr">
        <is>
          <t>STOCKHOLMS LÄN</t>
        </is>
      </c>
      <c r="E88" t="inlineStr">
        <is>
          <t>VALLENTUNA</t>
        </is>
      </c>
      <c r="G88" t="n">
        <v>3.8</v>
      </c>
      <c r="H88" t="n">
        <v>0</v>
      </c>
      <c r="I88" t="n">
        <v>0</v>
      </c>
      <c r="J88" t="n">
        <v>0</v>
      </c>
      <c r="K88" t="n">
        <v>0</v>
      </c>
      <c r="L88" t="n">
        <v>0</v>
      </c>
      <c r="M88" t="n">
        <v>0</v>
      </c>
      <c r="N88" t="n">
        <v>0</v>
      </c>
      <c r="O88" t="n">
        <v>0</v>
      </c>
      <c r="P88" t="n">
        <v>0</v>
      </c>
      <c r="Q88" t="n">
        <v>0</v>
      </c>
      <c r="R88" s="2" t="inlineStr"/>
    </row>
    <row r="89" ht="15" customHeight="1">
      <c r="A89" t="inlineStr">
        <is>
          <t>A 19356-2025</t>
        </is>
      </c>
      <c r="B89" s="1" t="n">
        <v>45769.62061342593</v>
      </c>
      <c r="C89" s="1" t="n">
        <v>45993</v>
      </c>
      <c r="D89" t="inlineStr">
        <is>
          <t>STOCKHOLMS LÄN</t>
        </is>
      </c>
      <c r="E89" t="inlineStr">
        <is>
          <t>VALLENTUNA</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12562-2023</t>
        </is>
      </c>
      <c r="B90" s="1" t="n">
        <v>45000</v>
      </c>
      <c r="C90" s="1" t="n">
        <v>45993</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14782-2024</t>
        </is>
      </c>
      <c r="B91" s="1" t="n">
        <v>45397.74266203704</v>
      </c>
      <c r="C91" s="1" t="n">
        <v>45993</v>
      </c>
      <c r="D91" t="inlineStr">
        <is>
          <t>STOCKHOLMS LÄN</t>
        </is>
      </c>
      <c r="E91" t="inlineStr">
        <is>
          <t>VALLENTUNA</t>
        </is>
      </c>
      <c r="G91" t="n">
        <v>3.1</v>
      </c>
      <c r="H91" t="n">
        <v>0</v>
      </c>
      <c r="I91" t="n">
        <v>0</v>
      </c>
      <c r="J91" t="n">
        <v>0</v>
      </c>
      <c r="K91" t="n">
        <v>0</v>
      </c>
      <c r="L91" t="n">
        <v>0</v>
      </c>
      <c r="M91" t="n">
        <v>0</v>
      </c>
      <c r="N91" t="n">
        <v>0</v>
      </c>
      <c r="O91" t="n">
        <v>0</v>
      </c>
      <c r="P91" t="n">
        <v>0</v>
      </c>
      <c r="Q91" t="n">
        <v>0</v>
      </c>
      <c r="R91" s="2" t="inlineStr"/>
    </row>
    <row r="92" ht="15" customHeight="1">
      <c r="A92" t="inlineStr">
        <is>
          <t>A 1385-2024</t>
        </is>
      </c>
      <c r="B92" s="1" t="n">
        <v>45303</v>
      </c>
      <c r="C92" s="1" t="n">
        <v>45993</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14775-2024</t>
        </is>
      </c>
      <c r="B93" s="1" t="n">
        <v>45397.73675925926</v>
      </c>
      <c r="C93" s="1" t="n">
        <v>45993</v>
      </c>
      <c r="D93" t="inlineStr">
        <is>
          <t>STOCKHOLMS LÄN</t>
        </is>
      </c>
      <c r="E93" t="inlineStr">
        <is>
          <t>VALLENTUNA</t>
        </is>
      </c>
      <c r="G93" t="n">
        <v>1.7</v>
      </c>
      <c r="H93" t="n">
        <v>0</v>
      </c>
      <c r="I93" t="n">
        <v>0</v>
      </c>
      <c r="J93" t="n">
        <v>0</v>
      </c>
      <c r="K93" t="n">
        <v>0</v>
      </c>
      <c r="L93" t="n">
        <v>0</v>
      </c>
      <c r="M93" t="n">
        <v>0</v>
      </c>
      <c r="N93" t="n">
        <v>0</v>
      </c>
      <c r="O93" t="n">
        <v>0</v>
      </c>
      <c r="P93" t="n">
        <v>0</v>
      </c>
      <c r="Q93" t="n">
        <v>0</v>
      </c>
      <c r="R93" s="2" t="inlineStr"/>
    </row>
    <row r="94" ht="15" customHeight="1">
      <c r="A94" t="inlineStr">
        <is>
          <t>A 6593-2021</t>
        </is>
      </c>
      <c r="B94" s="1" t="n">
        <v>44236</v>
      </c>
      <c r="C94" s="1" t="n">
        <v>45993</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24068-2024</t>
        </is>
      </c>
      <c r="B95" s="1" t="n">
        <v>45456</v>
      </c>
      <c r="C95" s="1" t="n">
        <v>45993</v>
      </c>
      <c r="D95" t="inlineStr">
        <is>
          <t>STOCKHOLMS LÄN</t>
        </is>
      </c>
      <c r="E95" t="inlineStr">
        <is>
          <t>VALLENTUNA</t>
        </is>
      </c>
      <c r="G95" t="n">
        <v>7.4</v>
      </c>
      <c r="H95" t="n">
        <v>0</v>
      </c>
      <c r="I95" t="n">
        <v>0</v>
      </c>
      <c r="J95" t="n">
        <v>0</v>
      </c>
      <c r="K95" t="n">
        <v>0</v>
      </c>
      <c r="L95" t="n">
        <v>0</v>
      </c>
      <c r="M95" t="n">
        <v>0</v>
      </c>
      <c r="N95" t="n">
        <v>0</v>
      </c>
      <c r="O95" t="n">
        <v>0</v>
      </c>
      <c r="P95" t="n">
        <v>0</v>
      </c>
      <c r="Q95" t="n">
        <v>0</v>
      </c>
      <c r="R95" s="2" t="inlineStr"/>
    </row>
    <row r="96" ht="15" customHeight="1">
      <c r="A96" t="inlineStr">
        <is>
          <t>A 735-2024</t>
        </is>
      </c>
      <c r="B96" s="1" t="n">
        <v>45300</v>
      </c>
      <c r="C96" s="1" t="n">
        <v>45993</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11950-2025</t>
        </is>
      </c>
      <c r="B97" s="1" t="n">
        <v>45728.55622685186</v>
      </c>
      <c r="C97" s="1" t="n">
        <v>45993</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17411-2023</t>
        </is>
      </c>
      <c r="B98" s="1" t="n">
        <v>45035.82512731481</v>
      </c>
      <c r="C98" s="1" t="n">
        <v>45993</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68938-2020</t>
        </is>
      </c>
      <c r="B99" s="1" t="n">
        <v>44187</v>
      </c>
      <c r="C99" s="1" t="n">
        <v>45993</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14489-2024</t>
        </is>
      </c>
      <c r="B100" s="1" t="n">
        <v>45394.58053240741</v>
      </c>
      <c r="C100" s="1" t="n">
        <v>45993</v>
      </c>
      <c r="D100" t="inlineStr">
        <is>
          <t>STOCKHOLMS LÄN</t>
        </is>
      </c>
      <c r="E100" t="inlineStr">
        <is>
          <t>VALLENTUNA</t>
        </is>
      </c>
      <c r="G100" t="n">
        <v>2.3</v>
      </c>
      <c r="H100" t="n">
        <v>0</v>
      </c>
      <c r="I100" t="n">
        <v>0</v>
      </c>
      <c r="J100" t="n">
        <v>0</v>
      </c>
      <c r="K100" t="n">
        <v>0</v>
      </c>
      <c r="L100" t="n">
        <v>0</v>
      </c>
      <c r="M100" t="n">
        <v>0</v>
      </c>
      <c r="N100" t="n">
        <v>0</v>
      </c>
      <c r="O100" t="n">
        <v>0</v>
      </c>
      <c r="P100" t="n">
        <v>0</v>
      </c>
      <c r="Q100" t="n">
        <v>0</v>
      </c>
      <c r="R100" s="2" t="inlineStr"/>
    </row>
    <row r="101" ht="15" customHeight="1">
      <c r="A101" t="inlineStr">
        <is>
          <t>A 61442-2024</t>
        </is>
      </c>
      <c r="B101" s="1" t="n">
        <v>45646.47003472222</v>
      </c>
      <c r="C101" s="1" t="n">
        <v>45993</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41206-2025</t>
        </is>
      </c>
      <c r="B102" s="1" t="n">
        <v>45898</v>
      </c>
      <c r="C102" s="1" t="n">
        <v>45993</v>
      </c>
      <c r="D102" t="inlineStr">
        <is>
          <t>STOCKHOLMS LÄN</t>
        </is>
      </c>
      <c r="E102" t="inlineStr">
        <is>
          <t>VALLENTUNA</t>
        </is>
      </c>
      <c r="G102" t="n">
        <v>10</v>
      </c>
      <c r="H102" t="n">
        <v>0</v>
      </c>
      <c r="I102" t="n">
        <v>0</v>
      </c>
      <c r="J102" t="n">
        <v>0</v>
      </c>
      <c r="K102" t="n">
        <v>0</v>
      </c>
      <c r="L102" t="n">
        <v>0</v>
      </c>
      <c r="M102" t="n">
        <v>0</v>
      </c>
      <c r="N102" t="n">
        <v>0</v>
      </c>
      <c r="O102" t="n">
        <v>0</v>
      </c>
      <c r="P102" t="n">
        <v>0</v>
      </c>
      <c r="Q102" t="n">
        <v>0</v>
      </c>
      <c r="R102" s="2" t="inlineStr"/>
    </row>
    <row r="103" ht="15" customHeight="1">
      <c r="A103" t="inlineStr">
        <is>
          <t>A 52562-2023</t>
        </is>
      </c>
      <c r="B103" s="1" t="n">
        <v>45225</v>
      </c>
      <c r="C103" s="1" t="n">
        <v>45993</v>
      </c>
      <c r="D103" t="inlineStr">
        <is>
          <t>STOCKHOLMS LÄN</t>
        </is>
      </c>
      <c r="E103" t="inlineStr">
        <is>
          <t>VALLENTUNA</t>
        </is>
      </c>
      <c r="G103" t="n">
        <v>3.4</v>
      </c>
      <c r="H103" t="n">
        <v>0</v>
      </c>
      <c r="I103" t="n">
        <v>0</v>
      </c>
      <c r="J103" t="n">
        <v>0</v>
      </c>
      <c r="K103" t="n">
        <v>0</v>
      </c>
      <c r="L103" t="n">
        <v>0</v>
      </c>
      <c r="M103" t="n">
        <v>0</v>
      </c>
      <c r="N103" t="n">
        <v>0</v>
      </c>
      <c r="O103" t="n">
        <v>0</v>
      </c>
      <c r="P103" t="n">
        <v>0</v>
      </c>
      <c r="Q103" t="n">
        <v>0</v>
      </c>
      <c r="R103" s="2" t="inlineStr"/>
    </row>
    <row r="104" ht="15" customHeight="1">
      <c r="A104" t="inlineStr">
        <is>
          <t>A 4804-2024</t>
        </is>
      </c>
      <c r="B104" s="1" t="n">
        <v>45328</v>
      </c>
      <c r="C104" s="1" t="n">
        <v>45993</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23013-2024</t>
        </is>
      </c>
      <c r="B105" s="1" t="n">
        <v>45450.35116898148</v>
      </c>
      <c r="C105" s="1" t="n">
        <v>45993</v>
      </c>
      <c r="D105" t="inlineStr">
        <is>
          <t>STOCKHOLMS LÄN</t>
        </is>
      </c>
      <c r="E105" t="inlineStr">
        <is>
          <t>VALLENTUNA</t>
        </is>
      </c>
      <c r="G105" t="n">
        <v>0.4</v>
      </c>
      <c r="H105" t="n">
        <v>0</v>
      </c>
      <c r="I105" t="n">
        <v>0</v>
      </c>
      <c r="J105" t="n">
        <v>0</v>
      </c>
      <c r="K105" t="n">
        <v>0</v>
      </c>
      <c r="L105" t="n">
        <v>0</v>
      </c>
      <c r="M105" t="n">
        <v>0</v>
      </c>
      <c r="N105" t="n">
        <v>0</v>
      </c>
      <c r="O105" t="n">
        <v>0</v>
      </c>
      <c r="P105" t="n">
        <v>0</v>
      </c>
      <c r="Q105" t="n">
        <v>0</v>
      </c>
      <c r="R105" s="2" t="inlineStr"/>
    </row>
    <row r="106" ht="15" customHeight="1">
      <c r="A106" t="inlineStr">
        <is>
          <t>A 2318-2024</t>
        </is>
      </c>
      <c r="B106" s="1" t="n">
        <v>45310</v>
      </c>
      <c r="C106" s="1" t="n">
        <v>45993</v>
      </c>
      <c r="D106" t="inlineStr">
        <is>
          <t>STOCKHOLMS LÄN</t>
        </is>
      </c>
      <c r="E106" t="inlineStr">
        <is>
          <t>VALLENTUNA</t>
        </is>
      </c>
      <c r="G106" t="n">
        <v>2.2</v>
      </c>
      <c r="H106" t="n">
        <v>0</v>
      </c>
      <c r="I106" t="n">
        <v>0</v>
      </c>
      <c r="J106" t="n">
        <v>0</v>
      </c>
      <c r="K106" t="n">
        <v>0</v>
      </c>
      <c r="L106" t="n">
        <v>0</v>
      </c>
      <c r="M106" t="n">
        <v>0</v>
      </c>
      <c r="N106" t="n">
        <v>0</v>
      </c>
      <c r="O106" t="n">
        <v>0</v>
      </c>
      <c r="P106" t="n">
        <v>0</v>
      </c>
      <c r="Q106" t="n">
        <v>0</v>
      </c>
      <c r="R106" s="2" t="inlineStr"/>
    </row>
    <row r="107" ht="15" customHeight="1">
      <c r="A107" t="inlineStr">
        <is>
          <t>A 15268-2023</t>
        </is>
      </c>
      <c r="B107" s="1" t="n">
        <v>45019.41045138889</v>
      </c>
      <c r="C107" s="1" t="n">
        <v>45993</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19503-2023</t>
        </is>
      </c>
      <c r="B108" s="1" t="n">
        <v>45050.47333333334</v>
      </c>
      <c r="C108" s="1" t="n">
        <v>45993</v>
      </c>
      <c r="D108" t="inlineStr">
        <is>
          <t>STOCKHOLMS LÄN</t>
        </is>
      </c>
      <c r="E108" t="inlineStr">
        <is>
          <t>VALLENTUNA</t>
        </is>
      </c>
      <c r="G108" t="n">
        <v>0.7</v>
      </c>
      <c r="H108" t="n">
        <v>0</v>
      </c>
      <c r="I108" t="n">
        <v>0</v>
      </c>
      <c r="J108" t="n">
        <v>0</v>
      </c>
      <c r="K108" t="n">
        <v>0</v>
      </c>
      <c r="L108" t="n">
        <v>0</v>
      </c>
      <c r="M108" t="n">
        <v>0</v>
      </c>
      <c r="N108" t="n">
        <v>0</v>
      </c>
      <c r="O108" t="n">
        <v>0</v>
      </c>
      <c r="P108" t="n">
        <v>0</v>
      </c>
      <c r="Q108" t="n">
        <v>0</v>
      </c>
      <c r="R108" s="2" t="inlineStr"/>
    </row>
    <row r="109" ht="15" customHeight="1">
      <c r="A109" t="inlineStr">
        <is>
          <t>A 61742-2022</t>
        </is>
      </c>
      <c r="B109" s="1" t="n">
        <v>44917</v>
      </c>
      <c r="C109" s="1" t="n">
        <v>45993</v>
      </c>
      <c r="D109" t="inlineStr">
        <is>
          <t>STOCKHOLMS LÄN</t>
        </is>
      </c>
      <c r="E109" t="inlineStr">
        <is>
          <t>VALLENTUNA</t>
        </is>
      </c>
      <c r="G109" t="n">
        <v>0.5</v>
      </c>
      <c r="H109" t="n">
        <v>0</v>
      </c>
      <c r="I109" t="n">
        <v>0</v>
      </c>
      <c r="J109" t="n">
        <v>0</v>
      </c>
      <c r="K109" t="n">
        <v>0</v>
      </c>
      <c r="L109" t="n">
        <v>0</v>
      </c>
      <c r="M109" t="n">
        <v>0</v>
      </c>
      <c r="N109" t="n">
        <v>0</v>
      </c>
      <c r="O109" t="n">
        <v>0</v>
      </c>
      <c r="P109" t="n">
        <v>0</v>
      </c>
      <c r="Q109" t="n">
        <v>0</v>
      </c>
      <c r="R109" s="2" t="inlineStr"/>
    </row>
    <row r="110" ht="15" customHeight="1">
      <c r="A110" t="inlineStr">
        <is>
          <t>A 21445-2023</t>
        </is>
      </c>
      <c r="B110" s="1" t="n">
        <v>45063</v>
      </c>
      <c r="C110" s="1" t="n">
        <v>45993</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38102-2024</t>
        </is>
      </c>
      <c r="B111" s="1" t="n">
        <v>45545.36349537037</v>
      </c>
      <c r="C111" s="1" t="n">
        <v>45993</v>
      </c>
      <c r="D111" t="inlineStr">
        <is>
          <t>STOCKHOLMS LÄN</t>
        </is>
      </c>
      <c r="E111" t="inlineStr">
        <is>
          <t>VALLENTUNA</t>
        </is>
      </c>
      <c r="G111" t="n">
        <v>3.2</v>
      </c>
      <c r="H111" t="n">
        <v>0</v>
      </c>
      <c r="I111" t="n">
        <v>0</v>
      </c>
      <c r="J111" t="n">
        <v>0</v>
      </c>
      <c r="K111" t="n">
        <v>0</v>
      </c>
      <c r="L111" t="n">
        <v>0</v>
      </c>
      <c r="M111" t="n">
        <v>0</v>
      </c>
      <c r="N111" t="n">
        <v>0</v>
      </c>
      <c r="O111" t="n">
        <v>0</v>
      </c>
      <c r="P111" t="n">
        <v>0</v>
      </c>
      <c r="Q111" t="n">
        <v>0</v>
      </c>
      <c r="R111" s="2" t="inlineStr"/>
    </row>
    <row r="112" ht="15" customHeight="1">
      <c r="A112" t="inlineStr">
        <is>
          <t>A 22683-2023</t>
        </is>
      </c>
      <c r="B112" s="1" t="n">
        <v>45071</v>
      </c>
      <c r="C112" s="1" t="n">
        <v>45993</v>
      </c>
      <c r="D112" t="inlineStr">
        <is>
          <t>STOCKHOLMS LÄN</t>
        </is>
      </c>
      <c r="E112" t="inlineStr">
        <is>
          <t>VALLENTUNA</t>
        </is>
      </c>
      <c r="G112" t="n">
        <v>1.2</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45993</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24943-2024</t>
        </is>
      </c>
      <c r="B114" s="1" t="n">
        <v>45461.62585648148</v>
      </c>
      <c r="C114" s="1" t="n">
        <v>45993</v>
      </c>
      <c r="D114" t="inlineStr">
        <is>
          <t>STOCKHOLMS LÄN</t>
        </is>
      </c>
      <c r="E114" t="inlineStr">
        <is>
          <t>VALLENTUNA</t>
        </is>
      </c>
      <c r="G114" t="n">
        <v>2</v>
      </c>
      <c r="H114" t="n">
        <v>0</v>
      </c>
      <c r="I114" t="n">
        <v>0</v>
      </c>
      <c r="J114" t="n">
        <v>0</v>
      </c>
      <c r="K114" t="n">
        <v>0</v>
      </c>
      <c r="L114" t="n">
        <v>0</v>
      </c>
      <c r="M114" t="n">
        <v>0</v>
      </c>
      <c r="N114" t="n">
        <v>0</v>
      </c>
      <c r="O114" t="n">
        <v>0</v>
      </c>
      <c r="P114" t="n">
        <v>0</v>
      </c>
      <c r="Q114" t="n">
        <v>0</v>
      </c>
      <c r="R114" s="2" t="inlineStr"/>
    </row>
    <row r="115" ht="15" customHeight="1">
      <c r="A115" t="inlineStr">
        <is>
          <t>A 44988-2025</t>
        </is>
      </c>
      <c r="B115" s="1" t="n">
        <v>45918.65505787037</v>
      </c>
      <c r="C115" s="1" t="n">
        <v>45993</v>
      </c>
      <c r="D115" t="inlineStr">
        <is>
          <t>STOCKHOLMS LÄN</t>
        </is>
      </c>
      <c r="E115" t="inlineStr">
        <is>
          <t>VALLENTUNA</t>
        </is>
      </c>
      <c r="G115" t="n">
        <v>1</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45993</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17340-2025</t>
        </is>
      </c>
      <c r="B117" s="1" t="n">
        <v>45756</v>
      </c>
      <c r="C117" s="1" t="n">
        <v>45993</v>
      </c>
      <c r="D117" t="inlineStr">
        <is>
          <t>STOCKHOLMS LÄN</t>
        </is>
      </c>
      <c r="E117" t="inlineStr">
        <is>
          <t>VALLENTUNA</t>
        </is>
      </c>
      <c r="F117" t="inlineStr">
        <is>
          <t>Övriga Aktiebolag</t>
        </is>
      </c>
      <c r="G117" t="n">
        <v>2.6</v>
      </c>
      <c r="H117" t="n">
        <v>0</v>
      </c>
      <c r="I117" t="n">
        <v>0</v>
      </c>
      <c r="J117" t="n">
        <v>0</v>
      </c>
      <c r="K117" t="n">
        <v>0</v>
      </c>
      <c r="L117" t="n">
        <v>0</v>
      </c>
      <c r="M117" t="n">
        <v>0</v>
      </c>
      <c r="N117" t="n">
        <v>0</v>
      </c>
      <c r="O117" t="n">
        <v>0</v>
      </c>
      <c r="P117" t="n">
        <v>0</v>
      </c>
      <c r="Q117" t="n">
        <v>0</v>
      </c>
      <c r="R117" s="2" t="inlineStr"/>
    </row>
    <row r="118" ht="15" customHeight="1">
      <c r="A118" t="inlineStr">
        <is>
          <t>A 20791-2025</t>
        </is>
      </c>
      <c r="B118" s="1" t="n">
        <v>45776.62738425926</v>
      </c>
      <c r="C118" s="1" t="n">
        <v>45993</v>
      </c>
      <c r="D118" t="inlineStr">
        <is>
          <t>STOCKHOLMS LÄN</t>
        </is>
      </c>
      <c r="E118" t="inlineStr">
        <is>
          <t>VALLENTUNA</t>
        </is>
      </c>
      <c r="G118" t="n">
        <v>1.5</v>
      </c>
      <c r="H118" t="n">
        <v>0</v>
      </c>
      <c r="I118" t="n">
        <v>0</v>
      </c>
      <c r="J118" t="n">
        <v>0</v>
      </c>
      <c r="K118" t="n">
        <v>0</v>
      </c>
      <c r="L118" t="n">
        <v>0</v>
      </c>
      <c r="M118" t="n">
        <v>0</v>
      </c>
      <c r="N118" t="n">
        <v>0</v>
      </c>
      <c r="O118" t="n">
        <v>0</v>
      </c>
      <c r="P118" t="n">
        <v>0</v>
      </c>
      <c r="Q118" t="n">
        <v>0</v>
      </c>
      <c r="R118" s="2" t="inlineStr"/>
    </row>
    <row r="119" ht="15" customHeight="1">
      <c r="A119" t="inlineStr">
        <is>
          <t>A 10073-2024</t>
        </is>
      </c>
      <c r="B119" s="1" t="n">
        <v>45364.40821759259</v>
      </c>
      <c r="C119" s="1" t="n">
        <v>45993</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34452-2021</t>
        </is>
      </c>
      <c r="B120" s="1" t="n">
        <v>44381</v>
      </c>
      <c r="C120" s="1" t="n">
        <v>45993</v>
      </c>
      <c r="D120" t="inlineStr">
        <is>
          <t>STOCKHOLMS LÄN</t>
        </is>
      </c>
      <c r="E120" t="inlineStr">
        <is>
          <t>VALLENTUNA</t>
        </is>
      </c>
      <c r="G120" t="n">
        <v>14.7</v>
      </c>
      <c r="H120" t="n">
        <v>0</v>
      </c>
      <c r="I120" t="n">
        <v>0</v>
      </c>
      <c r="J120" t="n">
        <v>0</v>
      </c>
      <c r="K120" t="n">
        <v>0</v>
      </c>
      <c r="L120" t="n">
        <v>0</v>
      </c>
      <c r="M120" t="n">
        <v>0</v>
      </c>
      <c r="N120" t="n">
        <v>0</v>
      </c>
      <c r="O120" t="n">
        <v>0</v>
      </c>
      <c r="P120" t="n">
        <v>0</v>
      </c>
      <c r="Q120" t="n">
        <v>0</v>
      </c>
      <c r="R120" s="2" t="inlineStr"/>
    </row>
    <row r="121" ht="15" customHeight="1">
      <c r="A121" t="inlineStr">
        <is>
          <t>A 12621-2024</t>
        </is>
      </c>
      <c r="B121" s="1" t="n">
        <v>45383.6325</v>
      </c>
      <c r="C121" s="1" t="n">
        <v>45993</v>
      </c>
      <c r="D121" t="inlineStr">
        <is>
          <t>STOCKHOLMS LÄN</t>
        </is>
      </c>
      <c r="E121" t="inlineStr">
        <is>
          <t>VALLENTUNA</t>
        </is>
      </c>
      <c r="G121" t="n">
        <v>4.4</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44914.70746527778</v>
      </c>
      <c r="C122" s="1" t="n">
        <v>45993</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45993</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21614-2022</t>
        </is>
      </c>
      <c r="B124" s="1" t="n">
        <v>44706</v>
      </c>
      <c r="C124" s="1" t="n">
        <v>45993</v>
      </c>
      <c r="D124" t="inlineStr">
        <is>
          <t>STOCKHOLMS LÄN</t>
        </is>
      </c>
      <c r="E124" t="inlineStr">
        <is>
          <t>VALLENTUNA</t>
        </is>
      </c>
      <c r="G124" t="n">
        <v>4</v>
      </c>
      <c r="H124" t="n">
        <v>0</v>
      </c>
      <c r="I124" t="n">
        <v>0</v>
      </c>
      <c r="J124" t="n">
        <v>0</v>
      </c>
      <c r="K124" t="n">
        <v>0</v>
      </c>
      <c r="L124" t="n">
        <v>0</v>
      </c>
      <c r="M124" t="n">
        <v>0</v>
      </c>
      <c r="N124" t="n">
        <v>0</v>
      </c>
      <c r="O124" t="n">
        <v>0</v>
      </c>
      <c r="P124" t="n">
        <v>0</v>
      </c>
      <c r="Q124" t="n">
        <v>0</v>
      </c>
      <c r="R124" s="2" t="inlineStr"/>
    </row>
    <row r="125" ht="15" customHeight="1">
      <c r="A125" t="inlineStr">
        <is>
          <t>A 27868-2025</t>
        </is>
      </c>
      <c r="B125" s="1" t="n">
        <v>45817</v>
      </c>
      <c r="C125" s="1" t="n">
        <v>45993</v>
      </c>
      <c r="D125" t="inlineStr">
        <is>
          <t>STOCKHOLMS LÄN</t>
        </is>
      </c>
      <c r="E125" t="inlineStr">
        <is>
          <t>VALLENTUNA</t>
        </is>
      </c>
      <c r="G125" t="n">
        <v>2.1</v>
      </c>
      <c r="H125" t="n">
        <v>0</v>
      </c>
      <c r="I125" t="n">
        <v>0</v>
      </c>
      <c r="J125" t="n">
        <v>0</v>
      </c>
      <c r="K125" t="n">
        <v>0</v>
      </c>
      <c r="L125" t="n">
        <v>0</v>
      </c>
      <c r="M125" t="n">
        <v>0</v>
      </c>
      <c r="N125" t="n">
        <v>0</v>
      </c>
      <c r="O125" t="n">
        <v>0</v>
      </c>
      <c r="P125" t="n">
        <v>0</v>
      </c>
      <c r="Q125" t="n">
        <v>0</v>
      </c>
      <c r="R125" s="2" t="inlineStr"/>
    </row>
    <row r="126" ht="15" customHeight="1">
      <c r="A126" t="inlineStr">
        <is>
          <t>A 54460-2025</t>
        </is>
      </c>
      <c r="B126" s="1" t="n">
        <v>45965.56219907408</v>
      </c>
      <c r="C126" s="1" t="n">
        <v>45993</v>
      </c>
      <c r="D126" t="inlineStr">
        <is>
          <t>STOCKHOLMS LÄN</t>
        </is>
      </c>
      <c r="E126" t="inlineStr">
        <is>
          <t>VALLENTUNA</t>
        </is>
      </c>
      <c r="G126" t="n">
        <v>22.9</v>
      </c>
      <c r="H126" t="n">
        <v>0</v>
      </c>
      <c r="I126" t="n">
        <v>0</v>
      </c>
      <c r="J126" t="n">
        <v>0</v>
      </c>
      <c r="K126" t="n">
        <v>0</v>
      </c>
      <c r="L126" t="n">
        <v>0</v>
      </c>
      <c r="M126" t="n">
        <v>0</v>
      </c>
      <c r="N126" t="n">
        <v>0</v>
      </c>
      <c r="O126" t="n">
        <v>0</v>
      </c>
      <c r="P126" t="n">
        <v>0</v>
      </c>
      <c r="Q126" t="n">
        <v>0</v>
      </c>
      <c r="R126" s="2" t="inlineStr"/>
    </row>
    <row r="127" ht="15" customHeight="1">
      <c r="A127" t="inlineStr">
        <is>
          <t>A 54466-2025</t>
        </is>
      </c>
      <c r="B127" s="1" t="n">
        <v>45965.56984953704</v>
      </c>
      <c r="C127" s="1" t="n">
        <v>45993</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27870-2025</t>
        </is>
      </c>
      <c r="B128" s="1" t="n">
        <v>45817</v>
      </c>
      <c r="C128" s="1" t="n">
        <v>45993</v>
      </c>
      <c r="D128" t="inlineStr">
        <is>
          <t>STOCKHOLMS LÄN</t>
        </is>
      </c>
      <c r="E128" t="inlineStr">
        <is>
          <t>VALLENTUNA</t>
        </is>
      </c>
      <c r="G128" t="n">
        <v>2.3</v>
      </c>
      <c r="H128" t="n">
        <v>0</v>
      </c>
      <c r="I128" t="n">
        <v>0</v>
      </c>
      <c r="J128" t="n">
        <v>0</v>
      </c>
      <c r="K128" t="n">
        <v>0</v>
      </c>
      <c r="L128" t="n">
        <v>0</v>
      </c>
      <c r="M128" t="n">
        <v>0</v>
      </c>
      <c r="N128" t="n">
        <v>0</v>
      </c>
      <c r="O128" t="n">
        <v>0</v>
      </c>
      <c r="P128" t="n">
        <v>0</v>
      </c>
      <c r="Q128" t="n">
        <v>0</v>
      </c>
      <c r="R128" s="2" t="inlineStr"/>
    </row>
    <row r="129" ht="15" customHeight="1">
      <c r="A129" t="inlineStr">
        <is>
          <t>A 12585-2023</t>
        </is>
      </c>
      <c r="B129" s="1" t="n">
        <v>45000.41373842592</v>
      </c>
      <c r="C129" s="1" t="n">
        <v>45993</v>
      </c>
      <c r="D129" t="inlineStr">
        <is>
          <t>STOCKHOLMS LÄN</t>
        </is>
      </c>
      <c r="E129" t="inlineStr">
        <is>
          <t>VALLENTUNA</t>
        </is>
      </c>
      <c r="G129" t="n">
        <v>3.7</v>
      </c>
      <c r="H129" t="n">
        <v>0</v>
      </c>
      <c r="I129" t="n">
        <v>0</v>
      </c>
      <c r="J129" t="n">
        <v>0</v>
      </c>
      <c r="K129" t="n">
        <v>0</v>
      </c>
      <c r="L129" t="n">
        <v>0</v>
      </c>
      <c r="M129" t="n">
        <v>0</v>
      </c>
      <c r="N129" t="n">
        <v>0</v>
      </c>
      <c r="O129" t="n">
        <v>0</v>
      </c>
      <c r="P129" t="n">
        <v>0</v>
      </c>
      <c r="Q129" t="n">
        <v>0</v>
      </c>
      <c r="R129" s="2" t="inlineStr"/>
    </row>
    <row r="130" ht="15" customHeight="1">
      <c r="A130" t="inlineStr">
        <is>
          <t>A 8787-2024</t>
        </is>
      </c>
      <c r="B130" s="1" t="n">
        <v>45356</v>
      </c>
      <c r="C130" s="1" t="n">
        <v>45993</v>
      </c>
      <c r="D130" t="inlineStr">
        <is>
          <t>STOCKHOLMS LÄN</t>
        </is>
      </c>
      <c r="E130" t="inlineStr">
        <is>
          <t>VALLENTUNA</t>
        </is>
      </c>
      <c r="G130" t="n">
        <v>1.2</v>
      </c>
      <c r="H130" t="n">
        <v>0</v>
      </c>
      <c r="I130" t="n">
        <v>0</v>
      </c>
      <c r="J130" t="n">
        <v>0</v>
      </c>
      <c r="K130" t="n">
        <v>0</v>
      </c>
      <c r="L130" t="n">
        <v>0</v>
      </c>
      <c r="M130" t="n">
        <v>0</v>
      </c>
      <c r="N130" t="n">
        <v>0</v>
      </c>
      <c r="O130" t="n">
        <v>0</v>
      </c>
      <c r="P130" t="n">
        <v>0</v>
      </c>
      <c r="Q130" t="n">
        <v>0</v>
      </c>
      <c r="R130" s="2" t="inlineStr"/>
    </row>
    <row r="131" ht="15" customHeight="1">
      <c r="A131" t="inlineStr">
        <is>
          <t>A 26390-2023</t>
        </is>
      </c>
      <c r="B131" s="1" t="n">
        <v>45086</v>
      </c>
      <c r="C131" s="1" t="n">
        <v>45993</v>
      </c>
      <c r="D131" t="inlineStr">
        <is>
          <t>STOCKHOLMS LÄN</t>
        </is>
      </c>
      <c r="E131" t="inlineStr">
        <is>
          <t>VALLENTUNA</t>
        </is>
      </c>
      <c r="G131" t="n">
        <v>1.6</v>
      </c>
      <c r="H131" t="n">
        <v>0</v>
      </c>
      <c r="I131" t="n">
        <v>0</v>
      </c>
      <c r="J131" t="n">
        <v>0</v>
      </c>
      <c r="K131" t="n">
        <v>0</v>
      </c>
      <c r="L131" t="n">
        <v>0</v>
      </c>
      <c r="M131" t="n">
        <v>0</v>
      </c>
      <c r="N131" t="n">
        <v>0</v>
      </c>
      <c r="O131" t="n">
        <v>0</v>
      </c>
      <c r="P131" t="n">
        <v>0</v>
      </c>
      <c r="Q131" t="n">
        <v>0</v>
      </c>
      <c r="R131" s="2" t="inlineStr"/>
    </row>
    <row r="132" ht="15" customHeight="1">
      <c r="A132" t="inlineStr">
        <is>
          <t>A 46381-2023</t>
        </is>
      </c>
      <c r="B132" s="1" t="n">
        <v>45193</v>
      </c>
      <c r="C132" s="1" t="n">
        <v>45993</v>
      </c>
      <c r="D132" t="inlineStr">
        <is>
          <t>STOCKHOLMS LÄN</t>
        </is>
      </c>
      <c r="E132" t="inlineStr">
        <is>
          <t>VALLENTUNA</t>
        </is>
      </c>
      <c r="G132" t="n">
        <v>2.9</v>
      </c>
      <c r="H132" t="n">
        <v>0</v>
      </c>
      <c r="I132" t="n">
        <v>0</v>
      </c>
      <c r="J132" t="n">
        <v>0</v>
      </c>
      <c r="K132" t="n">
        <v>0</v>
      </c>
      <c r="L132" t="n">
        <v>0</v>
      </c>
      <c r="M132" t="n">
        <v>0</v>
      </c>
      <c r="N132" t="n">
        <v>0</v>
      </c>
      <c r="O132" t="n">
        <v>0</v>
      </c>
      <c r="P132" t="n">
        <v>0</v>
      </c>
      <c r="Q132" t="n">
        <v>0</v>
      </c>
      <c r="R132" s="2" t="inlineStr"/>
    </row>
    <row r="133" ht="15" customHeight="1">
      <c r="A133" t="inlineStr">
        <is>
          <t>A 48014-2025</t>
        </is>
      </c>
      <c r="B133" s="1" t="n">
        <v>45932.64520833334</v>
      </c>
      <c r="C133" s="1" t="n">
        <v>45993</v>
      </c>
      <c r="D133" t="inlineStr">
        <is>
          <t>STOCKHOLMS LÄN</t>
        </is>
      </c>
      <c r="E133" t="inlineStr">
        <is>
          <t>VALLENTUNA</t>
        </is>
      </c>
      <c r="G133" t="n">
        <v>0.6</v>
      </c>
      <c r="H133" t="n">
        <v>0</v>
      </c>
      <c r="I133" t="n">
        <v>0</v>
      </c>
      <c r="J133" t="n">
        <v>0</v>
      </c>
      <c r="K133" t="n">
        <v>0</v>
      </c>
      <c r="L133" t="n">
        <v>0</v>
      </c>
      <c r="M133" t="n">
        <v>0</v>
      </c>
      <c r="N133" t="n">
        <v>0</v>
      </c>
      <c r="O133" t="n">
        <v>0</v>
      </c>
      <c r="P133" t="n">
        <v>0</v>
      </c>
      <c r="Q133" t="n">
        <v>0</v>
      </c>
      <c r="R133" s="2" t="inlineStr"/>
    </row>
    <row r="134" ht="15" customHeight="1">
      <c r="A134" t="inlineStr">
        <is>
          <t>A 61027-2023</t>
        </is>
      </c>
      <c r="B134" s="1" t="n">
        <v>45261</v>
      </c>
      <c r="C134" s="1" t="n">
        <v>45993</v>
      </c>
      <c r="D134" t="inlineStr">
        <is>
          <t>STOCKHOLMS LÄN</t>
        </is>
      </c>
      <c r="E134" t="inlineStr">
        <is>
          <t>VALLENTUNA</t>
        </is>
      </c>
      <c r="G134" t="n">
        <v>7.1</v>
      </c>
      <c r="H134" t="n">
        <v>0</v>
      </c>
      <c r="I134" t="n">
        <v>0</v>
      </c>
      <c r="J134" t="n">
        <v>0</v>
      </c>
      <c r="K134" t="n">
        <v>0</v>
      </c>
      <c r="L134" t="n">
        <v>0</v>
      </c>
      <c r="M134" t="n">
        <v>0</v>
      </c>
      <c r="N134" t="n">
        <v>0</v>
      </c>
      <c r="O134" t="n">
        <v>0</v>
      </c>
      <c r="P134" t="n">
        <v>0</v>
      </c>
      <c r="Q134" t="n">
        <v>0</v>
      </c>
      <c r="R134" s="2" t="inlineStr"/>
    </row>
    <row r="135" ht="15" customHeight="1">
      <c r="A135" t="inlineStr">
        <is>
          <t>A 23009-2024</t>
        </is>
      </c>
      <c r="B135" s="1" t="n">
        <v>45450.34506944445</v>
      </c>
      <c r="C135" s="1" t="n">
        <v>45993</v>
      </c>
      <c r="D135" t="inlineStr">
        <is>
          <t>STOCKHOLMS LÄN</t>
        </is>
      </c>
      <c r="E135" t="inlineStr">
        <is>
          <t>VALLENTUNA</t>
        </is>
      </c>
      <c r="G135" t="n">
        <v>1.4</v>
      </c>
      <c r="H135" t="n">
        <v>0</v>
      </c>
      <c r="I135" t="n">
        <v>0</v>
      </c>
      <c r="J135" t="n">
        <v>0</v>
      </c>
      <c r="K135" t="n">
        <v>0</v>
      </c>
      <c r="L135" t="n">
        <v>0</v>
      </c>
      <c r="M135" t="n">
        <v>0</v>
      </c>
      <c r="N135" t="n">
        <v>0</v>
      </c>
      <c r="O135" t="n">
        <v>0</v>
      </c>
      <c r="P135" t="n">
        <v>0</v>
      </c>
      <c r="Q135" t="n">
        <v>0</v>
      </c>
      <c r="R135" s="2" t="inlineStr"/>
    </row>
    <row r="136" ht="15" customHeight="1">
      <c r="A136" t="inlineStr">
        <is>
          <t>A 48038-2025</t>
        </is>
      </c>
      <c r="B136" s="1" t="n">
        <v>45932.66008101852</v>
      </c>
      <c r="C136" s="1" t="n">
        <v>45993</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23923-2025</t>
        </is>
      </c>
      <c r="B137" s="1" t="n">
        <v>45795.39648148148</v>
      </c>
      <c r="C137" s="1" t="n">
        <v>45993</v>
      </c>
      <c r="D137" t="inlineStr">
        <is>
          <t>STOCKHOLMS LÄN</t>
        </is>
      </c>
      <c r="E137" t="inlineStr">
        <is>
          <t>VALLENTUNA</t>
        </is>
      </c>
      <c r="G137" t="n">
        <v>2.3</v>
      </c>
      <c r="H137" t="n">
        <v>0</v>
      </c>
      <c r="I137" t="n">
        <v>0</v>
      </c>
      <c r="J137" t="n">
        <v>0</v>
      </c>
      <c r="K137" t="n">
        <v>0</v>
      </c>
      <c r="L137" t="n">
        <v>0</v>
      </c>
      <c r="M137" t="n">
        <v>0</v>
      </c>
      <c r="N137" t="n">
        <v>0</v>
      </c>
      <c r="O137" t="n">
        <v>0</v>
      </c>
      <c r="P137" t="n">
        <v>0</v>
      </c>
      <c r="Q137" t="n">
        <v>0</v>
      </c>
      <c r="R137" s="2" t="inlineStr"/>
    </row>
    <row r="138" ht="15" customHeight="1">
      <c r="A138" t="inlineStr">
        <is>
          <t>A 25984-2025</t>
        </is>
      </c>
      <c r="B138" s="1" t="n">
        <v>45804.64016203704</v>
      </c>
      <c r="C138" s="1" t="n">
        <v>45993</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50784-2025</t>
        </is>
      </c>
      <c r="B139" s="1" t="n">
        <v>45946</v>
      </c>
      <c r="C139" s="1" t="n">
        <v>45993</v>
      </c>
      <c r="D139" t="inlineStr">
        <is>
          <t>STOCKHOLMS LÄN</t>
        </is>
      </c>
      <c r="E139" t="inlineStr">
        <is>
          <t>VALLENTUNA</t>
        </is>
      </c>
      <c r="G139" t="n">
        <v>1</v>
      </c>
      <c r="H139" t="n">
        <v>0</v>
      </c>
      <c r="I139" t="n">
        <v>0</v>
      </c>
      <c r="J139" t="n">
        <v>0</v>
      </c>
      <c r="K139" t="n">
        <v>0</v>
      </c>
      <c r="L139" t="n">
        <v>0</v>
      </c>
      <c r="M139" t="n">
        <v>0</v>
      </c>
      <c r="N139" t="n">
        <v>0</v>
      </c>
      <c r="O139" t="n">
        <v>0</v>
      </c>
      <c r="P139" t="n">
        <v>0</v>
      </c>
      <c r="Q139" t="n">
        <v>0</v>
      </c>
      <c r="R139" s="2" t="inlineStr"/>
    </row>
    <row r="140" ht="15" customHeight="1">
      <c r="A140" t="inlineStr">
        <is>
          <t>A 30902-2025</t>
        </is>
      </c>
      <c r="B140" s="1" t="n">
        <v>45832.36104166666</v>
      </c>
      <c r="C140" s="1" t="n">
        <v>45993</v>
      </c>
      <c r="D140" t="inlineStr">
        <is>
          <t>STOCKHOLMS LÄN</t>
        </is>
      </c>
      <c r="E140" t="inlineStr">
        <is>
          <t>VALLENTUNA</t>
        </is>
      </c>
      <c r="G140" t="n">
        <v>8.199999999999999</v>
      </c>
      <c r="H140" t="n">
        <v>0</v>
      </c>
      <c r="I140" t="n">
        <v>0</v>
      </c>
      <c r="J140" t="n">
        <v>0</v>
      </c>
      <c r="K140" t="n">
        <v>0</v>
      </c>
      <c r="L140" t="n">
        <v>0</v>
      </c>
      <c r="M140" t="n">
        <v>0</v>
      </c>
      <c r="N140" t="n">
        <v>0</v>
      </c>
      <c r="O140" t="n">
        <v>0</v>
      </c>
      <c r="P140" t="n">
        <v>0</v>
      </c>
      <c r="Q140" t="n">
        <v>0</v>
      </c>
      <c r="R140" s="2" t="inlineStr"/>
    </row>
    <row r="141">
      <c r="A141" t="inlineStr">
        <is>
          <t>A 28431-2025</t>
        </is>
      </c>
      <c r="B141" s="1" t="n">
        <v>45819.38072916667</v>
      </c>
      <c r="C141" s="1" t="n">
        <v>45993</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2025-12-02T10:21:25Z</dcterms:created>
  <dcterms:modified xmlns:dcterms="http://purl.org/dc/terms/" xmlns:xsi="http://www.w3.org/2001/XMLSchema-instance" xsi:type="dcterms:W3CDTF">2025-12-02T10:21:25Z</dcterms:modified>
</cp:coreProperties>
</file>