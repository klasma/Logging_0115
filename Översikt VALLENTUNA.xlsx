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46093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46093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37456-2023</t>
        </is>
      </c>
      <c r="B15" s="1" t="n">
        <v>45156</v>
      </c>
      <c r="C15" s="1" t="n">
        <v>46093</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17342-2025</t>
        </is>
      </c>
      <c r="B16" s="1" t="n">
        <v>45756</v>
      </c>
      <c r="C16" s="1" t="n">
        <v>46093</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9807-2026</t>
        </is>
      </c>
      <c r="B17" s="1" t="n">
        <v>46072</v>
      </c>
      <c r="C17" s="1" t="n">
        <v>46093</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46093</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46093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46093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46093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46093</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46093</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46093</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46093</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46093</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46093</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46093</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46093</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46093</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21-2022</t>
        </is>
      </c>
      <c r="B31" s="1" t="n">
        <v>44560</v>
      </c>
      <c r="C31" s="1" t="n">
        <v>46093</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22830-2024</t>
        </is>
      </c>
      <c r="B32" s="1" t="n">
        <v>45448.56583333333</v>
      </c>
      <c r="C32" s="1" t="n">
        <v>46093</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17341-2025</t>
        </is>
      </c>
      <c r="B33" s="1" t="n">
        <v>45756</v>
      </c>
      <c r="C33" s="1" t="n">
        <v>46093</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7890-2023</t>
        </is>
      </c>
      <c r="B34" s="1" t="n">
        <v>44973</v>
      </c>
      <c r="C34" s="1" t="n">
        <v>46093</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54481-2025</t>
        </is>
      </c>
      <c r="B35" s="1" t="n">
        <v>45965.58837962963</v>
      </c>
      <c r="C35" s="1" t="n">
        <v>46093</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34458-2023</t>
        </is>
      </c>
      <c r="B36" s="1" t="n">
        <v>45139</v>
      </c>
      <c r="C36" s="1" t="n">
        <v>46093</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34460-2023</t>
        </is>
      </c>
      <c r="B37" s="1" t="n">
        <v>45139</v>
      </c>
      <c r="C37" s="1" t="n">
        <v>46093</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63543-2025</t>
        </is>
      </c>
      <c r="B38" s="1" t="n">
        <v>46013.59207175926</v>
      </c>
      <c r="C38" s="1" t="n">
        <v>46093</v>
      </c>
      <c r="D38" t="inlineStr">
        <is>
          <t>STOCKHOLMS LÄN</t>
        </is>
      </c>
      <c r="E38" t="inlineStr">
        <is>
          <t>VALLENTUNA</t>
        </is>
      </c>
      <c r="G38" t="n">
        <v>3.4</v>
      </c>
      <c r="H38" t="n">
        <v>0</v>
      </c>
      <c r="I38" t="n">
        <v>0</v>
      </c>
      <c r="J38" t="n">
        <v>1</v>
      </c>
      <c r="K38" t="n">
        <v>0</v>
      </c>
      <c r="L38" t="n">
        <v>0</v>
      </c>
      <c r="M38" t="n">
        <v>0</v>
      </c>
      <c r="N38" t="n">
        <v>0</v>
      </c>
      <c r="O38" t="n">
        <v>1</v>
      </c>
      <c r="P38" t="n">
        <v>0</v>
      </c>
      <c r="Q38" t="n">
        <v>1</v>
      </c>
      <c r="R38" s="2" t="inlineStr">
        <is>
          <t>Tallticka</t>
        </is>
      </c>
      <c r="S38">
        <f>HYPERLINK("https://klasma.github.io/Logging_0115/artfynd/A 63543-2025 artfynd.xlsx", "A 63543-2025")</f>
        <v/>
      </c>
      <c r="T38">
        <f>HYPERLINK("https://klasma.github.io/Logging_0115/kartor/A 63543-2025 karta.png", "A 63543-2025")</f>
        <v/>
      </c>
      <c r="V38">
        <f>HYPERLINK("https://klasma.github.io/Logging_0115/klagomål/A 63543-2025 FSC-klagomål.docx", "A 63543-2025")</f>
        <v/>
      </c>
      <c r="W38">
        <f>HYPERLINK("https://klasma.github.io/Logging_0115/klagomålsmail/A 63543-2025 FSC-klagomål mail.docx", "A 63543-2025")</f>
        <v/>
      </c>
      <c r="X38">
        <f>HYPERLINK("https://klasma.github.io/Logging_0115/tillsyn/A 63543-2025 tillsynsbegäran.docx", "A 63543-2025")</f>
        <v/>
      </c>
      <c r="Y38">
        <f>HYPERLINK("https://klasma.github.io/Logging_0115/tillsynsmail/A 63543-2025 tillsynsbegäran mail.docx", "A 63543-2025")</f>
        <v/>
      </c>
    </row>
    <row r="39" ht="15" customHeight="1">
      <c r="A39" t="inlineStr">
        <is>
          <t>A 63539-2025</t>
        </is>
      </c>
      <c r="B39" s="1" t="n">
        <v>46013.58824074074</v>
      </c>
      <c r="C39" s="1" t="n">
        <v>46093</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21439-2025</t>
        </is>
      </c>
      <c r="B40" s="1" t="n">
        <v>45782.52939814814</v>
      </c>
      <c r="C40" s="1" t="n">
        <v>46093</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46093</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12401-2026</t>
        </is>
      </c>
      <c r="B42" s="1" t="n">
        <v>46090</v>
      </c>
      <c r="C42" s="1" t="n">
        <v>46093</v>
      </c>
      <c r="D42" t="inlineStr">
        <is>
          <t>STOCKHOLMS LÄN</t>
        </is>
      </c>
      <c r="E42" t="inlineStr">
        <is>
          <t>VALLENTUNA</t>
        </is>
      </c>
      <c r="G42" t="n">
        <v>5.9</v>
      </c>
      <c r="H42" t="n">
        <v>1</v>
      </c>
      <c r="I42" t="n">
        <v>0</v>
      </c>
      <c r="J42" t="n">
        <v>1</v>
      </c>
      <c r="K42" t="n">
        <v>0</v>
      </c>
      <c r="L42" t="n">
        <v>0</v>
      </c>
      <c r="M42" t="n">
        <v>0</v>
      </c>
      <c r="N42" t="n">
        <v>0</v>
      </c>
      <c r="O42" t="n">
        <v>1</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20612-2021</t>
        </is>
      </c>
      <c r="B43" s="1" t="n">
        <v>44315</v>
      </c>
      <c r="C43" s="1" t="n">
        <v>46093</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46093</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46093</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46093</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46093</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46093</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46093</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46093</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46093</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46093</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46093</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46093</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46093</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46093</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46093</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46093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46093</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28431-2025</t>
        </is>
      </c>
      <c r="B60" s="1" t="n">
        <v>45819.38072916667</v>
      </c>
      <c r="C60" s="1" t="n">
        <v>46093</v>
      </c>
      <c r="D60" t="inlineStr">
        <is>
          <t>STOCKHOLMS LÄN</t>
        </is>
      </c>
      <c r="E60" t="inlineStr">
        <is>
          <t>VALLENTUNA</t>
        </is>
      </c>
      <c r="G60" t="n">
        <v>1.5</v>
      </c>
      <c r="H60" t="n">
        <v>0</v>
      </c>
      <c r="I60" t="n">
        <v>0</v>
      </c>
      <c r="J60" t="n">
        <v>0</v>
      </c>
      <c r="K60" t="n">
        <v>0</v>
      </c>
      <c r="L60" t="n">
        <v>0</v>
      </c>
      <c r="M60" t="n">
        <v>0</v>
      </c>
      <c r="N60" t="n">
        <v>0</v>
      </c>
      <c r="O60" t="n">
        <v>0</v>
      </c>
      <c r="P60" t="n">
        <v>0</v>
      </c>
      <c r="Q60" t="n">
        <v>0</v>
      </c>
      <c r="R60" s="2" t="inlineStr"/>
    </row>
    <row r="61" ht="15" customHeight="1">
      <c r="A61" t="inlineStr">
        <is>
          <t>A 14725-2022</t>
        </is>
      </c>
      <c r="B61" s="1" t="n">
        <v>44655</v>
      </c>
      <c r="C61" s="1" t="n">
        <v>46093</v>
      </c>
      <c r="D61" t="inlineStr">
        <is>
          <t>STOCKHOLMS LÄN</t>
        </is>
      </c>
      <c r="E61" t="inlineStr">
        <is>
          <t>VALLENTUNA</t>
        </is>
      </c>
      <c r="G61" t="n">
        <v>0.6</v>
      </c>
      <c r="H61" t="n">
        <v>0</v>
      </c>
      <c r="I61" t="n">
        <v>0</v>
      </c>
      <c r="J61" t="n">
        <v>0</v>
      </c>
      <c r="K61" t="n">
        <v>0</v>
      </c>
      <c r="L61" t="n">
        <v>0</v>
      </c>
      <c r="M61" t="n">
        <v>0</v>
      </c>
      <c r="N61" t="n">
        <v>0</v>
      </c>
      <c r="O61" t="n">
        <v>0</v>
      </c>
      <c r="P61" t="n">
        <v>0</v>
      </c>
      <c r="Q61" t="n">
        <v>0</v>
      </c>
      <c r="R61" s="2" t="inlineStr"/>
    </row>
    <row r="62" ht="15" customHeight="1">
      <c r="A62" t="inlineStr">
        <is>
          <t>A 7085-2022</t>
        </is>
      </c>
      <c r="B62" s="1" t="n">
        <v>44603</v>
      </c>
      <c r="C62" s="1" t="n">
        <v>46093</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46093</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24994-2021</t>
        </is>
      </c>
      <c r="B64" s="1" t="n">
        <v>44341</v>
      </c>
      <c r="C64" s="1" t="n">
        <v>46093</v>
      </c>
      <c r="D64" t="inlineStr">
        <is>
          <t>STOCKHOLMS LÄN</t>
        </is>
      </c>
      <c r="E64" t="inlineStr">
        <is>
          <t>VALLENTUNA</t>
        </is>
      </c>
      <c r="G64" t="n">
        <v>2.6</v>
      </c>
      <c r="H64" t="n">
        <v>0</v>
      </c>
      <c r="I64" t="n">
        <v>0</v>
      </c>
      <c r="J64" t="n">
        <v>0</v>
      </c>
      <c r="K64" t="n">
        <v>0</v>
      </c>
      <c r="L64" t="n">
        <v>0</v>
      </c>
      <c r="M64" t="n">
        <v>0</v>
      </c>
      <c r="N64" t="n">
        <v>0</v>
      </c>
      <c r="O64" t="n">
        <v>0</v>
      </c>
      <c r="P64" t="n">
        <v>0</v>
      </c>
      <c r="Q64" t="n">
        <v>0</v>
      </c>
      <c r="R64" s="2" t="inlineStr"/>
    </row>
    <row r="65" ht="15" customHeight="1">
      <c r="A65" t="inlineStr">
        <is>
          <t>A 24707-2023</t>
        </is>
      </c>
      <c r="B65" s="1" t="n">
        <v>45084</v>
      </c>
      <c r="C65" s="1" t="n">
        <v>46093</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46093</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12609-2024</t>
        </is>
      </c>
      <c r="B67" s="1" t="n">
        <v>45382.8109375</v>
      </c>
      <c r="C67" s="1" t="n">
        <v>46093</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47140-2024</t>
        </is>
      </c>
      <c r="B68" s="1" t="n">
        <v>45586.58753472222</v>
      </c>
      <c r="C68" s="1" t="n">
        <v>46093</v>
      </c>
      <c r="D68" t="inlineStr">
        <is>
          <t>STOCKHOLMS LÄN</t>
        </is>
      </c>
      <c r="E68" t="inlineStr">
        <is>
          <t>VALLENTUNA</t>
        </is>
      </c>
      <c r="G68" t="n">
        <v>1</v>
      </c>
      <c r="H68" t="n">
        <v>0</v>
      </c>
      <c r="I68" t="n">
        <v>0</v>
      </c>
      <c r="J68" t="n">
        <v>0</v>
      </c>
      <c r="K68" t="n">
        <v>0</v>
      </c>
      <c r="L68" t="n">
        <v>0</v>
      </c>
      <c r="M68" t="n">
        <v>0</v>
      </c>
      <c r="N68" t="n">
        <v>0</v>
      </c>
      <c r="O68" t="n">
        <v>0</v>
      </c>
      <c r="P68" t="n">
        <v>0</v>
      </c>
      <c r="Q68" t="n">
        <v>0</v>
      </c>
      <c r="R68" s="2" t="inlineStr"/>
    </row>
    <row r="69" ht="15" customHeight="1">
      <c r="A69" t="inlineStr">
        <is>
          <t>A 3078-2023</t>
        </is>
      </c>
      <c r="B69" s="1" t="n">
        <v>44946.41527777778</v>
      </c>
      <c r="C69" s="1" t="n">
        <v>46093</v>
      </c>
      <c r="D69" t="inlineStr">
        <is>
          <t>STOCKHOLMS LÄN</t>
        </is>
      </c>
      <c r="E69" t="inlineStr">
        <is>
          <t>VALLENTUNA</t>
        </is>
      </c>
      <c r="G69" t="n">
        <v>3.9</v>
      </c>
      <c r="H69" t="n">
        <v>0</v>
      </c>
      <c r="I69" t="n">
        <v>0</v>
      </c>
      <c r="J69" t="n">
        <v>0</v>
      </c>
      <c r="K69" t="n">
        <v>0</v>
      </c>
      <c r="L69" t="n">
        <v>0</v>
      </c>
      <c r="M69" t="n">
        <v>0</v>
      </c>
      <c r="N69" t="n">
        <v>0</v>
      </c>
      <c r="O69" t="n">
        <v>0</v>
      </c>
      <c r="P69" t="n">
        <v>0</v>
      </c>
      <c r="Q69" t="n">
        <v>0</v>
      </c>
      <c r="R69" s="2" t="inlineStr"/>
    </row>
    <row r="70" ht="15" customHeight="1">
      <c r="A70" t="inlineStr">
        <is>
          <t>A 60795-2023</t>
        </is>
      </c>
      <c r="B70" s="1" t="n">
        <v>45260</v>
      </c>
      <c r="C70" s="1" t="n">
        <v>46093</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8565-2025</t>
        </is>
      </c>
      <c r="B71" s="1" t="n">
        <v>45709</v>
      </c>
      <c r="C71" s="1" t="n">
        <v>46093</v>
      </c>
      <c r="D71" t="inlineStr">
        <is>
          <t>STOCKHOLMS LÄN</t>
        </is>
      </c>
      <c r="E71" t="inlineStr">
        <is>
          <t>VALLENTUNA</t>
        </is>
      </c>
      <c r="F71" t="inlineStr">
        <is>
          <t>Kommuner</t>
        </is>
      </c>
      <c r="G71" t="n">
        <v>4.2</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46093</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9063-2024</t>
        </is>
      </c>
      <c r="B73" s="1" t="n">
        <v>45357.72652777778</v>
      </c>
      <c r="C73" s="1" t="n">
        <v>46093</v>
      </c>
      <c r="D73" t="inlineStr">
        <is>
          <t>STOCKHOLMS LÄN</t>
        </is>
      </c>
      <c r="E73" t="inlineStr">
        <is>
          <t>VALLENTUNA</t>
        </is>
      </c>
      <c r="G73" t="n">
        <v>4.1</v>
      </c>
      <c r="H73" t="n">
        <v>0</v>
      </c>
      <c r="I73" t="n">
        <v>0</v>
      </c>
      <c r="J73" t="n">
        <v>0</v>
      </c>
      <c r="K73" t="n">
        <v>0</v>
      </c>
      <c r="L73" t="n">
        <v>0</v>
      </c>
      <c r="M73" t="n">
        <v>0</v>
      </c>
      <c r="N73" t="n">
        <v>0</v>
      </c>
      <c r="O73" t="n">
        <v>0</v>
      </c>
      <c r="P73" t="n">
        <v>0</v>
      </c>
      <c r="Q73" t="n">
        <v>0</v>
      </c>
      <c r="R73" s="2" t="inlineStr"/>
    </row>
    <row r="74" ht="15" customHeight="1">
      <c r="A74" t="inlineStr">
        <is>
          <t>A 30913-2021</t>
        </is>
      </c>
      <c r="B74" s="1" t="n">
        <v>44365</v>
      </c>
      <c r="C74" s="1" t="n">
        <v>46093</v>
      </c>
      <c r="D74" t="inlineStr">
        <is>
          <t>STOCKHOLMS LÄN</t>
        </is>
      </c>
      <c r="E74" t="inlineStr">
        <is>
          <t>VALLENTUNA</t>
        </is>
      </c>
      <c r="F74" t="inlineStr">
        <is>
          <t>Övriga Aktiebolag</t>
        </is>
      </c>
      <c r="G74" t="n">
        <v>3.3</v>
      </c>
      <c r="H74" t="n">
        <v>0</v>
      </c>
      <c r="I74" t="n">
        <v>0</v>
      </c>
      <c r="J74" t="n">
        <v>0</v>
      </c>
      <c r="K74" t="n">
        <v>0</v>
      </c>
      <c r="L74" t="n">
        <v>0</v>
      </c>
      <c r="M74" t="n">
        <v>0</v>
      </c>
      <c r="N74" t="n">
        <v>0</v>
      </c>
      <c r="O74" t="n">
        <v>0</v>
      </c>
      <c r="P74" t="n">
        <v>0</v>
      </c>
      <c r="Q74" t="n">
        <v>0</v>
      </c>
      <c r="R74" s="2" t="inlineStr"/>
    </row>
    <row r="75" ht="15" customHeight="1">
      <c r="A75" t="inlineStr">
        <is>
          <t>A 4803-2024</t>
        </is>
      </c>
      <c r="B75" s="1" t="n">
        <v>45328</v>
      </c>
      <c r="C75" s="1" t="n">
        <v>46093</v>
      </c>
      <c r="D75" t="inlineStr">
        <is>
          <t>STOCKHOLMS LÄN</t>
        </is>
      </c>
      <c r="E75" t="inlineStr">
        <is>
          <t>VALLENTUNA</t>
        </is>
      </c>
      <c r="G75" t="n">
        <v>4.6</v>
      </c>
      <c r="H75" t="n">
        <v>0</v>
      </c>
      <c r="I75" t="n">
        <v>0</v>
      </c>
      <c r="J75" t="n">
        <v>0</v>
      </c>
      <c r="K75" t="n">
        <v>0</v>
      </c>
      <c r="L75" t="n">
        <v>0</v>
      </c>
      <c r="M75" t="n">
        <v>0</v>
      </c>
      <c r="N75" t="n">
        <v>0</v>
      </c>
      <c r="O75" t="n">
        <v>0</v>
      </c>
      <c r="P75" t="n">
        <v>0</v>
      </c>
      <c r="Q75" t="n">
        <v>0</v>
      </c>
      <c r="R75" s="2" t="inlineStr"/>
    </row>
    <row r="76" ht="15" customHeight="1">
      <c r="A76" t="inlineStr">
        <is>
          <t>A 41206-2025</t>
        </is>
      </c>
      <c r="B76" s="1" t="n">
        <v>45898</v>
      </c>
      <c r="C76" s="1" t="n">
        <v>46093</v>
      </c>
      <c r="D76" t="inlineStr">
        <is>
          <t>STOCKHOLMS LÄN</t>
        </is>
      </c>
      <c r="E76" t="inlineStr">
        <is>
          <t>VALLENTUNA</t>
        </is>
      </c>
      <c r="G76" t="n">
        <v>10</v>
      </c>
      <c r="H76" t="n">
        <v>0</v>
      </c>
      <c r="I76" t="n">
        <v>0</v>
      </c>
      <c r="J76" t="n">
        <v>0</v>
      </c>
      <c r="K76" t="n">
        <v>0</v>
      </c>
      <c r="L76" t="n">
        <v>0</v>
      </c>
      <c r="M76" t="n">
        <v>0</v>
      </c>
      <c r="N76" t="n">
        <v>0</v>
      </c>
      <c r="O76" t="n">
        <v>0</v>
      </c>
      <c r="P76" t="n">
        <v>0</v>
      </c>
      <c r="Q76" t="n">
        <v>0</v>
      </c>
      <c r="R76" s="2" t="inlineStr"/>
    </row>
    <row r="77" ht="15" customHeight="1">
      <c r="A77" t="inlineStr">
        <is>
          <t>A 52542-2023</t>
        </is>
      </c>
      <c r="B77" s="1" t="n">
        <v>45225</v>
      </c>
      <c r="C77" s="1" t="n">
        <v>46093</v>
      </c>
      <c r="D77" t="inlineStr">
        <is>
          <t>STOCKHOLMS LÄN</t>
        </is>
      </c>
      <c r="E77" t="inlineStr">
        <is>
          <t>VALLENTUNA</t>
        </is>
      </c>
      <c r="G77" t="n">
        <v>3.8</v>
      </c>
      <c r="H77" t="n">
        <v>0</v>
      </c>
      <c r="I77" t="n">
        <v>0</v>
      </c>
      <c r="J77" t="n">
        <v>0</v>
      </c>
      <c r="K77" t="n">
        <v>0</v>
      </c>
      <c r="L77" t="n">
        <v>0</v>
      </c>
      <c r="M77" t="n">
        <v>0</v>
      </c>
      <c r="N77" t="n">
        <v>0</v>
      </c>
      <c r="O77" t="n">
        <v>0</v>
      </c>
      <c r="P77" t="n">
        <v>0</v>
      </c>
      <c r="Q77" t="n">
        <v>0</v>
      </c>
      <c r="R77" s="2" t="inlineStr"/>
    </row>
    <row r="78" ht="15" customHeight="1">
      <c r="A78" t="inlineStr">
        <is>
          <t>A 48068-2021</t>
        </is>
      </c>
      <c r="B78" s="1" t="n">
        <v>44449.42270833333</v>
      </c>
      <c r="C78" s="1" t="n">
        <v>46093</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3937-2022</t>
        </is>
      </c>
      <c r="B79" s="1" t="n">
        <v>44587</v>
      </c>
      <c r="C79" s="1" t="n">
        <v>46093</v>
      </c>
      <c r="D79" t="inlineStr">
        <is>
          <t>STOCKHOLMS LÄN</t>
        </is>
      </c>
      <c r="E79" t="inlineStr">
        <is>
          <t>VALLENTUNA</t>
        </is>
      </c>
      <c r="G79" t="n">
        <v>6.6</v>
      </c>
      <c r="H79" t="n">
        <v>0</v>
      </c>
      <c r="I79" t="n">
        <v>0</v>
      </c>
      <c r="J79" t="n">
        <v>0</v>
      </c>
      <c r="K79" t="n">
        <v>0</v>
      </c>
      <c r="L79" t="n">
        <v>0</v>
      </c>
      <c r="M79" t="n">
        <v>0</v>
      </c>
      <c r="N79" t="n">
        <v>0</v>
      </c>
      <c r="O79" t="n">
        <v>0</v>
      </c>
      <c r="P79" t="n">
        <v>0</v>
      </c>
      <c r="Q79" t="n">
        <v>0</v>
      </c>
      <c r="R79" s="2" t="inlineStr"/>
    </row>
    <row r="80" ht="15" customHeight="1">
      <c r="A80" t="inlineStr">
        <is>
          <t>A 11950-2025</t>
        </is>
      </c>
      <c r="B80" s="1" t="n">
        <v>45728.55622685186</v>
      </c>
      <c r="C80" s="1" t="n">
        <v>46093</v>
      </c>
      <c r="D80" t="inlineStr">
        <is>
          <t>STOCKHOLMS LÄN</t>
        </is>
      </c>
      <c r="E80" t="inlineStr">
        <is>
          <t>VALLENTUNA</t>
        </is>
      </c>
      <c r="G80" t="n">
        <v>1.4</v>
      </c>
      <c r="H80" t="n">
        <v>0</v>
      </c>
      <c r="I80" t="n">
        <v>0</v>
      </c>
      <c r="J80" t="n">
        <v>0</v>
      </c>
      <c r="K80" t="n">
        <v>0</v>
      </c>
      <c r="L80" t="n">
        <v>0</v>
      </c>
      <c r="M80" t="n">
        <v>0</v>
      </c>
      <c r="N80" t="n">
        <v>0</v>
      </c>
      <c r="O80" t="n">
        <v>0</v>
      </c>
      <c r="P80" t="n">
        <v>0</v>
      </c>
      <c r="Q80" t="n">
        <v>0</v>
      </c>
      <c r="R80" s="2" t="inlineStr"/>
    </row>
    <row r="81" ht="15" customHeight="1">
      <c r="A81" t="inlineStr">
        <is>
          <t>A 60818-2023</t>
        </is>
      </c>
      <c r="B81" s="1" t="n">
        <v>45259</v>
      </c>
      <c r="C81" s="1" t="n">
        <v>46093</v>
      </c>
      <c r="D81" t="inlineStr">
        <is>
          <t>STOCKHOLMS LÄN</t>
        </is>
      </c>
      <c r="E81" t="inlineStr">
        <is>
          <t>VALLENTUNA</t>
        </is>
      </c>
      <c r="G81" t="n">
        <v>9.4</v>
      </c>
      <c r="H81" t="n">
        <v>0</v>
      </c>
      <c r="I81" t="n">
        <v>0</v>
      </c>
      <c r="J81" t="n">
        <v>0</v>
      </c>
      <c r="K81" t="n">
        <v>0</v>
      </c>
      <c r="L81" t="n">
        <v>0</v>
      </c>
      <c r="M81" t="n">
        <v>0</v>
      </c>
      <c r="N81" t="n">
        <v>0</v>
      </c>
      <c r="O81" t="n">
        <v>0</v>
      </c>
      <c r="P81" t="n">
        <v>0</v>
      </c>
      <c r="Q81" t="n">
        <v>0</v>
      </c>
      <c r="R81" s="2" t="inlineStr"/>
    </row>
    <row r="82" ht="15" customHeight="1">
      <c r="A82" t="inlineStr">
        <is>
          <t>A 14489-2024</t>
        </is>
      </c>
      <c r="B82" s="1" t="n">
        <v>45394.58053240741</v>
      </c>
      <c r="C82" s="1" t="n">
        <v>46093</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44988-2025</t>
        </is>
      </c>
      <c r="B83" s="1" t="n">
        <v>45918.65505787037</v>
      </c>
      <c r="C83" s="1" t="n">
        <v>46093</v>
      </c>
      <c r="D83" t="inlineStr">
        <is>
          <t>STOCKHOLMS LÄN</t>
        </is>
      </c>
      <c r="E83" t="inlineStr">
        <is>
          <t>VALLENTUNA</t>
        </is>
      </c>
      <c r="G83" t="n">
        <v>1</v>
      </c>
      <c r="H83" t="n">
        <v>0</v>
      </c>
      <c r="I83" t="n">
        <v>0</v>
      </c>
      <c r="J83" t="n">
        <v>0</v>
      </c>
      <c r="K83" t="n">
        <v>0</v>
      </c>
      <c r="L83" t="n">
        <v>0</v>
      </c>
      <c r="M83" t="n">
        <v>0</v>
      </c>
      <c r="N83" t="n">
        <v>0</v>
      </c>
      <c r="O83" t="n">
        <v>0</v>
      </c>
      <c r="P83" t="n">
        <v>0</v>
      </c>
      <c r="Q83" t="n">
        <v>0</v>
      </c>
      <c r="R83" s="2" t="inlineStr"/>
    </row>
    <row r="84" ht="15" customHeight="1">
      <c r="A84" t="inlineStr">
        <is>
          <t>A 7264-2022</t>
        </is>
      </c>
      <c r="B84" s="1" t="n">
        <v>44606</v>
      </c>
      <c r="C84" s="1" t="n">
        <v>46093</v>
      </c>
      <c r="D84" t="inlineStr">
        <is>
          <t>STOCKHOLMS LÄN</t>
        </is>
      </c>
      <c r="E84" t="inlineStr">
        <is>
          <t>VALLENTUNA</t>
        </is>
      </c>
      <c r="G84" t="n">
        <v>2.4</v>
      </c>
      <c r="H84" t="n">
        <v>0</v>
      </c>
      <c r="I84" t="n">
        <v>0</v>
      </c>
      <c r="J84" t="n">
        <v>0</v>
      </c>
      <c r="K84" t="n">
        <v>0</v>
      </c>
      <c r="L84" t="n">
        <v>0</v>
      </c>
      <c r="M84" t="n">
        <v>0</v>
      </c>
      <c r="N84" t="n">
        <v>0</v>
      </c>
      <c r="O84" t="n">
        <v>0</v>
      </c>
      <c r="P84" t="n">
        <v>0</v>
      </c>
      <c r="Q84" t="n">
        <v>0</v>
      </c>
      <c r="R84" s="2" t="inlineStr"/>
    </row>
    <row r="85" ht="15" customHeight="1">
      <c r="A85" t="inlineStr">
        <is>
          <t>A 52562-2023</t>
        </is>
      </c>
      <c r="B85" s="1" t="n">
        <v>45225</v>
      </c>
      <c r="C85" s="1" t="n">
        <v>46093</v>
      </c>
      <c r="D85" t="inlineStr">
        <is>
          <t>STOCKHOLMS LÄN</t>
        </is>
      </c>
      <c r="E85" t="inlineStr">
        <is>
          <t>VALLENTUNA</t>
        </is>
      </c>
      <c r="G85" t="n">
        <v>3.4</v>
      </c>
      <c r="H85" t="n">
        <v>0</v>
      </c>
      <c r="I85" t="n">
        <v>0</v>
      </c>
      <c r="J85" t="n">
        <v>0</v>
      </c>
      <c r="K85" t="n">
        <v>0</v>
      </c>
      <c r="L85" t="n">
        <v>0</v>
      </c>
      <c r="M85" t="n">
        <v>0</v>
      </c>
      <c r="N85" t="n">
        <v>0</v>
      </c>
      <c r="O85" t="n">
        <v>0</v>
      </c>
      <c r="P85" t="n">
        <v>0</v>
      </c>
      <c r="Q85" t="n">
        <v>0</v>
      </c>
      <c r="R85" s="2" t="inlineStr"/>
    </row>
    <row r="86" ht="15" customHeight="1">
      <c r="A86" t="inlineStr">
        <is>
          <t>A 19356-2025</t>
        </is>
      </c>
      <c r="B86" s="1" t="n">
        <v>45769.62061342593</v>
      </c>
      <c r="C86" s="1" t="n">
        <v>46093</v>
      </c>
      <c r="D86" t="inlineStr">
        <is>
          <t>STOCKHOLMS LÄN</t>
        </is>
      </c>
      <c r="E86" t="inlineStr">
        <is>
          <t>VALLENTUNA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12562-2023</t>
        </is>
      </c>
      <c r="B87" s="1" t="n">
        <v>45000</v>
      </c>
      <c r="C87" s="1" t="n">
        <v>46093</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48014-2025</t>
        </is>
      </c>
      <c r="B88" s="1" t="n">
        <v>45932.64520833334</v>
      </c>
      <c r="C88" s="1" t="n">
        <v>46093</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48038-2025</t>
        </is>
      </c>
      <c r="B89" s="1" t="n">
        <v>45932.66008101852</v>
      </c>
      <c r="C89" s="1" t="n">
        <v>46093</v>
      </c>
      <c r="D89" t="inlineStr">
        <is>
          <t>STOCKHOLMS LÄN</t>
        </is>
      </c>
      <c r="E89" t="inlineStr">
        <is>
          <t>VALLENTUNA</t>
        </is>
      </c>
      <c r="G89" t="n">
        <v>0.5</v>
      </c>
      <c r="H89" t="n">
        <v>0</v>
      </c>
      <c r="I89" t="n">
        <v>0</v>
      </c>
      <c r="J89" t="n">
        <v>0</v>
      </c>
      <c r="K89" t="n">
        <v>0</v>
      </c>
      <c r="L89" t="n">
        <v>0</v>
      </c>
      <c r="M89" t="n">
        <v>0</v>
      </c>
      <c r="N89" t="n">
        <v>0</v>
      </c>
      <c r="O89" t="n">
        <v>0</v>
      </c>
      <c r="P89" t="n">
        <v>0</v>
      </c>
      <c r="Q89" t="n">
        <v>0</v>
      </c>
      <c r="R89" s="2" t="inlineStr"/>
    </row>
    <row r="90" ht="15" customHeight="1">
      <c r="A90" t="inlineStr">
        <is>
          <t>A 4804-2024</t>
        </is>
      </c>
      <c r="B90" s="1" t="n">
        <v>45328</v>
      </c>
      <c r="C90" s="1" t="n">
        <v>46093</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23013-2024</t>
        </is>
      </c>
      <c r="B91" s="1" t="n">
        <v>45450.35116898148</v>
      </c>
      <c r="C91" s="1" t="n">
        <v>46093</v>
      </c>
      <c r="D91" t="inlineStr">
        <is>
          <t>STOCKHOLMS LÄN</t>
        </is>
      </c>
      <c r="E91" t="inlineStr">
        <is>
          <t>VALLENTUNA</t>
        </is>
      </c>
      <c r="G91" t="n">
        <v>0.4</v>
      </c>
      <c r="H91" t="n">
        <v>0</v>
      </c>
      <c r="I91" t="n">
        <v>0</v>
      </c>
      <c r="J91" t="n">
        <v>0</v>
      </c>
      <c r="K91" t="n">
        <v>0</v>
      </c>
      <c r="L91" t="n">
        <v>0</v>
      </c>
      <c r="M91" t="n">
        <v>0</v>
      </c>
      <c r="N91" t="n">
        <v>0</v>
      </c>
      <c r="O91" t="n">
        <v>0</v>
      </c>
      <c r="P91" t="n">
        <v>0</v>
      </c>
      <c r="Q91" t="n">
        <v>0</v>
      </c>
      <c r="R91" s="2" t="inlineStr"/>
    </row>
    <row r="92" ht="15" customHeight="1">
      <c r="A92" t="inlineStr">
        <is>
          <t>A 2318-2024</t>
        </is>
      </c>
      <c r="B92" s="1" t="n">
        <v>45310</v>
      </c>
      <c r="C92" s="1" t="n">
        <v>46093</v>
      </c>
      <c r="D92" t="inlineStr">
        <is>
          <t>STOCKHOLMS LÄN</t>
        </is>
      </c>
      <c r="E92" t="inlineStr">
        <is>
          <t>VALLENTUNA</t>
        </is>
      </c>
      <c r="G92" t="n">
        <v>2.2</v>
      </c>
      <c r="H92" t="n">
        <v>0</v>
      </c>
      <c r="I92" t="n">
        <v>0</v>
      </c>
      <c r="J92" t="n">
        <v>0</v>
      </c>
      <c r="K92" t="n">
        <v>0</v>
      </c>
      <c r="L92" t="n">
        <v>0</v>
      </c>
      <c r="M92" t="n">
        <v>0</v>
      </c>
      <c r="N92" t="n">
        <v>0</v>
      </c>
      <c r="O92" t="n">
        <v>0</v>
      </c>
      <c r="P92" t="n">
        <v>0</v>
      </c>
      <c r="Q92" t="n">
        <v>0</v>
      </c>
      <c r="R92" s="2" t="inlineStr"/>
    </row>
    <row r="93" ht="15" customHeight="1">
      <c r="A93" t="inlineStr">
        <is>
          <t>A 24068-2024</t>
        </is>
      </c>
      <c r="B93" s="1" t="n">
        <v>45456</v>
      </c>
      <c r="C93" s="1" t="n">
        <v>46093</v>
      </c>
      <c r="D93" t="inlineStr">
        <is>
          <t>STOCKHOLMS LÄN</t>
        </is>
      </c>
      <c r="E93" t="inlineStr">
        <is>
          <t>VALLENTUNA</t>
        </is>
      </c>
      <c r="G93" t="n">
        <v>7.4</v>
      </c>
      <c r="H93" t="n">
        <v>0</v>
      </c>
      <c r="I93" t="n">
        <v>0</v>
      </c>
      <c r="J93" t="n">
        <v>0</v>
      </c>
      <c r="K93" t="n">
        <v>0</v>
      </c>
      <c r="L93" t="n">
        <v>0</v>
      </c>
      <c r="M93" t="n">
        <v>0</v>
      </c>
      <c r="N93" t="n">
        <v>0</v>
      </c>
      <c r="O93" t="n">
        <v>0</v>
      </c>
      <c r="P93" t="n">
        <v>0</v>
      </c>
      <c r="Q93" t="n">
        <v>0</v>
      </c>
      <c r="R93" s="2" t="inlineStr"/>
    </row>
    <row r="94" ht="15" customHeight="1">
      <c r="A94" t="inlineStr">
        <is>
          <t>A 50784-2025</t>
        </is>
      </c>
      <c r="B94" s="1" t="n">
        <v>45946</v>
      </c>
      <c r="C94" s="1" t="n">
        <v>46093</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61442-2024</t>
        </is>
      </c>
      <c r="B95" s="1" t="n">
        <v>45646.47003472222</v>
      </c>
      <c r="C95" s="1" t="n">
        <v>46093</v>
      </c>
      <c r="D95" t="inlineStr">
        <is>
          <t>STOCKHOLMS LÄN</t>
        </is>
      </c>
      <c r="E95" t="inlineStr">
        <is>
          <t>VALLENTUNA</t>
        </is>
      </c>
      <c r="G95" t="n">
        <v>4.6</v>
      </c>
      <c r="H95" t="n">
        <v>0</v>
      </c>
      <c r="I95" t="n">
        <v>0</v>
      </c>
      <c r="J95" t="n">
        <v>0</v>
      </c>
      <c r="K95" t="n">
        <v>0</v>
      </c>
      <c r="L95" t="n">
        <v>0</v>
      </c>
      <c r="M95" t="n">
        <v>0</v>
      </c>
      <c r="N95" t="n">
        <v>0</v>
      </c>
      <c r="O95" t="n">
        <v>0</v>
      </c>
      <c r="P95" t="n">
        <v>0</v>
      </c>
      <c r="Q95" t="n">
        <v>0</v>
      </c>
      <c r="R95" s="2" t="inlineStr"/>
    </row>
    <row r="96" ht="15" customHeight="1">
      <c r="A96" t="inlineStr">
        <is>
          <t>A 61742-2022</t>
        </is>
      </c>
      <c r="B96" s="1" t="n">
        <v>44917</v>
      </c>
      <c r="C96" s="1" t="n">
        <v>46093</v>
      </c>
      <c r="D96" t="inlineStr">
        <is>
          <t>STOCKHOLMS LÄN</t>
        </is>
      </c>
      <c r="E96" t="inlineStr">
        <is>
          <t>VALLENTUNA</t>
        </is>
      </c>
      <c r="G96" t="n">
        <v>0.5</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46093</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27868-2025</t>
        </is>
      </c>
      <c r="B98" s="1" t="n">
        <v>45817</v>
      </c>
      <c r="C98" s="1" t="n">
        <v>46093</v>
      </c>
      <c r="D98" t="inlineStr">
        <is>
          <t>STOCKHOLMS LÄN</t>
        </is>
      </c>
      <c r="E98" t="inlineStr">
        <is>
          <t>VALLENTUNA</t>
        </is>
      </c>
      <c r="G98" t="n">
        <v>2.1</v>
      </c>
      <c r="H98" t="n">
        <v>0</v>
      </c>
      <c r="I98" t="n">
        <v>0</v>
      </c>
      <c r="J98" t="n">
        <v>0</v>
      </c>
      <c r="K98" t="n">
        <v>0</v>
      </c>
      <c r="L98" t="n">
        <v>0</v>
      </c>
      <c r="M98" t="n">
        <v>0</v>
      </c>
      <c r="N98" t="n">
        <v>0</v>
      </c>
      <c r="O98" t="n">
        <v>0</v>
      </c>
      <c r="P98" t="n">
        <v>0</v>
      </c>
      <c r="Q98" t="n">
        <v>0</v>
      </c>
      <c r="R98" s="2" t="inlineStr"/>
    </row>
    <row r="99" ht="15" customHeight="1">
      <c r="A99" t="inlineStr">
        <is>
          <t>A 54466-2025</t>
        </is>
      </c>
      <c r="B99" s="1" t="n">
        <v>45965.56984953704</v>
      </c>
      <c r="C99" s="1" t="n">
        <v>46093</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54460-2025</t>
        </is>
      </c>
      <c r="B100" s="1" t="n">
        <v>45965.56219907408</v>
      </c>
      <c r="C100" s="1" t="n">
        <v>46093</v>
      </c>
      <c r="D100" t="inlineStr">
        <is>
          <t>STOCKHOLMS LÄN</t>
        </is>
      </c>
      <c r="E100" t="inlineStr">
        <is>
          <t>VALLENTUNA</t>
        </is>
      </c>
      <c r="G100" t="n">
        <v>22.9</v>
      </c>
      <c r="H100" t="n">
        <v>0</v>
      </c>
      <c r="I100" t="n">
        <v>0</v>
      </c>
      <c r="J100" t="n">
        <v>0</v>
      </c>
      <c r="K100" t="n">
        <v>0</v>
      </c>
      <c r="L100" t="n">
        <v>0</v>
      </c>
      <c r="M100" t="n">
        <v>0</v>
      </c>
      <c r="N100" t="n">
        <v>0</v>
      </c>
      <c r="O100" t="n">
        <v>0</v>
      </c>
      <c r="P100" t="n">
        <v>0</v>
      </c>
      <c r="Q100" t="n">
        <v>0</v>
      </c>
      <c r="R100" s="2" t="inlineStr"/>
    </row>
    <row r="101" ht="15" customHeight="1">
      <c r="A101" t="inlineStr">
        <is>
          <t>A 3698-2022</t>
        </is>
      </c>
      <c r="B101" s="1" t="n">
        <v>44586</v>
      </c>
      <c r="C101" s="1" t="n">
        <v>46093</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19503-2023</t>
        </is>
      </c>
      <c r="B102" s="1" t="n">
        <v>45050.47333333334</v>
      </c>
      <c r="C102" s="1" t="n">
        <v>46093</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60997-2022</t>
        </is>
      </c>
      <c r="B103" s="1" t="n">
        <v>44914.70746527778</v>
      </c>
      <c r="C103" s="1" t="n">
        <v>46093</v>
      </c>
      <c r="D103" t="inlineStr">
        <is>
          <t>STOCKHOLMS LÄN</t>
        </is>
      </c>
      <c r="E103" t="inlineStr">
        <is>
          <t>VALLENTUNA</t>
        </is>
      </c>
      <c r="G103" t="n">
        <v>1.8</v>
      </c>
      <c r="H103" t="n">
        <v>0</v>
      </c>
      <c r="I103" t="n">
        <v>0</v>
      </c>
      <c r="J103" t="n">
        <v>0</v>
      </c>
      <c r="K103" t="n">
        <v>0</v>
      </c>
      <c r="L103" t="n">
        <v>0</v>
      </c>
      <c r="M103" t="n">
        <v>0</v>
      </c>
      <c r="N103" t="n">
        <v>0</v>
      </c>
      <c r="O103" t="n">
        <v>0</v>
      </c>
      <c r="P103" t="n">
        <v>0</v>
      </c>
      <c r="Q103" t="n">
        <v>0</v>
      </c>
      <c r="R103" s="2" t="inlineStr"/>
    </row>
    <row r="104" ht="15" customHeight="1">
      <c r="A104" t="inlineStr">
        <is>
          <t>A 12234-2022</t>
        </is>
      </c>
      <c r="B104" s="1" t="n">
        <v>44637</v>
      </c>
      <c r="C104" s="1" t="n">
        <v>46093</v>
      </c>
      <c r="D104" t="inlineStr">
        <is>
          <t>STOCKHOLMS LÄN</t>
        </is>
      </c>
      <c r="E104" t="inlineStr">
        <is>
          <t>VALLENTUNA</t>
        </is>
      </c>
      <c r="G104" t="n">
        <v>2.4</v>
      </c>
      <c r="H104" t="n">
        <v>0</v>
      </c>
      <c r="I104" t="n">
        <v>0</v>
      </c>
      <c r="J104" t="n">
        <v>0</v>
      </c>
      <c r="K104" t="n">
        <v>0</v>
      </c>
      <c r="L104" t="n">
        <v>0</v>
      </c>
      <c r="M104" t="n">
        <v>0</v>
      </c>
      <c r="N104" t="n">
        <v>0</v>
      </c>
      <c r="O104" t="n">
        <v>0</v>
      </c>
      <c r="P104" t="n">
        <v>0</v>
      </c>
      <c r="Q104" t="n">
        <v>0</v>
      </c>
      <c r="R104" s="2" t="inlineStr"/>
    </row>
    <row r="105" ht="15" customHeight="1">
      <c r="A105" t="inlineStr">
        <is>
          <t>A 21614-2022</t>
        </is>
      </c>
      <c r="B105" s="1" t="n">
        <v>44706</v>
      </c>
      <c r="C105" s="1" t="n">
        <v>46093</v>
      </c>
      <c r="D105" t="inlineStr">
        <is>
          <t>STOCKHOLMS LÄN</t>
        </is>
      </c>
      <c r="E105" t="inlineStr">
        <is>
          <t>VALLENTUNA</t>
        </is>
      </c>
      <c r="G105" t="n">
        <v>4</v>
      </c>
      <c r="H105" t="n">
        <v>0</v>
      </c>
      <c r="I105" t="n">
        <v>0</v>
      </c>
      <c r="J105" t="n">
        <v>0</v>
      </c>
      <c r="K105" t="n">
        <v>0</v>
      </c>
      <c r="L105" t="n">
        <v>0</v>
      </c>
      <c r="M105" t="n">
        <v>0</v>
      </c>
      <c r="N105" t="n">
        <v>0</v>
      </c>
      <c r="O105" t="n">
        <v>0</v>
      </c>
      <c r="P105" t="n">
        <v>0</v>
      </c>
      <c r="Q105" t="n">
        <v>0</v>
      </c>
      <c r="R105" s="2" t="inlineStr"/>
    </row>
    <row r="106" ht="15" customHeight="1">
      <c r="A106" t="inlineStr">
        <is>
          <t>A 12585-2023</t>
        </is>
      </c>
      <c r="B106" s="1" t="n">
        <v>45000.41373842592</v>
      </c>
      <c r="C106" s="1" t="n">
        <v>46093</v>
      </c>
      <c r="D106" t="inlineStr">
        <is>
          <t>STOCKHOLMS LÄN</t>
        </is>
      </c>
      <c r="E106" t="inlineStr">
        <is>
          <t>VALLENTUNA</t>
        </is>
      </c>
      <c r="G106" t="n">
        <v>3.7</v>
      </c>
      <c r="H106" t="n">
        <v>0</v>
      </c>
      <c r="I106" t="n">
        <v>0</v>
      </c>
      <c r="J106" t="n">
        <v>0</v>
      </c>
      <c r="K106" t="n">
        <v>0</v>
      </c>
      <c r="L106" t="n">
        <v>0</v>
      </c>
      <c r="M106" t="n">
        <v>0</v>
      </c>
      <c r="N106" t="n">
        <v>0</v>
      </c>
      <c r="O106" t="n">
        <v>0</v>
      </c>
      <c r="P106" t="n">
        <v>0</v>
      </c>
      <c r="Q106" t="n">
        <v>0</v>
      </c>
      <c r="R106" s="2" t="inlineStr"/>
    </row>
    <row r="107" ht="15" customHeight="1">
      <c r="A107" t="inlineStr">
        <is>
          <t>A 8787-2024</t>
        </is>
      </c>
      <c r="B107" s="1" t="n">
        <v>45356</v>
      </c>
      <c r="C107" s="1" t="n">
        <v>46093</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21445-2023</t>
        </is>
      </c>
      <c r="B108" s="1" t="n">
        <v>45063</v>
      </c>
      <c r="C108" s="1" t="n">
        <v>46093</v>
      </c>
      <c r="D108" t="inlineStr">
        <is>
          <t>STOCKHOLMS LÄN</t>
        </is>
      </c>
      <c r="E108" t="inlineStr">
        <is>
          <t>VALLENTUNA</t>
        </is>
      </c>
      <c r="G108" t="n">
        <v>3.1</v>
      </c>
      <c r="H108" t="n">
        <v>0</v>
      </c>
      <c r="I108" t="n">
        <v>0</v>
      </c>
      <c r="J108" t="n">
        <v>0</v>
      </c>
      <c r="K108" t="n">
        <v>0</v>
      </c>
      <c r="L108" t="n">
        <v>0</v>
      </c>
      <c r="M108" t="n">
        <v>0</v>
      </c>
      <c r="N108" t="n">
        <v>0</v>
      </c>
      <c r="O108" t="n">
        <v>0</v>
      </c>
      <c r="P108" t="n">
        <v>0</v>
      </c>
      <c r="Q108" t="n">
        <v>0</v>
      </c>
      <c r="R108" s="2" t="inlineStr"/>
    </row>
    <row r="109" ht="15" customHeight="1">
      <c r="A109" t="inlineStr">
        <is>
          <t>A 22683-2023</t>
        </is>
      </c>
      <c r="B109" s="1" t="n">
        <v>45071</v>
      </c>
      <c r="C109" s="1" t="n">
        <v>46093</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24943-2024</t>
        </is>
      </c>
      <c r="B110" s="1" t="n">
        <v>45461.62585648148</v>
      </c>
      <c r="C110" s="1" t="n">
        <v>46093</v>
      </c>
      <c r="D110" t="inlineStr">
        <is>
          <t>STOCKHOLMS LÄN</t>
        </is>
      </c>
      <c r="E110" t="inlineStr">
        <is>
          <t>VALLENTUNA</t>
        </is>
      </c>
      <c r="G110" t="n">
        <v>2</v>
      </c>
      <c r="H110" t="n">
        <v>0</v>
      </c>
      <c r="I110" t="n">
        <v>0</v>
      </c>
      <c r="J110" t="n">
        <v>0</v>
      </c>
      <c r="K110" t="n">
        <v>0</v>
      </c>
      <c r="L110" t="n">
        <v>0</v>
      </c>
      <c r="M110" t="n">
        <v>0</v>
      </c>
      <c r="N110" t="n">
        <v>0</v>
      </c>
      <c r="O110" t="n">
        <v>0</v>
      </c>
      <c r="P110" t="n">
        <v>0</v>
      </c>
      <c r="Q110" t="n">
        <v>0</v>
      </c>
      <c r="R110" s="2" t="inlineStr"/>
    </row>
    <row r="111" ht="15" customHeight="1">
      <c r="A111" t="inlineStr">
        <is>
          <t>A 5910-2022</t>
        </is>
      </c>
      <c r="B111" s="1" t="n">
        <v>44597</v>
      </c>
      <c r="C111" s="1" t="n">
        <v>46093</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27870-2025</t>
        </is>
      </c>
      <c r="B112" s="1" t="n">
        <v>45817</v>
      </c>
      <c r="C112" s="1" t="n">
        <v>46093</v>
      </c>
      <c r="D112" t="inlineStr">
        <is>
          <t>STOCKHOLMS LÄN</t>
        </is>
      </c>
      <c r="E112" t="inlineStr">
        <is>
          <t>VALLENTUNA</t>
        </is>
      </c>
      <c r="G112" t="n">
        <v>2.3</v>
      </c>
      <c r="H112" t="n">
        <v>0</v>
      </c>
      <c r="I112" t="n">
        <v>0</v>
      </c>
      <c r="J112" t="n">
        <v>0</v>
      </c>
      <c r="K112" t="n">
        <v>0</v>
      </c>
      <c r="L112" t="n">
        <v>0</v>
      </c>
      <c r="M112" t="n">
        <v>0</v>
      </c>
      <c r="N112" t="n">
        <v>0</v>
      </c>
      <c r="O112" t="n">
        <v>0</v>
      </c>
      <c r="P112" t="n">
        <v>0</v>
      </c>
      <c r="Q112" t="n">
        <v>0</v>
      </c>
      <c r="R112" s="2" t="inlineStr"/>
    </row>
    <row r="113" ht="15" customHeight="1">
      <c r="A113" t="inlineStr">
        <is>
          <t>A 34441-2023</t>
        </is>
      </c>
      <c r="B113" s="1" t="n">
        <v>45139</v>
      </c>
      <c r="C113" s="1" t="n">
        <v>46093</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34445-2023</t>
        </is>
      </c>
      <c r="B114" s="1" t="n">
        <v>45139</v>
      </c>
      <c r="C114" s="1" t="n">
        <v>46093</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23986-2023</t>
        </is>
      </c>
      <c r="B115" s="1" t="n">
        <v>45078</v>
      </c>
      <c r="C115" s="1" t="n">
        <v>46093</v>
      </c>
      <c r="D115" t="inlineStr">
        <is>
          <t>STOCKHOLMS LÄN</t>
        </is>
      </c>
      <c r="E115" t="inlineStr">
        <is>
          <t>VALLENTUNA</t>
        </is>
      </c>
      <c r="F115" t="inlineStr">
        <is>
          <t>Kyrkan</t>
        </is>
      </c>
      <c r="G115" t="n">
        <v>5.7</v>
      </c>
      <c r="H115" t="n">
        <v>0</v>
      </c>
      <c r="I115" t="n">
        <v>0</v>
      </c>
      <c r="J115" t="n">
        <v>0</v>
      </c>
      <c r="K115" t="n">
        <v>0</v>
      </c>
      <c r="L115" t="n">
        <v>0</v>
      </c>
      <c r="M115" t="n">
        <v>0</v>
      </c>
      <c r="N115" t="n">
        <v>0</v>
      </c>
      <c r="O115" t="n">
        <v>0</v>
      </c>
      <c r="P115" t="n">
        <v>0</v>
      </c>
      <c r="Q115" t="n">
        <v>0</v>
      </c>
      <c r="R115" s="2" t="inlineStr"/>
    </row>
    <row r="116" ht="15" customHeight="1">
      <c r="A116" t="inlineStr">
        <is>
          <t>A 26390-2023</t>
        </is>
      </c>
      <c r="B116" s="1" t="n">
        <v>45086</v>
      </c>
      <c r="C116" s="1" t="n">
        <v>46093</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15300-2023</t>
        </is>
      </c>
      <c r="B117" s="1" t="n">
        <v>45019</v>
      </c>
      <c r="C117" s="1" t="n">
        <v>46093</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46093</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61646-2025</t>
        </is>
      </c>
      <c r="B119" s="1" t="n">
        <v>46002</v>
      </c>
      <c r="C119" s="1" t="n">
        <v>46093</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13836-2022</t>
        </is>
      </c>
      <c r="B120" s="1" t="n">
        <v>44649</v>
      </c>
      <c r="C120" s="1" t="n">
        <v>46093</v>
      </c>
      <c r="D120" t="inlineStr">
        <is>
          <t>STOCKHOLMS LÄN</t>
        </is>
      </c>
      <c r="E120" t="inlineStr">
        <is>
          <t>VALLENTUNA</t>
        </is>
      </c>
      <c r="G120" t="n">
        <v>3.5</v>
      </c>
      <c r="H120" t="n">
        <v>0</v>
      </c>
      <c r="I120" t="n">
        <v>0</v>
      </c>
      <c r="J120" t="n">
        <v>0</v>
      </c>
      <c r="K120" t="n">
        <v>0</v>
      </c>
      <c r="L120" t="n">
        <v>0</v>
      </c>
      <c r="M120" t="n">
        <v>0</v>
      </c>
      <c r="N120" t="n">
        <v>0</v>
      </c>
      <c r="O120" t="n">
        <v>0</v>
      </c>
      <c r="P120" t="n">
        <v>0</v>
      </c>
      <c r="Q120" t="n">
        <v>0</v>
      </c>
      <c r="R120" s="2" t="inlineStr"/>
    </row>
    <row r="121" ht="15" customHeight="1">
      <c r="A121" t="inlineStr">
        <is>
          <t>A 29704-2023</t>
        </is>
      </c>
      <c r="B121" s="1" t="n">
        <v>45107</v>
      </c>
      <c r="C121" s="1" t="n">
        <v>46093</v>
      </c>
      <c r="D121" t="inlineStr">
        <is>
          <t>STOCKHOLMS LÄN</t>
        </is>
      </c>
      <c r="E121" t="inlineStr">
        <is>
          <t>VALLENTUNA</t>
        </is>
      </c>
      <c r="G121" t="n">
        <v>3.7</v>
      </c>
      <c r="H121" t="n">
        <v>0</v>
      </c>
      <c r="I121" t="n">
        <v>0</v>
      </c>
      <c r="J121" t="n">
        <v>0</v>
      </c>
      <c r="K121" t="n">
        <v>0</v>
      </c>
      <c r="L121" t="n">
        <v>0</v>
      </c>
      <c r="M121" t="n">
        <v>0</v>
      </c>
      <c r="N121" t="n">
        <v>0</v>
      </c>
      <c r="O121" t="n">
        <v>0</v>
      </c>
      <c r="P121" t="n">
        <v>0</v>
      </c>
      <c r="Q121" t="n">
        <v>0</v>
      </c>
      <c r="R121" s="2" t="inlineStr"/>
    </row>
    <row r="122" ht="15" customHeight="1">
      <c r="A122" t="inlineStr">
        <is>
          <t>A 21765-2023</t>
        </is>
      </c>
      <c r="B122" s="1" t="n">
        <v>45064</v>
      </c>
      <c r="C122" s="1" t="n">
        <v>46093</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45496-2023</t>
        </is>
      </c>
      <c r="B123" s="1" t="n">
        <v>45194</v>
      </c>
      <c r="C123" s="1" t="n">
        <v>46093</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45499-2023</t>
        </is>
      </c>
      <c r="B124" s="1" t="n">
        <v>45194</v>
      </c>
      <c r="C124" s="1" t="n">
        <v>46093</v>
      </c>
      <c r="D124" t="inlineStr">
        <is>
          <t>STOCKHOLMS LÄN</t>
        </is>
      </c>
      <c r="E124" t="inlineStr">
        <is>
          <t>VALLENTUNA</t>
        </is>
      </c>
      <c r="G124" t="n">
        <v>2.5</v>
      </c>
      <c r="H124" t="n">
        <v>0</v>
      </c>
      <c r="I124" t="n">
        <v>0</v>
      </c>
      <c r="J124" t="n">
        <v>0</v>
      </c>
      <c r="K124" t="n">
        <v>0</v>
      </c>
      <c r="L124" t="n">
        <v>0</v>
      </c>
      <c r="M124" t="n">
        <v>0</v>
      </c>
      <c r="N124" t="n">
        <v>0</v>
      </c>
      <c r="O124" t="n">
        <v>0</v>
      </c>
      <c r="P124" t="n">
        <v>0</v>
      </c>
      <c r="Q124" t="n">
        <v>0</v>
      </c>
      <c r="R124" s="2" t="inlineStr"/>
    </row>
    <row r="125" ht="15" customHeight="1">
      <c r="A125" t="inlineStr">
        <is>
          <t>A 14782-2024</t>
        </is>
      </c>
      <c r="B125" s="1" t="n">
        <v>45397.74266203704</v>
      </c>
      <c r="C125" s="1" t="n">
        <v>46093</v>
      </c>
      <c r="D125" t="inlineStr">
        <is>
          <t>STOCKHOLMS LÄN</t>
        </is>
      </c>
      <c r="E125" t="inlineStr">
        <is>
          <t>VALLENTUNA</t>
        </is>
      </c>
      <c r="G125" t="n">
        <v>3.1</v>
      </c>
      <c r="H125" t="n">
        <v>0</v>
      </c>
      <c r="I125" t="n">
        <v>0</v>
      </c>
      <c r="J125" t="n">
        <v>0</v>
      </c>
      <c r="K125" t="n">
        <v>0</v>
      </c>
      <c r="L125" t="n">
        <v>0</v>
      </c>
      <c r="M125" t="n">
        <v>0</v>
      </c>
      <c r="N125" t="n">
        <v>0</v>
      </c>
      <c r="O125" t="n">
        <v>0</v>
      </c>
      <c r="P125" t="n">
        <v>0</v>
      </c>
      <c r="Q125" t="n">
        <v>0</v>
      </c>
      <c r="R125" s="2" t="inlineStr"/>
    </row>
    <row r="126" ht="15" customHeight="1">
      <c r="A126" t="inlineStr">
        <is>
          <t>A 1385-2024</t>
        </is>
      </c>
      <c r="B126" s="1" t="n">
        <v>45303</v>
      </c>
      <c r="C126" s="1" t="n">
        <v>46093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14775-2024</t>
        </is>
      </c>
      <c r="B127" s="1" t="n">
        <v>45397.73675925926</v>
      </c>
      <c r="C127" s="1" t="n">
        <v>46093</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6298-2026</t>
        </is>
      </c>
      <c r="B128" s="1" t="n">
        <v>46055.5656712963</v>
      </c>
      <c r="C128" s="1" t="n">
        <v>46093</v>
      </c>
      <c r="D128" t="inlineStr">
        <is>
          <t>STOCKHOLMS LÄN</t>
        </is>
      </c>
      <c r="E128" t="inlineStr">
        <is>
          <t>VALLENTUNA</t>
        </is>
      </c>
      <c r="G128" t="n">
        <v>3.3</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46093</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46093</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46093</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46093</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17340-2025</t>
        </is>
      </c>
      <c r="B133" s="1" t="n">
        <v>45756</v>
      </c>
      <c r="C133" s="1" t="n">
        <v>46093</v>
      </c>
      <c r="D133" t="inlineStr">
        <is>
          <t>STOCKHOLMS LÄN</t>
        </is>
      </c>
      <c r="E133" t="inlineStr">
        <is>
          <t>VALLENTUNA</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414-2026</t>
        </is>
      </c>
      <c r="B134" s="1" t="n">
        <v>46028.76050925926</v>
      </c>
      <c r="C134" s="1" t="n">
        <v>46093</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46093</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46093</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46093</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46093</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46093</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46093</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46093</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46093</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ht="15" customHeight="1">
      <c r="A143" t="inlineStr">
        <is>
          <t>A 12396-2026</t>
        </is>
      </c>
      <c r="B143" s="1" t="n">
        <v>46090.38930555555</v>
      </c>
      <c r="C143" s="1" t="n">
        <v>46093</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row r="144" ht="15" customHeight="1">
      <c r="A144" t="inlineStr">
        <is>
          <t>A 12400-2026</t>
        </is>
      </c>
      <c r="B144" s="1" t="n">
        <v>46090.39423611111</v>
      </c>
      <c r="C144" s="1" t="n">
        <v>46093</v>
      </c>
      <c r="D144" t="inlineStr">
        <is>
          <t>STOCKHOLMS LÄN</t>
        </is>
      </c>
      <c r="E144" t="inlineStr">
        <is>
          <t>VALLENTUNA</t>
        </is>
      </c>
      <c r="G144" t="n">
        <v>1.9</v>
      </c>
      <c r="H144" t="n">
        <v>0</v>
      </c>
      <c r="I144" t="n">
        <v>0</v>
      </c>
      <c r="J144" t="n">
        <v>0</v>
      </c>
      <c r="K144" t="n">
        <v>0</v>
      </c>
      <c r="L144" t="n">
        <v>0</v>
      </c>
      <c r="M144" t="n">
        <v>0</v>
      </c>
      <c r="N144" t="n">
        <v>0</v>
      </c>
      <c r="O144" t="n">
        <v>0</v>
      </c>
      <c r="P144" t="n">
        <v>0</v>
      </c>
      <c r="Q144" t="n">
        <v>0</v>
      </c>
      <c r="R144" s="2" t="inlineStr"/>
    </row>
    <row r="145" ht="15" customHeight="1">
      <c r="A145" t="inlineStr">
        <is>
          <t>A 25984-2025</t>
        </is>
      </c>
      <c r="B145" s="1" t="n">
        <v>45804.64016203704</v>
      </c>
      <c r="C145" s="1" t="n">
        <v>46093</v>
      </c>
      <c r="D145" t="inlineStr">
        <is>
          <t>STOCKHOLMS LÄN</t>
        </is>
      </c>
      <c r="E145" t="inlineStr">
        <is>
          <t>VALLENTUNA</t>
        </is>
      </c>
      <c r="G145" t="n">
        <v>2.5</v>
      </c>
      <c r="H145" t="n">
        <v>0</v>
      </c>
      <c r="I145" t="n">
        <v>0</v>
      </c>
      <c r="J145" t="n">
        <v>0</v>
      </c>
      <c r="K145" t="n">
        <v>0</v>
      </c>
      <c r="L145" t="n">
        <v>0</v>
      </c>
      <c r="M145" t="n">
        <v>0</v>
      </c>
      <c r="N145" t="n">
        <v>0</v>
      </c>
      <c r="O145" t="n">
        <v>0</v>
      </c>
      <c r="P145" t="n">
        <v>0</v>
      </c>
      <c r="Q145" t="n">
        <v>0</v>
      </c>
      <c r="R145" s="2" t="inlineStr"/>
    </row>
    <row r="146" ht="15" customHeight="1">
      <c r="A146" t="inlineStr">
        <is>
          <t>A 12819-2026</t>
        </is>
      </c>
      <c r="B146" s="1" t="n">
        <v>46092.40896990741</v>
      </c>
      <c r="C146" s="1" t="n">
        <v>46093</v>
      </c>
      <c r="D146" t="inlineStr">
        <is>
          <t>STOCKHOLMS LÄN</t>
        </is>
      </c>
      <c r="E146" t="inlineStr">
        <is>
          <t>VALLENTUNA</t>
        </is>
      </c>
      <c r="G146" t="n">
        <v>3.5</v>
      </c>
      <c r="H146" t="n">
        <v>0</v>
      </c>
      <c r="I146" t="n">
        <v>0</v>
      </c>
      <c r="J146" t="n">
        <v>0</v>
      </c>
      <c r="K146" t="n">
        <v>0</v>
      </c>
      <c r="L146" t="n">
        <v>0</v>
      </c>
      <c r="M146" t="n">
        <v>0</v>
      </c>
      <c r="N146" t="n">
        <v>0</v>
      </c>
      <c r="O146" t="n">
        <v>0</v>
      </c>
      <c r="P146" t="n">
        <v>0</v>
      </c>
      <c r="Q146" t="n">
        <v>0</v>
      </c>
      <c r="R146" s="2" t="inlineStr"/>
    </row>
    <row r="147" ht="15" customHeight="1">
      <c r="A147" t="inlineStr">
        <is>
          <t>A 12822-2026</t>
        </is>
      </c>
      <c r="B147" s="1" t="n">
        <v>46092.41358796296</v>
      </c>
      <c r="C147" s="1" t="n">
        <v>46093</v>
      </c>
      <c r="D147" t="inlineStr">
        <is>
          <t>STOCKHOLMS LÄN</t>
        </is>
      </c>
      <c r="E147" t="inlineStr">
        <is>
          <t>VALLENTUNA</t>
        </is>
      </c>
      <c r="G147" t="n">
        <v>2.7</v>
      </c>
      <c r="H147" t="n">
        <v>0</v>
      </c>
      <c r="I147" t="n">
        <v>0</v>
      </c>
      <c r="J147" t="n">
        <v>0</v>
      </c>
      <c r="K147" t="n">
        <v>0</v>
      </c>
      <c r="L147" t="n">
        <v>0</v>
      </c>
      <c r="M147" t="n">
        <v>0</v>
      </c>
      <c r="N147" t="n">
        <v>0</v>
      </c>
      <c r="O147" t="n">
        <v>0</v>
      </c>
      <c r="P147" t="n">
        <v>0</v>
      </c>
      <c r="Q147" t="n">
        <v>0</v>
      </c>
      <c r="R147" s="2" t="inlineStr"/>
    </row>
    <row r="148" ht="15" customHeight="1">
      <c r="A148" t="inlineStr">
        <is>
          <t>A 12828-2026</t>
        </is>
      </c>
      <c r="B148" s="1" t="n">
        <v>46092.41760416667</v>
      </c>
      <c r="C148" s="1" t="n">
        <v>46093</v>
      </c>
      <c r="D148" t="inlineStr">
        <is>
          <t>STOCKHOLMS LÄN</t>
        </is>
      </c>
      <c r="E148" t="inlineStr">
        <is>
          <t>VALLENTUNA</t>
        </is>
      </c>
      <c r="G148" t="n">
        <v>1</v>
      </c>
      <c r="H148" t="n">
        <v>0</v>
      </c>
      <c r="I148" t="n">
        <v>0</v>
      </c>
      <c r="J148" t="n">
        <v>0</v>
      </c>
      <c r="K148" t="n">
        <v>0</v>
      </c>
      <c r="L148" t="n">
        <v>0</v>
      </c>
      <c r="M148" t="n">
        <v>0</v>
      </c>
      <c r="N148" t="n">
        <v>0</v>
      </c>
      <c r="O148" t="n">
        <v>0</v>
      </c>
      <c r="P148" t="n">
        <v>0</v>
      </c>
      <c r="Q148" t="n">
        <v>0</v>
      </c>
      <c r="R148" s="2" t="inlineStr"/>
    </row>
    <row r="149" ht="15" customHeight="1">
      <c r="A149" t="inlineStr">
        <is>
          <t>A 12830-2026</t>
        </is>
      </c>
      <c r="B149" s="1" t="n">
        <v>46092.42290509259</v>
      </c>
      <c r="C149" s="1" t="n">
        <v>46093</v>
      </c>
      <c r="D149" t="inlineStr">
        <is>
          <t>STOCKHOLMS LÄN</t>
        </is>
      </c>
      <c r="E149" t="inlineStr">
        <is>
          <t>VALLENTUNA</t>
        </is>
      </c>
      <c r="G149" t="n">
        <v>1.6</v>
      </c>
      <c r="H149" t="n">
        <v>0</v>
      </c>
      <c r="I149" t="n">
        <v>0</v>
      </c>
      <c r="J149" t="n">
        <v>0</v>
      </c>
      <c r="K149" t="n">
        <v>0</v>
      </c>
      <c r="L149" t="n">
        <v>0</v>
      </c>
      <c r="M149" t="n">
        <v>0</v>
      </c>
      <c r="N149" t="n">
        <v>0</v>
      </c>
      <c r="O149" t="n">
        <v>0</v>
      </c>
      <c r="P149" t="n">
        <v>0</v>
      </c>
      <c r="Q149" t="n">
        <v>0</v>
      </c>
      <c r="R149" s="2" t="inlineStr"/>
    </row>
    <row r="150">
      <c r="A150" t="inlineStr">
        <is>
          <t>A 30902-2025</t>
        </is>
      </c>
      <c r="B150" s="1" t="n">
        <v>45832.36104166666</v>
      </c>
      <c r="C150" s="1" t="n">
        <v>46093</v>
      </c>
      <c r="D150" t="inlineStr">
        <is>
          <t>STOCKHOLMS LÄN</t>
        </is>
      </c>
      <c r="E150" t="inlineStr">
        <is>
          <t>VALLENTUNA</t>
        </is>
      </c>
      <c r="G150" t="n">
        <v>8.199999999999999</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2026-03-12T11:16:34Z</dcterms:created>
  <dcterms:modified xmlns:dcterms="http://purl.org/dc/terms/" xmlns:xsi="http://www.w3.org/2001/XMLSchema-instance" xsi:type="dcterms:W3CDTF">2026-03-12T11:16:34Z</dcterms:modified>
</cp:coreProperties>
</file>