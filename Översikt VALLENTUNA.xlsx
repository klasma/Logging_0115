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46181</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46181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46181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46181</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42613-2025</t>
        </is>
      </c>
      <c r="B11" s="1" t="n">
        <v>45905.70616898148</v>
      </c>
      <c r="C11" s="1" t="n">
        <v>46181</v>
      </c>
      <c r="D11" t="inlineStr">
        <is>
          <t>STOCKHOLMS LÄN</t>
        </is>
      </c>
      <c r="E11" t="inlineStr">
        <is>
          <t>VALLENTUNA</t>
        </is>
      </c>
      <c r="G11" t="n">
        <v>2.9</v>
      </c>
      <c r="H11" t="n">
        <v>2</v>
      </c>
      <c r="I11" t="n">
        <v>3</v>
      </c>
      <c r="J11" t="n">
        <v>1</v>
      </c>
      <c r="K11" t="n">
        <v>0</v>
      </c>
      <c r="L11" t="n">
        <v>0</v>
      </c>
      <c r="M11" t="n">
        <v>0</v>
      </c>
      <c r="N11" t="n">
        <v>0</v>
      </c>
      <c r="O11" t="n">
        <v>1</v>
      </c>
      <c r="P11" t="n">
        <v>0</v>
      </c>
      <c r="Q11" t="n">
        <v>5</v>
      </c>
      <c r="R11" s="2" t="inlineStr">
        <is>
          <t>Spillkråka
Fjällig taggsvamp s.str.
Kattfotslav
Mindre märgborre
Kungsfågel</t>
        </is>
      </c>
      <c r="S11">
        <f>HYPERLINK("https://klasma.github.io/Logging_0115/artfynd/A 42613-2025 artfynd.xlsx", "A 42613-2025")</f>
        <v/>
      </c>
      <c r="T11">
        <f>HYPERLINK("https://klasma.github.io/Logging_0115/kartor/A 42613-2025 karta.png", "A 42613-2025")</f>
        <v/>
      </c>
      <c r="V11">
        <f>HYPERLINK("https://klasma.github.io/Logging_0115/klagomål/A 42613-2025 FSC-klagomål.docx", "A 42613-2025")</f>
        <v/>
      </c>
      <c r="W11">
        <f>HYPERLINK("https://klasma.github.io/Logging_0115/klagomålsmail/A 42613-2025 FSC-klagomål mail.docx", "A 42613-2025")</f>
        <v/>
      </c>
      <c r="X11">
        <f>HYPERLINK("https://klasma.github.io/Logging_0115/tillsyn/A 42613-2025 tillsynsbegäran.docx", "A 42613-2025")</f>
        <v/>
      </c>
      <c r="Y11">
        <f>HYPERLINK("https://klasma.github.io/Logging_0115/tillsynsmail/A 42613-2025 tillsynsbegäran mail.docx", "A 42613-2025")</f>
        <v/>
      </c>
      <c r="Z11">
        <f>HYPERLINK("https://klasma.github.io/Logging_0115/fåglar/A 42613-2025 prioriterade fågelarter.docx", "A 42613-2025")</f>
        <v/>
      </c>
    </row>
    <row r="12" ht="15" customHeight="1">
      <c r="A12" t="inlineStr">
        <is>
          <t>A 8500-2022</t>
        </is>
      </c>
      <c r="B12" s="1" t="n">
        <v>44613</v>
      </c>
      <c r="C12" s="1" t="n">
        <v>46181</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61763-2025</t>
        </is>
      </c>
      <c r="B13" s="1" t="n">
        <v>46002.62600694445</v>
      </c>
      <c r="C13" s="1" t="n">
        <v>46181</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48717-2024</t>
        </is>
      </c>
      <c r="B14" s="1" t="n">
        <v>45593</v>
      </c>
      <c r="C14" s="1" t="n">
        <v>46181</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9807-2026</t>
        </is>
      </c>
      <c r="B15" s="1" t="n">
        <v>46072</v>
      </c>
      <c r="C15" s="1" t="n">
        <v>46181</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46181</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46181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46181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46181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46181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46181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754-2024</t>
        </is>
      </c>
      <c r="B22" s="1" t="n">
        <v>45300</v>
      </c>
      <c r="C22" s="1" t="n">
        <v>46181</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41021-2023</t>
        </is>
      </c>
      <c r="B23" s="1" t="n">
        <v>45173</v>
      </c>
      <c r="C23" s="1" t="n">
        <v>46181</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46181</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46181</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8817-2025</t>
        </is>
      </c>
      <c r="B26" s="1" t="n">
        <v>45712.70987268518</v>
      </c>
      <c r="C26" s="1" t="n">
        <v>46181</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17348-2025</t>
        </is>
      </c>
      <c r="B27" s="1" t="n">
        <v>45756</v>
      </c>
      <c r="C27" s="1" t="n">
        <v>46181</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14508-2024</t>
        </is>
      </c>
      <c r="B28" s="1" t="n">
        <v>45394.61583333334</v>
      </c>
      <c r="C28" s="1" t="n">
        <v>46181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22830-2024</t>
        </is>
      </c>
      <c r="B29" s="1" t="n">
        <v>45448.56583333333</v>
      </c>
      <c r="C29" s="1" t="n">
        <v>46181</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7890-2023</t>
        </is>
      </c>
      <c r="B30" s="1" t="n">
        <v>44973</v>
      </c>
      <c r="C30" s="1" t="n">
        <v>46181</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54481-2025</t>
        </is>
      </c>
      <c r="B31" s="1" t="n">
        <v>45965.58837962963</v>
      </c>
      <c r="C31" s="1" t="n">
        <v>46181</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12396-2026</t>
        </is>
      </c>
      <c r="B32" s="1" t="n">
        <v>46090.38930555555</v>
      </c>
      <c r="C32" s="1" t="n">
        <v>46181</v>
      </c>
      <c r="D32" t="inlineStr">
        <is>
          <t>STOCKHOLMS LÄN</t>
        </is>
      </c>
      <c r="E32" t="inlineStr">
        <is>
          <t>VALLENTUNA</t>
        </is>
      </c>
      <c r="G32" t="n">
        <v>3</v>
      </c>
      <c r="H32" t="n">
        <v>1</v>
      </c>
      <c r="I32" t="n">
        <v>0</v>
      </c>
      <c r="J32" t="n">
        <v>1</v>
      </c>
      <c r="K32" t="n">
        <v>0</v>
      </c>
      <c r="L32" t="n">
        <v>0</v>
      </c>
      <c r="M32" t="n">
        <v>0</v>
      </c>
      <c r="N32" t="n">
        <v>0</v>
      </c>
      <c r="O32" t="n">
        <v>1</v>
      </c>
      <c r="P32" t="n">
        <v>0</v>
      </c>
      <c r="Q32" t="n">
        <v>1</v>
      </c>
      <c r="R32" s="2" t="inlineStr">
        <is>
          <t>Spillkråka</t>
        </is>
      </c>
      <c r="S32">
        <f>HYPERLINK("https://klasma.github.io/Logging_0115/artfynd/A 12396-2026 artfynd.xlsx", "A 12396-2026")</f>
        <v/>
      </c>
      <c r="T32">
        <f>HYPERLINK("https://klasma.github.io/Logging_0115/kartor/A 12396-2026 karta.png", "A 12396-2026")</f>
        <v/>
      </c>
      <c r="V32">
        <f>HYPERLINK("https://klasma.github.io/Logging_0115/klagomål/A 12396-2026 FSC-klagomål.docx", "A 12396-2026")</f>
        <v/>
      </c>
      <c r="W32">
        <f>HYPERLINK("https://klasma.github.io/Logging_0115/klagomålsmail/A 12396-2026 FSC-klagomål mail.docx", "A 12396-2026")</f>
        <v/>
      </c>
      <c r="X32">
        <f>HYPERLINK("https://klasma.github.io/Logging_0115/tillsyn/A 12396-2026 tillsynsbegäran.docx", "A 12396-2026")</f>
        <v/>
      </c>
      <c r="Y32">
        <f>HYPERLINK("https://klasma.github.io/Logging_0115/tillsynsmail/A 12396-2026 tillsynsbegäran mail.docx", "A 12396-2026")</f>
        <v/>
      </c>
      <c r="Z32">
        <f>HYPERLINK("https://klasma.github.io/Logging_0115/fåglar/A 12396-2026 prioriterade fågelarter.docx", "A 12396-2026")</f>
        <v/>
      </c>
    </row>
    <row r="33" ht="15" customHeight="1">
      <c r="A33" t="inlineStr">
        <is>
          <t>A 12401-2026</t>
        </is>
      </c>
      <c r="B33" s="1" t="n">
        <v>46090</v>
      </c>
      <c r="C33" s="1" t="n">
        <v>46181</v>
      </c>
      <c r="D33" t="inlineStr">
        <is>
          <t>STOCKHOLMS LÄN</t>
        </is>
      </c>
      <c r="E33" t="inlineStr">
        <is>
          <t>VALLENTUNA</t>
        </is>
      </c>
      <c r="G33" t="n">
        <v>5.9</v>
      </c>
      <c r="H33" t="n">
        <v>1</v>
      </c>
      <c r="I33" t="n">
        <v>0</v>
      </c>
      <c r="J33" t="n">
        <v>1</v>
      </c>
      <c r="K33" t="n">
        <v>0</v>
      </c>
      <c r="L33" t="n">
        <v>0</v>
      </c>
      <c r="M33" t="n">
        <v>0</v>
      </c>
      <c r="N33" t="n">
        <v>0</v>
      </c>
      <c r="O33" t="n">
        <v>1</v>
      </c>
      <c r="P33" t="n">
        <v>0</v>
      </c>
      <c r="Q33" t="n">
        <v>1</v>
      </c>
      <c r="R33" s="2" t="inlineStr">
        <is>
          <t>Spillkråka</t>
        </is>
      </c>
      <c r="S33">
        <f>HYPERLINK("https://klasma.github.io/Logging_0115/artfynd/A 12401-2026 artfynd.xlsx", "A 12401-2026")</f>
        <v/>
      </c>
      <c r="T33">
        <f>HYPERLINK("https://klasma.github.io/Logging_0115/kartor/A 12401-2026 karta.png", "A 12401-2026")</f>
        <v/>
      </c>
      <c r="V33">
        <f>HYPERLINK("https://klasma.github.io/Logging_0115/klagomål/A 12401-2026 FSC-klagomål.docx", "A 12401-2026")</f>
        <v/>
      </c>
      <c r="W33">
        <f>HYPERLINK("https://klasma.github.io/Logging_0115/klagomålsmail/A 12401-2026 FSC-klagomål mail.docx", "A 12401-2026")</f>
        <v/>
      </c>
      <c r="X33">
        <f>HYPERLINK("https://klasma.github.io/Logging_0115/tillsyn/A 12401-2026 tillsynsbegäran.docx", "A 12401-2026")</f>
        <v/>
      </c>
      <c r="Y33">
        <f>HYPERLINK("https://klasma.github.io/Logging_0115/tillsynsmail/A 12401-2026 tillsynsbegäran mail.docx", "A 12401-2026")</f>
        <v/>
      </c>
      <c r="Z33">
        <f>HYPERLINK("https://klasma.github.io/Logging_0115/fåglar/A 12401-2026 prioriterade fågelarter.docx", "A 12401-2026")</f>
        <v/>
      </c>
    </row>
    <row r="34" ht="15" customHeight="1">
      <c r="A34" t="inlineStr">
        <is>
          <t>A 63543-2025</t>
        </is>
      </c>
      <c r="B34" s="1" t="n">
        <v>46013.59207175926</v>
      </c>
      <c r="C34" s="1" t="n">
        <v>46181</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63539-2025</t>
        </is>
      </c>
      <c r="B35" s="1" t="n">
        <v>46013.58824074074</v>
      </c>
      <c r="C35" s="1" t="n">
        <v>46181</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21-2022</t>
        </is>
      </c>
      <c r="B36" s="1" t="n">
        <v>44560</v>
      </c>
      <c r="C36" s="1" t="n">
        <v>46181</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46181</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46181</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46181</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46181</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8089-2022</t>
        </is>
      </c>
      <c r="B41" s="1" t="n">
        <v>44609.53716435185</v>
      </c>
      <c r="C41" s="1" t="n">
        <v>46181</v>
      </c>
      <c r="D41" t="inlineStr">
        <is>
          <t>STOCKHOLMS LÄN</t>
        </is>
      </c>
      <c r="E41" t="inlineStr">
        <is>
          <t>VALLENTUNA</t>
        </is>
      </c>
      <c r="G41" t="n">
        <v>3.3</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46181</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46181</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46181</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46181</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46181</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46181</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46181</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46181</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46181</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42624-2021</t>
        </is>
      </c>
      <c r="B51" s="1" t="n">
        <v>44428</v>
      </c>
      <c r="C51" s="1" t="n">
        <v>46181</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46181</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46181</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52989-2023</t>
        </is>
      </c>
      <c r="B54" s="1" t="n">
        <v>45226</v>
      </c>
      <c r="C54" s="1" t="n">
        <v>46181</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3078-2023</t>
        </is>
      </c>
      <c r="B55" s="1" t="n">
        <v>44946.41527777778</v>
      </c>
      <c r="C55" s="1" t="n">
        <v>46181</v>
      </c>
      <c r="D55" t="inlineStr">
        <is>
          <t>STOCKHOLMS LÄN</t>
        </is>
      </c>
      <c r="E55" t="inlineStr">
        <is>
          <t>VALLENTUNA</t>
        </is>
      </c>
      <c r="G55" t="n">
        <v>3.9</v>
      </c>
      <c r="H55" t="n">
        <v>0</v>
      </c>
      <c r="I55" t="n">
        <v>0</v>
      </c>
      <c r="J55" t="n">
        <v>0</v>
      </c>
      <c r="K55" t="n">
        <v>0</v>
      </c>
      <c r="L55" t="n">
        <v>0</v>
      </c>
      <c r="M55" t="n">
        <v>0</v>
      </c>
      <c r="N55" t="n">
        <v>0</v>
      </c>
      <c r="O55" t="n">
        <v>0</v>
      </c>
      <c r="P55" t="n">
        <v>0</v>
      </c>
      <c r="Q55" t="n">
        <v>0</v>
      </c>
      <c r="R55" s="2" t="inlineStr"/>
    </row>
    <row r="56" ht="15" customHeight="1">
      <c r="A56" t="inlineStr">
        <is>
          <t>A 60795-2023</t>
        </is>
      </c>
      <c r="B56" s="1" t="n">
        <v>45260</v>
      </c>
      <c r="C56" s="1" t="n">
        <v>46181</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14480-2024</t>
        </is>
      </c>
      <c r="B57" s="1" t="n">
        <v>45394.56777777777</v>
      </c>
      <c r="C57" s="1" t="n">
        <v>46181</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46181</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23923-2025</t>
        </is>
      </c>
      <c r="B59" s="1" t="n">
        <v>45795.39648148148</v>
      </c>
      <c r="C59" s="1" t="n">
        <v>46181</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414-2026</t>
        </is>
      </c>
      <c r="B60" s="1" t="n">
        <v>46028.76050925926</v>
      </c>
      <c r="C60" s="1" t="n">
        <v>46181</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46181</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46181</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46181</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46181</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46181</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46181</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30902-2025</t>
        </is>
      </c>
      <c r="B67" s="1" t="n">
        <v>45832.36104166666</v>
      </c>
      <c r="C67" s="1" t="n">
        <v>46181</v>
      </c>
      <c r="D67" t="inlineStr">
        <is>
          <t>STOCKHOLMS LÄN</t>
        </is>
      </c>
      <c r="E67" t="inlineStr">
        <is>
          <t>VALLENTUNA</t>
        </is>
      </c>
      <c r="G67" t="n">
        <v>8.199999999999999</v>
      </c>
      <c r="H67" t="n">
        <v>0</v>
      </c>
      <c r="I67" t="n">
        <v>0</v>
      </c>
      <c r="J67" t="n">
        <v>0</v>
      </c>
      <c r="K67" t="n">
        <v>0</v>
      </c>
      <c r="L67" t="n">
        <v>0</v>
      </c>
      <c r="M67" t="n">
        <v>0</v>
      </c>
      <c r="N67" t="n">
        <v>0</v>
      </c>
      <c r="O67" t="n">
        <v>0</v>
      </c>
      <c r="P67" t="n">
        <v>0</v>
      </c>
      <c r="Q67" t="n">
        <v>0</v>
      </c>
      <c r="R67" s="2" t="inlineStr"/>
    </row>
    <row r="68" ht="15" customHeight="1">
      <c r="A68" t="inlineStr">
        <is>
          <t>A 19356-2025</t>
        </is>
      </c>
      <c r="B68" s="1" t="n">
        <v>45769.62061342593</v>
      </c>
      <c r="C68" s="1" t="n">
        <v>46181</v>
      </c>
      <c r="D68" t="inlineStr">
        <is>
          <t>STOCKHOLMS LÄN</t>
        </is>
      </c>
      <c r="E68" t="inlineStr">
        <is>
          <t>VALLENTUNA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46181</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48014-2025</t>
        </is>
      </c>
      <c r="B70" s="1" t="n">
        <v>45932.64520833334</v>
      </c>
      <c r="C70" s="1" t="n">
        <v>46181</v>
      </c>
      <c r="D70" t="inlineStr">
        <is>
          <t>STOCKHOLMS LÄN</t>
        </is>
      </c>
      <c r="E70" t="inlineStr">
        <is>
          <t>VALLENTUNA</t>
        </is>
      </c>
      <c r="G70" t="n">
        <v>0.6</v>
      </c>
      <c r="H70" t="n">
        <v>0</v>
      </c>
      <c r="I70" t="n">
        <v>0</v>
      </c>
      <c r="J70" t="n">
        <v>0</v>
      </c>
      <c r="K70" t="n">
        <v>0</v>
      </c>
      <c r="L70" t="n">
        <v>0</v>
      </c>
      <c r="M70" t="n">
        <v>0</v>
      </c>
      <c r="N70" t="n">
        <v>0</v>
      </c>
      <c r="O70" t="n">
        <v>0</v>
      </c>
      <c r="P70" t="n">
        <v>0</v>
      </c>
      <c r="Q70" t="n">
        <v>0</v>
      </c>
      <c r="R70" s="2" t="inlineStr"/>
    </row>
    <row r="71" ht="15" customHeight="1">
      <c r="A71" t="inlineStr">
        <is>
          <t>A 48038-2025</t>
        </is>
      </c>
      <c r="B71" s="1" t="n">
        <v>45932.66008101852</v>
      </c>
      <c r="C71" s="1" t="n">
        <v>46181</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24068-2024</t>
        </is>
      </c>
      <c r="B72" s="1" t="n">
        <v>45456</v>
      </c>
      <c r="C72" s="1" t="n">
        <v>46181</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46181</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6298-2026</t>
        </is>
      </c>
      <c r="B74" s="1" t="n">
        <v>46055.5656712963</v>
      </c>
      <c r="C74" s="1" t="n">
        <v>46181</v>
      </c>
      <c r="D74" t="inlineStr">
        <is>
          <t>STOCKHOLMS LÄN</t>
        </is>
      </c>
      <c r="E74" t="inlineStr">
        <is>
          <t>VALLENTUNA</t>
        </is>
      </c>
      <c r="G74" t="n">
        <v>3.3</v>
      </c>
      <c r="H74" t="n">
        <v>0</v>
      </c>
      <c r="I74" t="n">
        <v>0</v>
      </c>
      <c r="J74" t="n">
        <v>0</v>
      </c>
      <c r="K74" t="n">
        <v>0</v>
      </c>
      <c r="L74" t="n">
        <v>0</v>
      </c>
      <c r="M74" t="n">
        <v>0</v>
      </c>
      <c r="N74" t="n">
        <v>0</v>
      </c>
      <c r="O74" t="n">
        <v>0</v>
      </c>
      <c r="P74" t="n">
        <v>0</v>
      </c>
      <c r="Q74" t="n">
        <v>0</v>
      </c>
      <c r="R74" s="2" t="inlineStr"/>
    </row>
    <row r="75" ht="15" customHeight="1">
      <c r="A75" t="inlineStr">
        <is>
          <t>A 61442-2024</t>
        </is>
      </c>
      <c r="B75" s="1" t="n">
        <v>45646.47003472222</v>
      </c>
      <c r="C75" s="1" t="n">
        <v>46181</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50784-2025</t>
        </is>
      </c>
      <c r="B76" s="1" t="n">
        <v>45946</v>
      </c>
      <c r="C76" s="1" t="n">
        <v>46181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44346-2021</t>
        </is>
      </c>
      <c r="B77" s="1" t="n">
        <v>44434</v>
      </c>
      <c r="C77" s="1" t="n">
        <v>46181</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46181</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46181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54460-2025</t>
        </is>
      </c>
      <c r="B80" s="1" t="n">
        <v>45965.56219907408</v>
      </c>
      <c r="C80" s="1" t="n">
        <v>46181</v>
      </c>
      <c r="D80" t="inlineStr">
        <is>
          <t>STOCKHOLMS LÄN</t>
        </is>
      </c>
      <c r="E80" t="inlineStr">
        <is>
          <t>VALLENTUNA</t>
        </is>
      </c>
      <c r="G80" t="n">
        <v>22.9</v>
      </c>
      <c r="H80" t="n">
        <v>0</v>
      </c>
      <c r="I80" t="n">
        <v>0</v>
      </c>
      <c r="J80" t="n">
        <v>0</v>
      </c>
      <c r="K80" t="n">
        <v>0</v>
      </c>
      <c r="L80" t="n">
        <v>0</v>
      </c>
      <c r="M80" t="n">
        <v>0</v>
      </c>
      <c r="N80" t="n">
        <v>0</v>
      </c>
      <c r="O80" t="n">
        <v>0</v>
      </c>
      <c r="P80" t="n">
        <v>0</v>
      </c>
      <c r="Q80" t="n">
        <v>0</v>
      </c>
      <c r="R80" s="2" t="inlineStr"/>
    </row>
    <row r="81" ht="15" customHeight="1">
      <c r="A81" t="inlineStr">
        <is>
          <t>A 19503-2023</t>
        </is>
      </c>
      <c r="B81" s="1" t="n">
        <v>45050.47333333334</v>
      </c>
      <c r="C81" s="1" t="n">
        <v>46181</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12400-2026</t>
        </is>
      </c>
      <c r="B82" s="1" t="n">
        <v>46090.39423611111</v>
      </c>
      <c r="C82" s="1" t="n">
        <v>46181</v>
      </c>
      <c r="D82" t="inlineStr">
        <is>
          <t>STOCKHOLMS LÄN</t>
        </is>
      </c>
      <c r="E82" t="inlineStr">
        <is>
          <t>VALLENTUNA</t>
        </is>
      </c>
      <c r="G82" t="n">
        <v>1.9</v>
      </c>
      <c r="H82" t="n">
        <v>0</v>
      </c>
      <c r="I82" t="n">
        <v>0</v>
      </c>
      <c r="J82" t="n">
        <v>0</v>
      </c>
      <c r="K82" t="n">
        <v>0</v>
      </c>
      <c r="L82" t="n">
        <v>0</v>
      </c>
      <c r="M82" t="n">
        <v>0</v>
      </c>
      <c r="N82" t="n">
        <v>0</v>
      </c>
      <c r="O82" t="n">
        <v>0</v>
      </c>
      <c r="P82" t="n">
        <v>0</v>
      </c>
      <c r="Q82" t="n">
        <v>0</v>
      </c>
      <c r="R82" s="2" t="inlineStr"/>
    </row>
    <row r="83" ht="15" customHeight="1">
      <c r="A83" t="inlineStr">
        <is>
          <t>A 12819-2026</t>
        </is>
      </c>
      <c r="B83" s="1" t="n">
        <v>46092.40896990741</v>
      </c>
      <c r="C83" s="1" t="n">
        <v>46181</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12830-2026</t>
        </is>
      </c>
      <c r="B84" s="1" t="n">
        <v>46092.42290509259</v>
      </c>
      <c r="C84" s="1" t="n">
        <v>46181</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12822-2026</t>
        </is>
      </c>
      <c r="B85" s="1" t="n">
        <v>46092.41358796296</v>
      </c>
      <c r="C85" s="1" t="n">
        <v>46181</v>
      </c>
      <c r="D85" t="inlineStr">
        <is>
          <t>STOCKHOLMS LÄN</t>
        </is>
      </c>
      <c r="E85" t="inlineStr">
        <is>
          <t>VALLENTUNA</t>
        </is>
      </c>
      <c r="G85" t="n">
        <v>2.7</v>
      </c>
      <c r="H85" t="n">
        <v>0</v>
      </c>
      <c r="I85" t="n">
        <v>0</v>
      </c>
      <c r="J85" t="n">
        <v>0</v>
      </c>
      <c r="K85" t="n">
        <v>0</v>
      </c>
      <c r="L85" t="n">
        <v>0</v>
      </c>
      <c r="M85" t="n">
        <v>0</v>
      </c>
      <c r="N85" t="n">
        <v>0</v>
      </c>
      <c r="O85" t="n">
        <v>0</v>
      </c>
      <c r="P85" t="n">
        <v>0</v>
      </c>
      <c r="Q85" t="n">
        <v>0</v>
      </c>
      <c r="R85" s="2" t="inlineStr"/>
    </row>
    <row r="86" ht="15" customHeight="1">
      <c r="A86" t="inlineStr">
        <is>
          <t>A 12828-2026</t>
        </is>
      </c>
      <c r="B86" s="1" t="n">
        <v>46092.41760416667</v>
      </c>
      <c r="C86" s="1" t="n">
        <v>46181</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46181</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46181</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46181</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46181</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27870-2025</t>
        </is>
      </c>
      <c r="B91" s="1" t="n">
        <v>45817</v>
      </c>
      <c r="C91" s="1" t="n">
        <v>46181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20910-2026</t>
        </is>
      </c>
      <c r="B92" s="1" t="n">
        <v>46142.46608796297</v>
      </c>
      <c r="C92" s="1" t="n">
        <v>46181</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46181</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26390-2023</t>
        </is>
      </c>
      <c r="B94" s="1" t="n">
        <v>45086</v>
      </c>
      <c r="C94" s="1" t="n">
        <v>46181</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14799-2026</t>
        </is>
      </c>
      <c r="B95" s="1" t="n">
        <v>46102.82101851852</v>
      </c>
      <c r="C95" s="1" t="n">
        <v>46181</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46181</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46181</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46181</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46181</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46181</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46181</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46181</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46181</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46181</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46181</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23013-2024</t>
        </is>
      </c>
      <c r="B106" s="1" t="n">
        <v>45450.35116898148</v>
      </c>
      <c r="C106" s="1" t="n">
        <v>46181</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2318-2024</t>
        </is>
      </c>
      <c r="B107" s="1" t="n">
        <v>45310</v>
      </c>
      <c r="C107" s="1" t="n">
        <v>46181</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17389-2026</t>
        </is>
      </c>
      <c r="B108" s="1" t="n">
        <v>46119.80603009259</v>
      </c>
      <c r="C108" s="1" t="n">
        <v>46181</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46181</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17387-2026</t>
        </is>
      </c>
      <c r="B110" s="1" t="n">
        <v>46119.79578703704</v>
      </c>
      <c r="C110" s="1" t="n">
        <v>46181</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46181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46181</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46181</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46181</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46181</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46181</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46181</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46181</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46181</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46181</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46181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46181</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46181</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46181</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46181</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46181</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46181</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46181</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46181</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46181</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4804-2024</t>
        </is>
      </c>
      <c r="B131" s="1" t="n">
        <v>45328</v>
      </c>
      <c r="C131" s="1" t="n">
        <v>46181</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24740-2026</t>
        </is>
      </c>
      <c r="B132" s="1" t="n">
        <v>46171</v>
      </c>
      <c r="C132" s="1" t="n">
        <v>46181</v>
      </c>
      <c r="D132" t="inlineStr">
        <is>
          <t>STOCKHOLMS LÄN</t>
        </is>
      </c>
      <c r="E132" t="inlineStr">
        <is>
          <t>VALLENTUNA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46181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46181</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25740-2026</t>
        </is>
      </c>
      <c r="B135" s="1" t="n">
        <v>46178.42768518518</v>
      </c>
      <c r="C135" s="1" t="n">
        <v>46181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17340-2025</t>
        </is>
      </c>
      <c r="B136" s="1" t="n">
        <v>45756</v>
      </c>
      <c r="C136" s="1" t="n">
        <v>46181</v>
      </c>
      <c r="D136" t="inlineStr">
        <is>
          <t>STOCKHOLMS LÄN</t>
        </is>
      </c>
      <c r="E136" t="inlineStr">
        <is>
          <t>VALLENTUNA</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46181</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46181</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46181</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46181</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46181</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61027-2023</t>
        </is>
      </c>
      <c r="B142" s="1" t="n">
        <v>45261</v>
      </c>
      <c r="C142" s="1" t="n">
        <v>46181</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row r="143" ht="15" customHeight="1">
      <c r="A143" t="inlineStr">
        <is>
          <t>A 23009-2024</t>
        </is>
      </c>
      <c r="B143" s="1" t="n">
        <v>45450.34506944445</v>
      </c>
      <c r="C143" s="1" t="n">
        <v>46181</v>
      </c>
      <c r="D143" t="inlineStr">
        <is>
          <t>STOCKHOLMS LÄN</t>
        </is>
      </c>
      <c r="E143" t="inlineStr">
        <is>
          <t>VALLENTUNA</t>
        </is>
      </c>
      <c r="G143" t="n">
        <v>1.4</v>
      </c>
      <c r="H143" t="n">
        <v>0</v>
      </c>
      <c r="I143" t="n">
        <v>0</v>
      </c>
      <c r="J143" t="n">
        <v>0</v>
      </c>
      <c r="K143" t="n">
        <v>0</v>
      </c>
      <c r="L143" t="n">
        <v>0</v>
      </c>
      <c r="M143" t="n">
        <v>0</v>
      </c>
      <c r="N143" t="n">
        <v>0</v>
      </c>
      <c r="O143" t="n">
        <v>0</v>
      </c>
      <c r="P143" t="n">
        <v>0</v>
      </c>
      <c r="Q143" t="n">
        <v>0</v>
      </c>
      <c r="R143" s="2" t="inlineStr"/>
    </row>
    <row r="144" ht="15" customHeight="1">
      <c r="A144" t="inlineStr">
        <is>
          <t>A 25752-2026</t>
        </is>
      </c>
      <c r="B144" s="1" t="n">
        <v>46178.43386574074</v>
      </c>
      <c r="C144" s="1" t="n">
        <v>46181</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row r="145">
      <c r="A145" t="inlineStr">
        <is>
          <t>A 20914-2026</t>
        </is>
      </c>
      <c r="B145" s="1" t="n">
        <v>46142</v>
      </c>
      <c r="C145" s="1" t="n">
        <v>46181</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2026-06-08T10:38:37Z</dcterms:created>
  <dcterms:modified xmlns:dcterms="http://purl.org/dc/terms/" xmlns:xsi="http://www.w3.org/2001/XMLSchema-instance" xsi:type="dcterms:W3CDTF">2026-06-08T10:38:37Z</dcterms:modified>
</cp:coreProperties>
</file>