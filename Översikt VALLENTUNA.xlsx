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46041</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46041</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46041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46041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46041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46041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46041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46041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46041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46041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46041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46041</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46041</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17342-2025</t>
        </is>
      </c>
      <c r="B15" s="1" t="n">
        <v>45756</v>
      </c>
      <c r="C15" s="1" t="n">
        <v>46041</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46041</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46041</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60-2022</t>
        </is>
      </c>
      <c r="B18" s="1" t="n">
        <v>44560</v>
      </c>
      <c r="C18" s="1" t="n">
        <v>46041</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46041</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46041</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46041</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46041</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41021-2023</t>
        </is>
      </c>
      <c r="B23" s="1" t="n">
        <v>45173</v>
      </c>
      <c r="C23" s="1" t="n">
        <v>46041</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9745-2022</t>
        </is>
      </c>
      <c r="B24" s="1" t="n">
        <v>44618</v>
      </c>
      <c r="C24" s="1" t="n">
        <v>46041</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62402-2022</t>
        </is>
      </c>
      <c r="B25" s="1" t="n">
        <v>44923</v>
      </c>
      <c r="C25" s="1" t="n">
        <v>46041</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754-2024</t>
        </is>
      </c>
      <c r="B26" s="1" t="n">
        <v>45300</v>
      </c>
      <c r="C26" s="1" t="n">
        <v>46041</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8817-2025</t>
        </is>
      </c>
      <c r="B27" s="1" t="n">
        <v>45712.70987268518</v>
      </c>
      <c r="C27" s="1" t="n">
        <v>46041</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46041</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46041</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21-2022</t>
        </is>
      </c>
      <c r="B30" s="1" t="n">
        <v>44560</v>
      </c>
      <c r="C30" s="1" t="n">
        <v>46041</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22830-2024</t>
        </is>
      </c>
      <c r="B31" s="1" t="n">
        <v>45448.56583333333</v>
      </c>
      <c r="C31" s="1" t="n">
        <v>46041</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17341-2025</t>
        </is>
      </c>
      <c r="B32" s="1" t="n">
        <v>45756</v>
      </c>
      <c r="C32" s="1" t="n">
        <v>46041</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54481-2025</t>
        </is>
      </c>
      <c r="B33" s="1" t="n">
        <v>45965.58837962963</v>
      </c>
      <c r="C33" s="1" t="n">
        <v>46041</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63539-2025</t>
        </is>
      </c>
      <c r="B34" s="1" t="n">
        <v>46013.58824074074</v>
      </c>
      <c r="C34" s="1" t="n">
        <v>46041</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46041</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34458-2023</t>
        </is>
      </c>
      <c r="B36" s="1" t="n">
        <v>45139</v>
      </c>
      <c r="C36" s="1" t="n">
        <v>46041</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34460-2023</t>
        </is>
      </c>
      <c r="B37" s="1" t="n">
        <v>45139</v>
      </c>
      <c r="C37" s="1" t="n">
        <v>46041</v>
      </c>
      <c r="D37" t="inlineStr">
        <is>
          <t>STOCKHOLMS LÄN</t>
        </is>
      </c>
      <c r="E37" t="inlineStr">
        <is>
          <t>VALLENTUNA</t>
        </is>
      </c>
      <c r="G37" t="n">
        <v>1.7</v>
      </c>
      <c r="H37" t="n">
        <v>0</v>
      </c>
      <c r="I37" t="n">
        <v>0</v>
      </c>
      <c r="J37" t="n">
        <v>1</v>
      </c>
      <c r="K37" t="n">
        <v>0</v>
      </c>
      <c r="L37" t="n">
        <v>0</v>
      </c>
      <c r="M37" t="n">
        <v>0</v>
      </c>
      <c r="N37" t="n">
        <v>0</v>
      </c>
      <c r="O37" t="n">
        <v>1</v>
      </c>
      <c r="P37" t="n">
        <v>0</v>
      </c>
      <c r="Q37" t="n">
        <v>1</v>
      </c>
      <c r="R37" s="2" t="inlineStr">
        <is>
          <t>Orange taggsvamp</t>
        </is>
      </c>
      <c r="S37">
        <f>HYPERLINK("https://klasma.github.io/Logging_0115/artfynd/A 34460-2023 artfynd.xlsx", "A 34460-2023")</f>
        <v/>
      </c>
      <c r="T37">
        <f>HYPERLINK("https://klasma.github.io/Logging_0115/kartor/A 34460-2023 karta.png", "A 34460-2023")</f>
        <v/>
      </c>
      <c r="V37">
        <f>HYPERLINK("https://klasma.github.io/Logging_0115/klagomål/A 34460-2023 FSC-klagomål.docx", "A 34460-2023")</f>
        <v/>
      </c>
      <c r="W37">
        <f>HYPERLINK("https://klasma.github.io/Logging_0115/klagomålsmail/A 34460-2023 FSC-klagomål mail.docx", "A 34460-2023")</f>
        <v/>
      </c>
      <c r="X37">
        <f>HYPERLINK("https://klasma.github.io/Logging_0115/tillsyn/A 34460-2023 tillsynsbegäran.docx", "A 34460-2023")</f>
        <v/>
      </c>
      <c r="Y37">
        <f>HYPERLINK("https://klasma.github.io/Logging_0115/tillsynsmail/A 34460-2023 tillsynsbegäran mail.docx", "A 34460-2023")</f>
        <v/>
      </c>
    </row>
    <row r="38" ht="15" customHeight="1">
      <c r="A38" t="inlineStr">
        <is>
          <t>A 7890-2023</t>
        </is>
      </c>
      <c r="B38" s="1" t="n">
        <v>44973</v>
      </c>
      <c r="C38" s="1" t="n">
        <v>46041</v>
      </c>
      <c r="D38" t="inlineStr">
        <is>
          <t>STOCKHOLMS LÄN</t>
        </is>
      </c>
      <c r="E38" t="inlineStr">
        <is>
          <t>VALLENTUNA</t>
        </is>
      </c>
      <c r="G38" t="n">
        <v>0.5</v>
      </c>
      <c r="H38" t="n">
        <v>0</v>
      </c>
      <c r="I38" t="n">
        <v>0</v>
      </c>
      <c r="J38" t="n">
        <v>1</v>
      </c>
      <c r="K38" t="n">
        <v>0</v>
      </c>
      <c r="L38" t="n">
        <v>0</v>
      </c>
      <c r="M38" t="n">
        <v>0</v>
      </c>
      <c r="N38" t="n">
        <v>0</v>
      </c>
      <c r="O38" t="n">
        <v>1</v>
      </c>
      <c r="P38" t="n">
        <v>0</v>
      </c>
      <c r="Q38" t="n">
        <v>1</v>
      </c>
      <c r="R38" s="2" t="inlineStr">
        <is>
          <t>Ullticka</t>
        </is>
      </c>
      <c r="S38">
        <f>HYPERLINK("https://klasma.github.io/Logging_0115/artfynd/A 7890-2023 artfynd.xlsx", "A 7890-2023")</f>
        <v/>
      </c>
      <c r="T38">
        <f>HYPERLINK("https://klasma.github.io/Logging_0115/kartor/A 7890-2023 karta.png", "A 7890-2023")</f>
        <v/>
      </c>
      <c r="V38">
        <f>HYPERLINK("https://klasma.github.io/Logging_0115/klagomål/A 7890-2023 FSC-klagomål.docx", "A 7890-2023")</f>
        <v/>
      </c>
      <c r="W38">
        <f>HYPERLINK("https://klasma.github.io/Logging_0115/klagomålsmail/A 7890-2023 FSC-klagomål mail.docx", "A 7890-2023")</f>
        <v/>
      </c>
      <c r="X38">
        <f>HYPERLINK("https://klasma.github.io/Logging_0115/tillsyn/A 7890-2023 tillsynsbegäran.docx", "A 7890-2023")</f>
        <v/>
      </c>
      <c r="Y38">
        <f>HYPERLINK("https://klasma.github.io/Logging_0115/tillsynsmail/A 7890-2023 tillsynsbegäran mail.docx", "A 7890-2023")</f>
        <v/>
      </c>
    </row>
    <row r="39" ht="15" customHeight="1">
      <c r="A39" t="inlineStr">
        <is>
          <t>A 21439-2025</t>
        </is>
      </c>
      <c r="B39" s="1" t="n">
        <v>45782.52939814814</v>
      </c>
      <c r="C39" s="1" t="n">
        <v>46041</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46041</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46041</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46041</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46041</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46041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46041</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46041</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46041</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46041</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46041</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46041</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46041</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46041</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46041</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46041</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46041</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46041</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46041</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46041</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46041</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46041</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21445-2023</t>
        </is>
      </c>
      <c r="B61" s="1" t="n">
        <v>45063</v>
      </c>
      <c r="C61" s="1" t="n">
        <v>46041</v>
      </c>
      <c r="D61" t="inlineStr">
        <is>
          <t>STOCKHOLMS LÄN</t>
        </is>
      </c>
      <c r="E61" t="inlineStr">
        <is>
          <t>VALLENTUNA</t>
        </is>
      </c>
      <c r="G61" t="n">
        <v>3.1</v>
      </c>
      <c r="H61" t="n">
        <v>0</v>
      </c>
      <c r="I61" t="n">
        <v>0</v>
      </c>
      <c r="J61" t="n">
        <v>0</v>
      </c>
      <c r="K61" t="n">
        <v>0</v>
      </c>
      <c r="L61" t="n">
        <v>0</v>
      </c>
      <c r="M61" t="n">
        <v>0</v>
      </c>
      <c r="N61" t="n">
        <v>0</v>
      </c>
      <c r="O61" t="n">
        <v>0</v>
      </c>
      <c r="P61" t="n">
        <v>0</v>
      </c>
      <c r="Q61" t="n">
        <v>0</v>
      </c>
      <c r="R61" s="2" t="inlineStr"/>
    </row>
    <row r="62" ht="15" customHeight="1">
      <c r="A62" t="inlineStr">
        <is>
          <t>A 22683-2023</t>
        </is>
      </c>
      <c r="B62" s="1" t="n">
        <v>45071</v>
      </c>
      <c r="C62" s="1" t="n">
        <v>46041</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24943-2024</t>
        </is>
      </c>
      <c r="B63" s="1" t="n">
        <v>45461.62585648148</v>
      </c>
      <c r="C63" s="1" t="n">
        <v>46041</v>
      </c>
      <c r="D63" t="inlineStr">
        <is>
          <t>STOCKHOLMS LÄN</t>
        </is>
      </c>
      <c r="E63" t="inlineStr">
        <is>
          <t>VALLENTUNA</t>
        </is>
      </c>
      <c r="G63" t="n">
        <v>2</v>
      </c>
      <c r="H63" t="n">
        <v>0</v>
      </c>
      <c r="I63" t="n">
        <v>0</v>
      </c>
      <c r="J63" t="n">
        <v>0</v>
      </c>
      <c r="K63" t="n">
        <v>0</v>
      </c>
      <c r="L63" t="n">
        <v>0</v>
      </c>
      <c r="M63" t="n">
        <v>0</v>
      </c>
      <c r="N63" t="n">
        <v>0</v>
      </c>
      <c r="O63" t="n">
        <v>0</v>
      </c>
      <c r="P63" t="n">
        <v>0</v>
      </c>
      <c r="Q63" t="n">
        <v>0</v>
      </c>
      <c r="R63" s="2" t="inlineStr"/>
    </row>
    <row r="64" ht="15" customHeight="1">
      <c r="A64" t="inlineStr">
        <is>
          <t>A 5910-2022</t>
        </is>
      </c>
      <c r="B64" s="1" t="n">
        <v>44597</v>
      </c>
      <c r="C64" s="1" t="n">
        <v>46041</v>
      </c>
      <c r="D64" t="inlineStr">
        <is>
          <t>STOCKHOLMS LÄN</t>
        </is>
      </c>
      <c r="E64" t="inlineStr">
        <is>
          <t>VALLENTUNA</t>
        </is>
      </c>
      <c r="G64" t="n">
        <v>0.6</v>
      </c>
      <c r="H64" t="n">
        <v>0</v>
      </c>
      <c r="I64" t="n">
        <v>0</v>
      </c>
      <c r="J64" t="n">
        <v>0</v>
      </c>
      <c r="K64" t="n">
        <v>0</v>
      </c>
      <c r="L64" t="n">
        <v>0</v>
      </c>
      <c r="M64" t="n">
        <v>0</v>
      </c>
      <c r="N64" t="n">
        <v>0</v>
      </c>
      <c r="O64" t="n">
        <v>0</v>
      </c>
      <c r="P64" t="n">
        <v>0</v>
      </c>
      <c r="Q64" t="n">
        <v>0</v>
      </c>
      <c r="R64" s="2" t="inlineStr"/>
    </row>
    <row r="65" ht="15" customHeight="1">
      <c r="A65" t="inlineStr">
        <is>
          <t>A 44346-2021</t>
        </is>
      </c>
      <c r="B65" s="1" t="n">
        <v>44434</v>
      </c>
      <c r="C65" s="1" t="n">
        <v>46041</v>
      </c>
      <c r="D65" t="inlineStr">
        <is>
          <t>STOCKHOLMS LÄN</t>
        </is>
      </c>
      <c r="E65" t="inlineStr">
        <is>
          <t>VALLENTUNA</t>
        </is>
      </c>
      <c r="G65" t="n">
        <v>3</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46041</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26390-2023</t>
        </is>
      </c>
      <c r="B67" s="1" t="n">
        <v>45086</v>
      </c>
      <c r="C67" s="1" t="n">
        <v>46041</v>
      </c>
      <c r="D67" t="inlineStr">
        <is>
          <t>STOCKHOLMS LÄN</t>
        </is>
      </c>
      <c r="E67" t="inlineStr">
        <is>
          <t>VALLENTUNA</t>
        </is>
      </c>
      <c r="G67" t="n">
        <v>1.6</v>
      </c>
      <c r="H67" t="n">
        <v>0</v>
      </c>
      <c r="I67" t="n">
        <v>0</v>
      </c>
      <c r="J67" t="n">
        <v>0</v>
      </c>
      <c r="K67" t="n">
        <v>0</v>
      </c>
      <c r="L67" t="n">
        <v>0</v>
      </c>
      <c r="M67" t="n">
        <v>0</v>
      </c>
      <c r="N67" t="n">
        <v>0</v>
      </c>
      <c r="O67" t="n">
        <v>0</v>
      </c>
      <c r="P67" t="n">
        <v>0</v>
      </c>
      <c r="Q67" t="n">
        <v>0</v>
      </c>
      <c r="R67" s="2" t="inlineStr"/>
    </row>
    <row r="68" ht="15" customHeight="1">
      <c r="A68" t="inlineStr">
        <is>
          <t>A 49530-2023</t>
        </is>
      </c>
      <c r="B68" s="1" t="n">
        <v>45205</v>
      </c>
      <c r="C68" s="1" t="n">
        <v>46041</v>
      </c>
      <c r="D68" t="inlineStr">
        <is>
          <t>STOCKHOLMS LÄN</t>
        </is>
      </c>
      <c r="E68" t="inlineStr">
        <is>
          <t>VALLENTUNA</t>
        </is>
      </c>
      <c r="G68" t="n">
        <v>1.2</v>
      </c>
      <c r="H68" t="n">
        <v>0</v>
      </c>
      <c r="I68" t="n">
        <v>0</v>
      </c>
      <c r="J68" t="n">
        <v>0</v>
      </c>
      <c r="K68" t="n">
        <v>0</v>
      </c>
      <c r="L68" t="n">
        <v>0</v>
      </c>
      <c r="M68" t="n">
        <v>0</v>
      </c>
      <c r="N68" t="n">
        <v>0</v>
      </c>
      <c r="O68" t="n">
        <v>0</v>
      </c>
      <c r="P68" t="n">
        <v>0</v>
      </c>
      <c r="Q68" t="n">
        <v>0</v>
      </c>
      <c r="R68" s="2" t="inlineStr"/>
    </row>
    <row r="69" ht="15" customHeight="1">
      <c r="A69" t="inlineStr">
        <is>
          <t>A 414-2026</t>
        </is>
      </c>
      <c r="B69" s="1" t="n">
        <v>46028.76050925926</v>
      </c>
      <c r="C69" s="1" t="n">
        <v>46041</v>
      </c>
      <c r="D69" t="inlineStr">
        <is>
          <t>STOCKHOLMS LÄN</t>
        </is>
      </c>
      <c r="E69" t="inlineStr">
        <is>
          <t>VALLENTUNA</t>
        </is>
      </c>
      <c r="G69" t="n">
        <v>2.6</v>
      </c>
      <c r="H69" t="n">
        <v>0</v>
      </c>
      <c r="I69" t="n">
        <v>0</v>
      </c>
      <c r="J69" t="n">
        <v>0</v>
      </c>
      <c r="K69" t="n">
        <v>0</v>
      </c>
      <c r="L69" t="n">
        <v>0</v>
      </c>
      <c r="M69" t="n">
        <v>0</v>
      </c>
      <c r="N69" t="n">
        <v>0</v>
      </c>
      <c r="O69" t="n">
        <v>0</v>
      </c>
      <c r="P69" t="n">
        <v>0</v>
      </c>
      <c r="Q69" t="n">
        <v>0</v>
      </c>
      <c r="R69" s="2" t="inlineStr"/>
    </row>
    <row r="70" ht="15" customHeight="1">
      <c r="A70" t="inlineStr">
        <is>
          <t>A 24994-2021</t>
        </is>
      </c>
      <c r="B70" s="1" t="n">
        <v>44341</v>
      </c>
      <c r="C70" s="1" t="n">
        <v>46041</v>
      </c>
      <c r="D70" t="inlineStr">
        <is>
          <t>STOCKHOLMS LÄN</t>
        </is>
      </c>
      <c r="E70" t="inlineStr">
        <is>
          <t>VALLENTUNA</t>
        </is>
      </c>
      <c r="G70" t="n">
        <v>2.6</v>
      </c>
      <c r="H70" t="n">
        <v>0</v>
      </c>
      <c r="I70" t="n">
        <v>0</v>
      </c>
      <c r="J70" t="n">
        <v>0</v>
      </c>
      <c r="K70" t="n">
        <v>0</v>
      </c>
      <c r="L70" t="n">
        <v>0</v>
      </c>
      <c r="M70" t="n">
        <v>0</v>
      </c>
      <c r="N70" t="n">
        <v>0</v>
      </c>
      <c r="O70" t="n">
        <v>0</v>
      </c>
      <c r="P70" t="n">
        <v>0</v>
      </c>
      <c r="Q70" t="n">
        <v>0</v>
      </c>
      <c r="R70" s="2" t="inlineStr"/>
    </row>
    <row r="71" ht="15" customHeight="1">
      <c r="A71" t="inlineStr">
        <is>
          <t>A 52989-2023</t>
        </is>
      </c>
      <c r="B71" s="1" t="n">
        <v>45226</v>
      </c>
      <c r="C71" s="1" t="n">
        <v>46041</v>
      </c>
      <c r="D71" t="inlineStr">
        <is>
          <t>STOCKHOLMS LÄN</t>
        </is>
      </c>
      <c r="E71" t="inlineStr">
        <is>
          <t>VALLENTUNA</t>
        </is>
      </c>
      <c r="G71" t="n">
        <v>1.1</v>
      </c>
      <c r="H71" t="n">
        <v>0</v>
      </c>
      <c r="I71" t="n">
        <v>0</v>
      </c>
      <c r="J71" t="n">
        <v>0</v>
      </c>
      <c r="K71" t="n">
        <v>0</v>
      </c>
      <c r="L71" t="n">
        <v>0</v>
      </c>
      <c r="M71" t="n">
        <v>0</v>
      </c>
      <c r="N71" t="n">
        <v>0</v>
      </c>
      <c r="O71" t="n">
        <v>0</v>
      </c>
      <c r="P71" t="n">
        <v>0</v>
      </c>
      <c r="Q71" t="n">
        <v>0</v>
      </c>
      <c r="R71" s="2" t="inlineStr"/>
    </row>
    <row r="72" ht="15" customHeight="1">
      <c r="A72" t="inlineStr">
        <is>
          <t>A 3078-2023</t>
        </is>
      </c>
      <c r="B72" s="1" t="n">
        <v>44946.41527777778</v>
      </c>
      <c r="C72" s="1" t="n">
        <v>46041</v>
      </c>
      <c r="D72" t="inlineStr">
        <is>
          <t>STOCKHOLMS LÄN</t>
        </is>
      </c>
      <c r="E72" t="inlineStr">
        <is>
          <t>VALLENTUNA</t>
        </is>
      </c>
      <c r="G72" t="n">
        <v>3.9</v>
      </c>
      <c r="H72" t="n">
        <v>0</v>
      </c>
      <c r="I72" t="n">
        <v>0</v>
      </c>
      <c r="J72" t="n">
        <v>0</v>
      </c>
      <c r="K72" t="n">
        <v>0</v>
      </c>
      <c r="L72" t="n">
        <v>0</v>
      </c>
      <c r="M72" t="n">
        <v>0</v>
      </c>
      <c r="N72" t="n">
        <v>0</v>
      </c>
      <c r="O72" t="n">
        <v>0</v>
      </c>
      <c r="P72" t="n">
        <v>0</v>
      </c>
      <c r="Q72" t="n">
        <v>0</v>
      </c>
      <c r="R72" s="2" t="inlineStr"/>
    </row>
    <row r="73" ht="15" customHeight="1">
      <c r="A73" t="inlineStr">
        <is>
          <t>A 60795-2023</t>
        </is>
      </c>
      <c r="B73" s="1" t="n">
        <v>45260</v>
      </c>
      <c r="C73" s="1" t="n">
        <v>46041</v>
      </c>
      <c r="D73" t="inlineStr">
        <is>
          <t>STOCKHOLMS LÄN</t>
        </is>
      </c>
      <c r="E73" t="inlineStr">
        <is>
          <t>VALLENTUNA</t>
        </is>
      </c>
      <c r="G73" t="n">
        <v>2.2</v>
      </c>
      <c r="H73" t="n">
        <v>0</v>
      </c>
      <c r="I73" t="n">
        <v>0</v>
      </c>
      <c r="J73" t="n">
        <v>0</v>
      </c>
      <c r="K73" t="n">
        <v>0</v>
      </c>
      <c r="L73" t="n">
        <v>0</v>
      </c>
      <c r="M73" t="n">
        <v>0</v>
      </c>
      <c r="N73" t="n">
        <v>0</v>
      </c>
      <c r="O73" t="n">
        <v>0</v>
      </c>
      <c r="P73" t="n">
        <v>0</v>
      </c>
      <c r="Q73" t="n">
        <v>0</v>
      </c>
      <c r="R73" s="2" t="inlineStr"/>
    </row>
    <row r="74" ht="15" customHeight="1">
      <c r="A74" t="inlineStr">
        <is>
          <t>A 24707-2023</t>
        </is>
      </c>
      <c r="B74" s="1" t="n">
        <v>45084</v>
      </c>
      <c r="C74" s="1" t="n">
        <v>46041</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27870-2025</t>
        </is>
      </c>
      <c r="B75" s="1" t="n">
        <v>45817</v>
      </c>
      <c r="C75" s="1" t="n">
        <v>46041</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12609-2024</t>
        </is>
      </c>
      <c r="B76" s="1" t="n">
        <v>45382.8109375</v>
      </c>
      <c r="C76" s="1" t="n">
        <v>46041</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46041</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47140-2024</t>
        </is>
      </c>
      <c r="B78" s="1" t="n">
        <v>45586.58753472222</v>
      </c>
      <c r="C78" s="1" t="n">
        <v>46041</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8565-2025</t>
        </is>
      </c>
      <c r="B79" s="1" t="n">
        <v>45709</v>
      </c>
      <c r="C79" s="1" t="n">
        <v>46041</v>
      </c>
      <c r="D79" t="inlineStr">
        <is>
          <t>STOCKHOLMS LÄN</t>
        </is>
      </c>
      <c r="E79" t="inlineStr">
        <is>
          <t>VALLENTUNA</t>
        </is>
      </c>
      <c r="F79" t="inlineStr">
        <is>
          <t>Kommuner</t>
        </is>
      </c>
      <c r="G79" t="n">
        <v>4.2</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46041</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46041</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9063-2024</t>
        </is>
      </c>
      <c r="B82" s="1" t="n">
        <v>45357.72652777778</v>
      </c>
      <c r="C82" s="1" t="n">
        <v>46041</v>
      </c>
      <c r="D82" t="inlineStr">
        <is>
          <t>STOCKHOLMS LÄN</t>
        </is>
      </c>
      <c r="E82" t="inlineStr">
        <is>
          <t>VALLENTUNA</t>
        </is>
      </c>
      <c r="G82" t="n">
        <v>4.1</v>
      </c>
      <c r="H82" t="n">
        <v>0</v>
      </c>
      <c r="I82" t="n">
        <v>0</v>
      </c>
      <c r="J82" t="n">
        <v>0</v>
      </c>
      <c r="K82" t="n">
        <v>0</v>
      </c>
      <c r="L82" t="n">
        <v>0</v>
      </c>
      <c r="M82" t="n">
        <v>0</v>
      </c>
      <c r="N82" t="n">
        <v>0</v>
      </c>
      <c r="O82" t="n">
        <v>0</v>
      </c>
      <c r="P82" t="n">
        <v>0</v>
      </c>
      <c r="Q82" t="n">
        <v>0</v>
      </c>
      <c r="R82" s="2" t="inlineStr"/>
    </row>
    <row r="83" ht="15" customHeight="1">
      <c r="A83" t="inlineStr">
        <is>
          <t>A 4803-2024</t>
        </is>
      </c>
      <c r="B83" s="1" t="n">
        <v>45328</v>
      </c>
      <c r="C83" s="1" t="n">
        <v>46041</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52542-2023</t>
        </is>
      </c>
      <c r="B84" s="1" t="n">
        <v>45225</v>
      </c>
      <c r="C84" s="1" t="n">
        <v>46041</v>
      </c>
      <c r="D84" t="inlineStr">
        <is>
          <t>STOCKHOLMS LÄN</t>
        </is>
      </c>
      <c r="E84" t="inlineStr">
        <is>
          <t>VALLENTUNA</t>
        </is>
      </c>
      <c r="G84" t="n">
        <v>3.8</v>
      </c>
      <c r="H84" t="n">
        <v>0</v>
      </c>
      <c r="I84" t="n">
        <v>0</v>
      </c>
      <c r="J84" t="n">
        <v>0</v>
      </c>
      <c r="K84" t="n">
        <v>0</v>
      </c>
      <c r="L84" t="n">
        <v>0</v>
      </c>
      <c r="M84" t="n">
        <v>0</v>
      </c>
      <c r="N84" t="n">
        <v>0</v>
      </c>
      <c r="O84" t="n">
        <v>0</v>
      </c>
      <c r="P84" t="n">
        <v>0</v>
      </c>
      <c r="Q84" t="n">
        <v>0</v>
      </c>
      <c r="R84" s="2" t="inlineStr"/>
    </row>
    <row r="85" ht="15" customHeight="1">
      <c r="A85" t="inlineStr">
        <is>
          <t>A 14480-2024</t>
        </is>
      </c>
      <c r="B85" s="1" t="n">
        <v>45394.56777777777</v>
      </c>
      <c r="C85" s="1" t="n">
        <v>46041</v>
      </c>
      <c r="D85" t="inlineStr">
        <is>
          <t>STOCKHOLMS LÄN</t>
        </is>
      </c>
      <c r="E85" t="inlineStr">
        <is>
          <t>VALLENTUNA</t>
        </is>
      </c>
      <c r="G85" t="n">
        <v>1.8</v>
      </c>
      <c r="H85" t="n">
        <v>0</v>
      </c>
      <c r="I85" t="n">
        <v>0</v>
      </c>
      <c r="J85" t="n">
        <v>0</v>
      </c>
      <c r="K85" t="n">
        <v>0</v>
      </c>
      <c r="L85" t="n">
        <v>0</v>
      </c>
      <c r="M85" t="n">
        <v>0</v>
      </c>
      <c r="N85" t="n">
        <v>0</v>
      </c>
      <c r="O85" t="n">
        <v>0</v>
      </c>
      <c r="P85" t="n">
        <v>0</v>
      </c>
      <c r="Q85" t="n">
        <v>0</v>
      </c>
      <c r="R85" s="2" t="inlineStr"/>
    </row>
    <row r="86" ht="15" customHeight="1">
      <c r="A86" t="inlineStr">
        <is>
          <t>A 50784-2025</t>
        </is>
      </c>
      <c r="B86" s="1" t="n">
        <v>45946</v>
      </c>
      <c r="C86" s="1" t="n">
        <v>46041</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11950-2025</t>
        </is>
      </c>
      <c r="B87" s="1" t="n">
        <v>45728.55622685186</v>
      </c>
      <c r="C87" s="1" t="n">
        <v>46041</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14489-2024</t>
        </is>
      </c>
      <c r="B88" s="1" t="n">
        <v>45394.58053240741</v>
      </c>
      <c r="C88" s="1" t="n">
        <v>46041</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30913-2021</t>
        </is>
      </c>
      <c r="B89" s="1" t="n">
        <v>44365</v>
      </c>
      <c r="C89" s="1" t="n">
        <v>46041</v>
      </c>
      <c r="D89" t="inlineStr">
        <is>
          <t>STOCKHOLMS LÄN</t>
        </is>
      </c>
      <c r="E89" t="inlineStr">
        <is>
          <t>VALLENTUNA</t>
        </is>
      </c>
      <c r="F89" t="inlineStr">
        <is>
          <t>Övriga Aktiebolag</t>
        </is>
      </c>
      <c r="G89" t="n">
        <v>3.3</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46041</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27868-2025</t>
        </is>
      </c>
      <c r="B91" s="1" t="n">
        <v>45817</v>
      </c>
      <c r="C91" s="1" t="n">
        <v>46041</v>
      </c>
      <c r="D91" t="inlineStr">
        <is>
          <t>STOCKHOLMS LÄN</t>
        </is>
      </c>
      <c r="E91" t="inlineStr">
        <is>
          <t>VALLENTUNA</t>
        </is>
      </c>
      <c r="G91" t="n">
        <v>2.1</v>
      </c>
      <c r="H91" t="n">
        <v>0</v>
      </c>
      <c r="I91" t="n">
        <v>0</v>
      </c>
      <c r="J91" t="n">
        <v>0</v>
      </c>
      <c r="K91" t="n">
        <v>0</v>
      </c>
      <c r="L91" t="n">
        <v>0</v>
      </c>
      <c r="M91" t="n">
        <v>0</v>
      </c>
      <c r="N91" t="n">
        <v>0</v>
      </c>
      <c r="O91" t="n">
        <v>0</v>
      </c>
      <c r="P91" t="n">
        <v>0</v>
      </c>
      <c r="Q91" t="n">
        <v>0</v>
      </c>
      <c r="R91" s="2" t="inlineStr"/>
    </row>
    <row r="92" ht="15" customHeight="1">
      <c r="A92" t="inlineStr">
        <is>
          <t>A 4804-2024</t>
        </is>
      </c>
      <c r="B92" s="1" t="n">
        <v>45328</v>
      </c>
      <c r="C92" s="1" t="n">
        <v>46041</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61646-2025</t>
        </is>
      </c>
      <c r="B93" s="1" t="n">
        <v>46002</v>
      </c>
      <c r="C93" s="1" t="n">
        <v>46041</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54466-2025</t>
        </is>
      </c>
      <c r="B94" s="1" t="n">
        <v>45965.56984953704</v>
      </c>
      <c r="C94" s="1" t="n">
        <v>46041</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54460-2025</t>
        </is>
      </c>
      <c r="B95" s="1" t="n">
        <v>45965.56219907408</v>
      </c>
      <c r="C95" s="1" t="n">
        <v>46041</v>
      </c>
      <c r="D95" t="inlineStr">
        <is>
          <t>STOCKHOLMS LÄN</t>
        </is>
      </c>
      <c r="E95" t="inlineStr">
        <is>
          <t>VALLENTUNA</t>
        </is>
      </c>
      <c r="G95" t="n">
        <v>22.9</v>
      </c>
      <c r="H95" t="n">
        <v>0</v>
      </c>
      <c r="I95" t="n">
        <v>0</v>
      </c>
      <c r="J95" t="n">
        <v>0</v>
      </c>
      <c r="K95" t="n">
        <v>0</v>
      </c>
      <c r="L95" t="n">
        <v>0</v>
      </c>
      <c r="M95" t="n">
        <v>0</v>
      </c>
      <c r="N95" t="n">
        <v>0</v>
      </c>
      <c r="O95" t="n">
        <v>0</v>
      </c>
      <c r="P95" t="n">
        <v>0</v>
      </c>
      <c r="Q95" t="n">
        <v>0</v>
      </c>
      <c r="R95" s="2" t="inlineStr"/>
    </row>
    <row r="96" ht="15" customHeight="1">
      <c r="A96" t="inlineStr">
        <is>
          <t>A 23013-2024</t>
        </is>
      </c>
      <c r="B96" s="1" t="n">
        <v>45450.35116898148</v>
      </c>
      <c r="C96" s="1" t="n">
        <v>46041</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2318-2024</t>
        </is>
      </c>
      <c r="B97" s="1" t="n">
        <v>45310</v>
      </c>
      <c r="C97" s="1" t="n">
        <v>46041</v>
      </c>
      <c r="D97" t="inlineStr">
        <is>
          <t>STOCKHOLMS LÄN</t>
        </is>
      </c>
      <c r="E97" t="inlineStr">
        <is>
          <t>VALLENTUNA</t>
        </is>
      </c>
      <c r="G97" t="n">
        <v>2.2</v>
      </c>
      <c r="H97" t="n">
        <v>0</v>
      </c>
      <c r="I97" t="n">
        <v>0</v>
      </c>
      <c r="J97" t="n">
        <v>0</v>
      </c>
      <c r="K97" t="n">
        <v>0</v>
      </c>
      <c r="L97" t="n">
        <v>0</v>
      </c>
      <c r="M97" t="n">
        <v>0</v>
      </c>
      <c r="N97" t="n">
        <v>0</v>
      </c>
      <c r="O97" t="n">
        <v>0</v>
      </c>
      <c r="P97" t="n">
        <v>0</v>
      </c>
      <c r="Q97" t="n">
        <v>0</v>
      </c>
      <c r="R97" s="2" t="inlineStr"/>
    </row>
    <row r="98" ht="15" customHeight="1">
      <c r="A98" t="inlineStr">
        <is>
          <t>A 48068-2021</t>
        </is>
      </c>
      <c r="B98" s="1" t="n">
        <v>44449.42270833333</v>
      </c>
      <c r="C98" s="1" t="n">
        <v>46041</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3937-2022</t>
        </is>
      </c>
      <c r="B99" s="1" t="n">
        <v>44587</v>
      </c>
      <c r="C99" s="1" t="n">
        <v>46041</v>
      </c>
      <c r="D99" t="inlineStr">
        <is>
          <t>STOCKHOLMS LÄN</t>
        </is>
      </c>
      <c r="E99" t="inlineStr">
        <is>
          <t>VALLENTUNA</t>
        </is>
      </c>
      <c r="G99" t="n">
        <v>6.6</v>
      </c>
      <c r="H99" t="n">
        <v>0</v>
      </c>
      <c r="I99" t="n">
        <v>0</v>
      </c>
      <c r="J99" t="n">
        <v>0</v>
      </c>
      <c r="K99" t="n">
        <v>0</v>
      </c>
      <c r="L99" t="n">
        <v>0</v>
      </c>
      <c r="M99" t="n">
        <v>0</v>
      </c>
      <c r="N99" t="n">
        <v>0</v>
      </c>
      <c r="O99" t="n">
        <v>0</v>
      </c>
      <c r="P99" t="n">
        <v>0</v>
      </c>
      <c r="Q99" t="n">
        <v>0</v>
      </c>
      <c r="R99" s="2" t="inlineStr"/>
    </row>
    <row r="100" ht="15" customHeight="1">
      <c r="A100" t="inlineStr">
        <is>
          <t>A 60818-2023</t>
        </is>
      </c>
      <c r="B100" s="1" t="n">
        <v>45259</v>
      </c>
      <c r="C100" s="1" t="n">
        <v>46041</v>
      </c>
      <c r="D100" t="inlineStr">
        <is>
          <t>STOCKHOLMS LÄN</t>
        </is>
      </c>
      <c r="E100" t="inlineStr">
        <is>
          <t>VALLENTUNA</t>
        </is>
      </c>
      <c r="G100" t="n">
        <v>9.4</v>
      </c>
      <c r="H100" t="n">
        <v>0</v>
      </c>
      <c r="I100" t="n">
        <v>0</v>
      </c>
      <c r="J100" t="n">
        <v>0</v>
      </c>
      <c r="K100" t="n">
        <v>0</v>
      </c>
      <c r="L100" t="n">
        <v>0</v>
      </c>
      <c r="M100" t="n">
        <v>0</v>
      </c>
      <c r="N100" t="n">
        <v>0</v>
      </c>
      <c r="O100" t="n">
        <v>0</v>
      </c>
      <c r="P100" t="n">
        <v>0</v>
      </c>
      <c r="Q100" t="n">
        <v>0</v>
      </c>
      <c r="R100" s="2" t="inlineStr"/>
    </row>
    <row r="101" ht="15" customHeight="1">
      <c r="A101" t="inlineStr">
        <is>
          <t>A 61742-2022</t>
        </is>
      </c>
      <c r="B101" s="1" t="n">
        <v>44917</v>
      </c>
      <c r="C101" s="1" t="n">
        <v>46041</v>
      </c>
      <c r="D101" t="inlineStr">
        <is>
          <t>STOCKHOLMS LÄN</t>
        </is>
      </c>
      <c r="E101" t="inlineStr">
        <is>
          <t>VALLENTUNA</t>
        </is>
      </c>
      <c r="G101" t="n">
        <v>0.5</v>
      </c>
      <c r="H101" t="n">
        <v>0</v>
      </c>
      <c r="I101" t="n">
        <v>0</v>
      </c>
      <c r="J101" t="n">
        <v>0</v>
      </c>
      <c r="K101" t="n">
        <v>0</v>
      </c>
      <c r="L101" t="n">
        <v>0</v>
      </c>
      <c r="M101" t="n">
        <v>0</v>
      </c>
      <c r="N101" t="n">
        <v>0</v>
      </c>
      <c r="O101" t="n">
        <v>0</v>
      </c>
      <c r="P101" t="n">
        <v>0</v>
      </c>
      <c r="Q101" t="n">
        <v>0</v>
      </c>
      <c r="R101" s="2" t="inlineStr"/>
    </row>
    <row r="102" ht="15" customHeight="1">
      <c r="A102" t="inlineStr">
        <is>
          <t>A 3698-2022</t>
        </is>
      </c>
      <c r="B102" s="1" t="n">
        <v>44586</v>
      </c>
      <c r="C102" s="1" t="n">
        <v>46041</v>
      </c>
      <c r="D102" t="inlineStr">
        <is>
          <t>STOCKHOLMS LÄN</t>
        </is>
      </c>
      <c r="E102" t="inlineStr">
        <is>
          <t>VALLENTUNA</t>
        </is>
      </c>
      <c r="G102" t="n">
        <v>2.9</v>
      </c>
      <c r="H102" t="n">
        <v>0</v>
      </c>
      <c r="I102" t="n">
        <v>0</v>
      </c>
      <c r="J102" t="n">
        <v>0</v>
      </c>
      <c r="K102" t="n">
        <v>0</v>
      </c>
      <c r="L102" t="n">
        <v>0</v>
      </c>
      <c r="M102" t="n">
        <v>0</v>
      </c>
      <c r="N102" t="n">
        <v>0</v>
      </c>
      <c r="O102" t="n">
        <v>0</v>
      </c>
      <c r="P102" t="n">
        <v>0</v>
      </c>
      <c r="Q102" t="n">
        <v>0</v>
      </c>
      <c r="R102" s="2" t="inlineStr"/>
    </row>
    <row r="103" ht="15" customHeight="1">
      <c r="A103" t="inlineStr">
        <is>
          <t>A 7264-2022</t>
        </is>
      </c>
      <c r="B103" s="1" t="n">
        <v>44606</v>
      </c>
      <c r="C103" s="1" t="n">
        <v>46041</v>
      </c>
      <c r="D103" t="inlineStr">
        <is>
          <t>STOCKHOLMS LÄN</t>
        </is>
      </c>
      <c r="E103" t="inlineStr">
        <is>
          <t>VALLENTUNA</t>
        </is>
      </c>
      <c r="G103" t="n">
        <v>2.4</v>
      </c>
      <c r="H103" t="n">
        <v>0</v>
      </c>
      <c r="I103" t="n">
        <v>0</v>
      </c>
      <c r="J103" t="n">
        <v>0</v>
      </c>
      <c r="K103" t="n">
        <v>0</v>
      </c>
      <c r="L103" t="n">
        <v>0</v>
      </c>
      <c r="M103" t="n">
        <v>0</v>
      </c>
      <c r="N103" t="n">
        <v>0</v>
      </c>
      <c r="O103" t="n">
        <v>0</v>
      </c>
      <c r="P103" t="n">
        <v>0</v>
      </c>
      <c r="Q103" t="n">
        <v>0</v>
      </c>
      <c r="R103" s="2" t="inlineStr"/>
    </row>
    <row r="104" ht="15" customHeight="1">
      <c r="A104" t="inlineStr">
        <is>
          <t>A 60997-2022</t>
        </is>
      </c>
      <c r="B104" s="1" t="n">
        <v>44914.70746527778</v>
      </c>
      <c r="C104" s="1" t="n">
        <v>46041</v>
      </c>
      <c r="D104" t="inlineStr">
        <is>
          <t>STOCKHOLMS LÄN</t>
        </is>
      </c>
      <c r="E104" t="inlineStr">
        <is>
          <t>VALLENTUNA</t>
        </is>
      </c>
      <c r="G104" t="n">
        <v>1.8</v>
      </c>
      <c r="H104" t="n">
        <v>0</v>
      </c>
      <c r="I104" t="n">
        <v>0</v>
      </c>
      <c r="J104" t="n">
        <v>0</v>
      </c>
      <c r="K104" t="n">
        <v>0</v>
      </c>
      <c r="L104" t="n">
        <v>0</v>
      </c>
      <c r="M104" t="n">
        <v>0</v>
      </c>
      <c r="N104" t="n">
        <v>0</v>
      </c>
      <c r="O104" t="n">
        <v>0</v>
      </c>
      <c r="P104" t="n">
        <v>0</v>
      </c>
      <c r="Q104" t="n">
        <v>0</v>
      </c>
      <c r="R104" s="2" t="inlineStr"/>
    </row>
    <row r="105" ht="15" customHeight="1">
      <c r="A105" t="inlineStr">
        <is>
          <t>A 12234-2022</t>
        </is>
      </c>
      <c r="B105" s="1" t="n">
        <v>44637</v>
      </c>
      <c r="C105" s="1" t="n">
        <v>46041</v>
      </c>
      <c r="D105" t="inlineStr">
        <is>
          <t>STOCKHOLMS LÄN</t>
        </is>
      </c>
      <c r="E105" t="inlineStr">
        <is>
          <t>VALLENTUNA</t>
        </is>
      </c>
      <c r="G105" t="n">
        <v>2.4</v>
      </c>
      <c r="H105" t="n">
        <v>0</v>
      </c>
      <c r="I105" t="n">
        <v>0</v>
      </c>
      <c r="J105" t="n">
        <v>0</v>
      </c>
      <c r="K105" t="n">
        <v>0</v>
      </c>
      <c r="L105" t="n">
        <v>0</v>
      </c>
      <c r="M105" t="n">
        <v>0</v>
      </c>
      <c r="N105" t="n">
        <v>0</v>
      </c>
      <c r="O105" t="n">
        <v>0</v>
      </c>
      <c r="P105" t="n">
        <v>0</v>
      </c>
      <c r="Q105" t="n">
        <v>0</v>
      </c>
      <c r="R105" s="2" t="inlineStr"/>
    </row>
    <row r="106" ht="15" customHeight="1">
      <c r="A106" t="inlineStr">
        <is>
          <t>A 21614-2022</t>
        </is>
      </c>
      <c r="B106" s="1" t="n">
        <v>44706</v>
      </c>
      <c r="C106" s="1" t="n">
        <v>46041</v>
      </c>
      <c r="D106" t="inlineStr">
        <is>
          <t>STOCKHOLMS LÄN</t>
        </is>
      </c>
      <c r="E106" t="inlineStr">
        <is>
          <t>VALLENTUNA</t>
        </is>
      </c>
      <c r="G106" t="n">
        <v>4</v>
      </c>
      <c r="H106" t="n">
        <v>0</v>
      </c>
      <c r="I106" t="n">
        <v>0</v>
      </c>
      <c r="J106" t="n">
        <v>0</v>
      </c>
      <c r="K106" t="n">
        <v>0</v>
      </c>
      <c r="L106" t="n">
        <v>0</v>
      </c>
      <c r="M106" t="n">
        <v>0</v>
      </c>
      <c r="N106" t="n">
        <v>0</v>
      </c>
      <c r="O106" t="n">
        <v>0</v>
      </c>
      <c r="P106" t="n">
        <v>0</v>
      </c>
      <c r="Q106" t="n">
        <v>0</v>
      </c>
      <c r="R106" s="2" t="inlineStr"/>
    </row>
    <row r="107" ht="15" customHeight="1">
      <c r="A107" t="inlineStr">
        <is>
          <t>A 19356-2025</t>
        </is>
      </c>
      <c r="B107" s="1" t="n">
        <v>45769.62061342593</v>
      </c>
      <c r="C107" s="1" t="n">
        <v>46041</v>
      </c>
      <c r="D107" t="inlineStr">
        <is>
          <t>STOCKHOLMS LÄN</t>
        </is>
      </c>
      <c r="E107" t="inlineStr">
        <is>
          <t>VALLENTUNA</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12562-2023</t>
        </is>
      </c>
      <c r="B108" s="1" t="n">
        <v>45000</v>
      </c>
      <c r="C108" s="1" t="n">
        <v>46041</v>
      </c>
      <c r="D108" t="inlineStr">
        <is>
          <t>STOCKHOLMS LÄN</t>
        </is>
      </c>
      <c r="E108" t="inlineStr">
        <is>
          <t>VALLENTUNA</t>
        </is>
      </c>
      <c r="G108" t="n">
        <v>2.1</v>
      </c>
      <c r="H108" t="n">
        <v>0</v>
      </c>
      <c r="I108" t="n">
        <v>0</v>
      </c>
      <c r="J108" t="n">
        <v>0</v>
      </c>
      <c r="K108" t="n">
        <v>0</v>
      </c>
      <c r="L108" t="n">
        <v>0</v>
      </c>
      <c r="M108" t="n">
        <v>0</v>
      </c>
      <c r="N108" t="n">
        <v>0</v>
      </c>
      <c r="O108" t="n">
        <v>0</v>
      </c>
      <c r="P108" t="n">
        <v>0</v>
      </c>
      <c r="Q108" t="n">
        <v>0</v>
      </c>
      <c r="R108" s="2" t="inlineStr"/>
    </row>
    <row r="109" ht="15" customHeight="1">
      <c r="A109" t="inlineStr">
        <is>
          <t>A 12585-2023</t>
        </is>
      </c>
      <c r="B109" s="1" t="n">
        <v>45000.41373842592</v>
      </c>
      <c r="C109" s="1" t="n">
        <v>46041</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8787-2024</t>
        </is>
      </c>
      <c r="B110" s="1" t="n">
        <v>45356</v>
      </c>
      <c r="C110" s="1" t="n">
        <v>46041</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6593-2021</t>
        </is>
      </c>
      <c r="B111" s="1" t="n">
        <v>44236</v>
      </c>
      <c r="C111" s="1" t="n">
        <v>46041</v>
      </c>
      <c r="D111" t="inlineStr">
        <is>
          <t>STOCKHOLMS LÄN</t>
        </is>
      </c>
      <c r="E111" t="inlineStr">
        <is>
          <t>VALLENTUNA</t>
        </is>
      </c>
      <c r="G111" t="n">
        <v>2.3</v>
      </c>
      <c r="H111" t="n">
        <v>0</v>
      </c>
      <c r="I111" t="n">
        <v>0</v>
      </c>
      <c r="J111" t="n">
        <v>0</v>
      </c>
      <c r="K111" t="n">
        <v>0</v>
      </c>
      <c r="L111" t="n">
        <v>0</v>
      </c>
      <c r="M111" t="n">
        <v>0</v>
      </c>
      <c r="N111" t="n">
        <v>0</v>
      </c>
      <c r="O111" t="n">
        <v>0</v>
      </c>
      <c r="P111" t="n">
        <v>0</v>
      </c>
      <c r="Q111" t="n">
        <v>0</v>
      </c>
      <c r="R111" s="2" t="inlineStr"/>
    </row>
    <row r="112" ht="15" customHeight="1">
      <c r="A112" t="inlineStr">
        <is>
          <t>A 24068-2024</t>
        </is>
      </c>
      <c r="B112" s="1" t="n">
        <v>45456</v>
      </c>
      <c r="C112" s="1" t="n">
        <v>46041</v>
      </c>
      <c r="D112" t="inlineStr">
        <is>
          <t>STOCKHOLMS LÄN</t>
        </is>
      </c>
      <c r="E112" t="inlineStr">
        <is>
          <t>VALLENTUNA</t>
        </is>
      </c>
      <c r="G112" t="n">
        <v>7.4</v>
      </c>
      <c r="H112" t="n">
        <v>0</v>
      </c>
      <c r="I112" t="n">
        <v>0</v>
      </c>
      <c r="J112" t="n">
        <v>0</v>
      </c>
      <c r="K112" t="n">
        <v>0</v>
      </c>
      <c r="L112" t="n">
        <v>0</v>
      </c>
      <c r="M112" t="n">
        <v>0</v>
      </c>
      <c r="N112" t="n">
        <v>0</v>
      </c>
      <c r="O112" t="n">
        <v>0</v>
      </c>
      <c r="P112" t="n">
        <v>0</v>
      </c>
      <c r="Q112" t="n">
        <v>0</v>
      </c>
      <c r="R112" s="2" t="inlineStr"/>
    </row>
    <row r="113" ht="15" customHeight="1">
      <c r="A113" t="inlineStr">
        <is>
          <t>A 34441-2023</t>
        </is>
      </c>
      <c r="B113" s="1" t="n">
        <v>45139</v>
      </c>
      <c r="C113" s="1" t="n">
        <v>46041</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34445-2023</t>
        </is>
      </c>
      <c r="B114" s="1" t="n">
        <v>45139</v>
      </c>
      <c r="C114" s="1" t="n">
        <v>46041</v>
      </c>
      <c r="D114" t="inlineStr">
        <is>
          <t>STOCKHOLMS LÄN</t>
        </is>
      </c>
      <c r="E114" t="inlineStr">
        <is>
          <t>VALLENTUNA</t>
        </is>
      </c>
      <c r="G114" t="n">
        <v>0.9</v>
      </c>
      <c r="H114" t="n">
        <v>0</v>
      </c>
      <c r="I114" t="n">
        <v>0</v>
      </c>
      <c r="J114" t="n">
        <v>0</v>
      </c>
      <c r="K114" t="n">
        <v>0</v>
      </c>
      <c r="L114" t="n">
        <v>0</v>
      </c>
      <c r="M114" t="n">
        <v>0</v>
      </c>
      <c r="N114" t="n">
        <v>0</v>
      </c>
      <c r="O114" t="n">
        <v>0</v>
      </c>
      <c r="P114" t="n">
        <v>0</v>
      </c>
      <c r="Q114" t="n">
        <v>0</v>
      </c>
      <c r="R114" s="2" t="inlineStr"/>
    </row>
    <row r="115" ht="15" customHeight="1">
      <c r="A115" t="inlineStr">
        <is>
          <t>A 23986-2023</t>
        </is>
      </c>
      <c r="B115" s="1" t="n">
        <v>45078</v>
      </c>
      <c r="C115" s="1" t="n">
        <v>46041</v>
      </c>
      <c r="D115" t="inlineStr">
        <is>
          <t>STOCKHOLMS LÄN</t>
        </is>
      </c>
      <c r="E115" t="inlineStr">
        <is>
          <t>VALLENTUNA</t>
        </is>
      </c>
      <c r="F115" t="inlineStr">
        <is>
          <t>Kyrkan</t>
        </is>
      </c>
      <c r="G115" t="n">
        <v>5.7</v>
      </c>
      <c r="H115" t="n">
        <v>0</v>
      </c>
      <c r="I115" t="n">
        <v>0</v>
      </c>
      <c r="J115" t="n">
        <v>0</v>
      </c>
      <c r="K115" t="n">
        <v>0</v>
      </c>
      <c r="L115" t="n">
        <v>0</v>
      </c>
      <c r="M115" t="n">
        <v>0</v>
      </c>
      <c r="N115" t="n">
        <v>0</v>
      </c>
      <c r="O115" t="n">
        <v>0</v>
      </c>
      <c r="P115" t="n">
        <v>0</v>
      </c>
      <c r="Q115" t="n">
        <v>0</v>
      </c>
      <c r="R115" s="2" t="inlineStr"/>
    </row>
    <row r="116" ht="15" customHeight="1">
      <c r="A116" t="inlineStr">
        <is>
          <t>A 15300-2023</t>
        </is>
      </c>
      <c r="B116" s="1" t="n">
        <v>45019</v>
      </c>
      <c r="C116" s="1" t="n">
        <v>46041</v>
      </c>
      <c r="D116" t="inlineStr">
        <is>
          <t>STOCKHOLMS LÄN</t>
        </is>
      </c>
      <c r="E116" t="inlineStr">
        <is>
          <t>VALLENTUNA</t>
        </is>
      </c>
      <c r="G116" t="n">
        <v>1.7</v>
      </c>
      <c r="H116" t="n">
        <v>0</v>
      </c>
      <c r="I116" t="n">
        <v>0</v>
      </c>
      <c r="J116" t="n">
        <v>0</v>
      </c>
      <c r="K116" t="n">
        <v>0</v>
      </c>
      <c r="L116" t="n">
        <v>0</v>
      </c>
      <c r="M116" t="n">
        <v>0</v>
      </c>
      <c r="N116" t="n">
        <v>0</v>
      </c>
      <c r="O116" t="n">
        <v>0</v>
      </c>
      <c r="P116" t="n">
        <v>0</v>
      </c>
      <c r="Q116" t="n">
        <v>0</v>
      </c>
      <c r="R116" s="2" t="inlineStr"/>
    </row>
    <row r="117" ht="15" customHeight="1">
      <c r="A117" t="inlineStr">
        <is>
          <t>A 61442-2024</t>
        </is>
      </c>
      <c r="B117" s="1" t="n">
        <v>45646.47003472222</v>
      </c>
      <c r="C117" s="1" t="n">
        <v>46041</v>
      </c>
      <c r="D117" t="inlineStr">
        <is>
          <t>STOCKHOLMS LÄN</t>
        </is>
      </c>
      <c r="E117" t="inlineStr">
        <is>
          <t>VALLENTUNA</t>
        </is>
      </c>
      <c r="G117" t="n">
        <v>4.6</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46041</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13836-2022</t>
        </is>
      </c>
      <c r="B119" s="1" t="n">
        <v>44649</v>
      </c>
      <c r="C119" s="1" t="n">
        <v>46041</v>
      </c>
      <c r="D119" t="inlineStr">
        <is>
          <t>STOCKHOLMS LÄN</t>
        </is>
      </c>
      <c r="E119" t="inlineStr">
        <is>
          <t>VALLENTUNA</t>
        </is>
      </c>
      <c r="G119" t="n">
        <v>3.5</v>
      </c>
      <c r="H119" t="n">
        <v>0</v>
      </c>
      <c r="I119" t="n">
        <v>0</v>
      </c>
      <c r="J119" t="n">
        <v>0</v>
      </c>
      <c r="K119" t="n">
        <v>0</v>
      </c>
      <c r="L119" t="n">
        <v>0</v>
      </c>
      <c r="M119" t="n">
        <v>0</v>
      </c>
      <c r="N119" t="n">
        <v>0</v>
      </c>
      <c r="O119" t="n">
        <v>0</v>
      </c>
      <c r="P119" t="n">
        <v>0</v>
      </c>
      <c r="Q119" t="n">
        <v>0</v>
      </c>
      <c r="R119" s="2" t="inlineStr"/>
    </row>
    <row r="120" ht="15" customHeight="1">
      <c r="A120" t="inlineStr">
        <is>
          <t>A 29704-2023</t>
        </is>
      </c>
      <c r="B120" s="1" t="n">
        <v>45107</v>
      </c>
      <c r="C120" s="1" t="n">
        <v>46041</v>
      </c>
      <c r="D120" t="inlineStr">
        <is>
          <t>STOCKHOLMS LÄN</t>
        </is>
      </c>
      <c r="E120" t="inlineStr">
        <is>
          <t>VALLENTUNA</t>
        </is>
      </c>
      <c r="G120" t="n">
        <v>3.7</v>
      </c>
      <c r="H120" t="n">
        <v>0</v>
      </c>
      <c r="I120" t="n">
        <v>0</v>
      </c>
      <c r="J120" t="n">
        <v>0</v>
      </c>
      <c r="K120" t="n">
        <v>0</v>
      </c>
      <c r="L120" t="n">
        <v>0</v>
      </c>
      <c r="M120" t="n">
        <v>0</v>
      </c>
      <c r="N120" t="n">
        <v>0</v>
      </c>
      <c r="O120" t="n">
        <v>0</v>
      </c>
      <c r="P120" t="n">
        <v>0</v>
      </c>
      <c r="Q120" t="n">
        <v>0</v>
      </c>
      <c r="R120" s="2" t="inlineStr"/>
    </row>
    <row r="121" ht="15" customHeight="1">
      <c r="A121" t="inlineStr">
        <is>
          <t>A 21765-2023</t>
        </is>
      </c>
      <c r="B121" s="1" t="n">
        <v>45064</v>
      </c>
      <c r="C121" s="1" t="n">
        <v>46041</v>
      </c>
      <c r="D121" t="inlineStr">
        <is>
          <t>STOCKHOLMS LÄN</t>
        </is>
      </c>
      <c r="E121" t="inlineStr">
        <is>
          <t>VALLENTUNA</t>
        </is>
      </c>
      <c r="G121" t="n">
        <v>1.1</v>
      </c>
      <c r="H121" t="n">
        <v>0</v>
      </c>
      <c r="I121" t="n">
        <v>0</v>
      </c>
      <c r="J121" t="n">
        <v>0</v>
      </c>
      <c r="K121" t="n">
        <v>0</v>
      </c>
      <c r="L121" t="n">
        <v>0</v>
      </c>
      <c r="M121" t="n">
        <v>0</v>
      </c>
      <c r="N121" t="n">
        <v>0</v>
      </c>
      <c r="O121" t="n">
        <v>0</v>
      </c>
      <c r="P121" t="n">
        <v>0</v>
      </c>
      <c r="Q121" t="n">
        <v>0</v>
      </c>
      <c r="R121" s="2" t="inlineStr"/>
    </row>
    <row r="122" ht="15" customHeight="1">
      <c r="A122" t="inlineStr">
        <is>
          <t>A 45496-2023</t>
        </is>
      </c>
      <c r="B122" s="1" t="n">
        <v>45194</v>
      </c>
      <c r="C122" s="1" t="n">
        <v>46041</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45499-2023</t>
        </is>
      </c>
      <c r="B123" s="1" t="n">
        <v>45194</v>
      </c>
      <c r="C123" s="1" t="n">
        <v>46041</v>
      </c>
      <c r="D123" t="inlineStr">
        <is>
          <t>STOCKHOLMS LÄN</t>
        </is>
      </c>
      <c r="E123" t="inlineStr">
        <is>
          <t>VALLENTUNA</t>
        </is>
      </c>
      <c r="G123" t="n">
        <v>2.5</v>
      </c>
      <c r="H123" t="n">
        <v>0</v>
      </c>
      <c r="I123" t="n">
        <v>0</v>
      </c>
      <c r="J123" t="n">
        <v>0</v>
      </c>
      <c r="K123" t="n">
        <v>0</v>
      </c>
      <c r="L123" t="n">
        <v>0</v>
      </c>
      <c r="M123" t="n">
        <v>0</v>
      </c>
      <c r="N123" t="n">
        <v>0</v>
      </c>
      <c r="O123" t="n">
        <v>0</v>
      </c>
      <c r="P123" t="n">
        <v>0</v>
      </c>
      <c r="Q123" t="n">
        <v>0</v>
      </c>
      <c r="R123" s="2" t="inlineStr"/>
    </row>
    <row r="124" ht="15" customHeight="1">
      <c r="A124" t="inlineStr">
        <is>
          <t>A 14782-2024</t>
        </is>
      </c>
      <c r="B124" s="1" t="n">
        <v>45397.74266203704</v>
      </c>
      <c r="C124" s="1" t="n">
        <v>46041</v>
      </c>
      <c r="D124" t="inlineStr">
        <is>
          <t>STOCKHOLMS LÄN</t>
        </is>
      </c>
      <c r="E124" t="inlineStr">
        <is>
          <t>VALLENTUNA</t>
        </is>
      </c>
      <c r="G124" t="n">
        <v>3.1</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46041</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14775-2024</t>
        </is>
      </c>
      <c r="B126" s="1" t="n">
        <v>45397.73675925926</v>
      </c>
      <c r="C126" s="1" t="n">
        <v>46041</v>
      </c>
      <c r="D126" t="inlineStr">
        <is>
          <t>STOCKHOLMS LÄN</t>
        </is>
      </c>
      <c r="E126" t="inlineStr">
        <is>
          <t>VALLENTUNA</t>
        </is>
      </c>
      <c r="G126" t="n">
        <v>1.7</v>
      </c>
      <c r="H126" t="n">
        <v>0</v>
      </c>
      <c r="I126" t="n">
        <v>0</v>
      </c>
      <c r="J126" t="n">
        <v>0</v>
      </c>
      <c r="K126" t="n">
        <v>0</v>
      </c>
      <c r="L126" t="n">
        <v>0</v>
      </c>
      <c r="M126" t="n">
        <v>0</v>
      </c>
      <c r="N126" t="n">
        <v>0</v>
      </c>
      <c r="O126" t="n">
        <v>0</v>
      </c>
      <c r="P126" t="n">
        <v>0</v>
      </c>
      <c r="Q126" t="n">
        <v>0</v>
      </c>
      <c r="R126" s="2" t="inlineStr"/>
    </row>
    <row r="127" ht="15" customHeight="1">
      <c r="A127" t="inlineStr">
        <is>
          <t>A 19503-2023</t>
        </is>
      </c>
      <c r="B127" s="1" t="n">
        <v>45050.47333333334</v>
      </c>
      <c r="C127" s="1" t="n">
        <v>46041</v>
      </c>
      <c r="D127" t="inlineStr">
        <is>
          <t>STOCKHOLMS LÄN</t>
        </is>
      </c>
      <c r="E127" t="inlineStr">
        <is>
          <t>VALLENTUNA</t>
        </is>
      </c>
      <c r="G127" t="n">
        <v>0.7</v>
      </c>
      <c r="H127" t="n">
        <v>0</v>
      </c>
      <c r="I127" t="n">
        <v>0</v>
      </c>
      <c r="J127" t="n">
        <v>0</v>
      </c>
      <c r="K127" t="n">
        <v>0</v>
      </c>
      <c r="L127" t="n">
        <v>0</v>
      </c>
      <c r="M127" t="n">
        <v>0</v>
      </c>
      <c r="N127" t="n">
        <v>0</v>
      </c>
      <c r="O127" t="n">
        <v>0</v>
      </c>
      <c r="P127" t="n">
        <v>0</v>
      </c>
      <c r="Q127" t="n">
        <v>0</v>
      </c>
      <c r="R127" s="2" t="inlineStr"/>
    </row>
    <row r="128" ht="15" customHeight="1">
      <c r="A128" t="inlineStr">
        <is>
          <t>A 735-2024</t>
        </is>
      </c>
      <c r="B128" s="1" t="n">
        <v>45300</v>
      </c>
      <c r="C128" s="1" t="n">
        <v>46041</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17411-2023</t>
        </is>
      </c>
      <c r="B129" s="1" t="n">
        <v>45035.82512731481</v>
      </c>
      <c r="C129" s="1" t="n">
        <v>46041</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15268-2023</t>
        </is>
      </c>
      <c r="B130" s="1" t="n">
        <v>45019.41045138889</v>
      </c>
      <c r="C130" s="1" t="n">
        <v>46041</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38102-2024</t>
        </is>
      </c>
      <c r="B131" s="1" t="n">
        <v>45545.36349537037</v>
      </c>
      <c r="C131" s="1" t="n">
        <v>46041</v>
      </c>
      <c r="D131" t="inlineStr">
        <is>
          <t>STOCKHOLMS LÄN</t>
        </is>
      </c>
      <c r="E131" t="inlineStr">
        <is>
          <t>VALLENTUNA</t>
        </is>
      </c>
      <c r="G131" t="n">
        <v>3.2</v>
      </c>
      <c r="H131" t="n">
        <v>0</v>
      </c>
      <c r="I131" t="n">
        <v>0</v>
      </c>
      <c r="J131" t="n">
        <v>0</v>
      </c>
      <c r="K131" t="n">
        <v>0</v>
      </c>
      <c r="L131" t="n">
        <v>0</v>
      </c>
      <c r="M131" t="n">
        <v>0</v>
      </c>
      <c r="N131" t="n">
        <v>0</v>
      </c>
      <c r="O131" t="n">
        <v>0</v>
      </c>
      <c r="P131" t="n">
        <v>0</v>
      </c>
      <c r="Q131" t="n">
        <v>0</v>
      </c>
      <c r="R131" s="2" t="inlineStr"/>
    </row>
    <row r="132" ht="15" customHeight="1">
      <c r="A132" t="inlineStr">
        <is>
          <t>A 17340-2025</t>
        </is>
      </c>
      <c r="B132" s="1" t="n">
        <v>45756</v>
      </c>
      <c r="C132" s="1" t="n">
        <v>46041</v>
      </c>
      <c r="D132" t="inlineStr">
        <is>
          <t>STOCKHOLMS LÄN</t>
        </is>
      </c>
      <c r="E132" t="inlineStr">
        <is>
          <t>VALLENTUNA</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20791-2025</t>
        </is>
      </c>
      <c r="B133" s="1" t="n">
        <v>45776.62738425926</v>
      </c>
      <c r="C133" s="1" t="n">
        <v>46041</v>
      </c>
      <c r="D133" t="inlineStr">
        <is>
          <t>STOCKHOLMS LÄN</t>
        </is>
      </c>
      <c r="E133" t="inlineStr">
        <is>
          <t>VALLENTUNA</t>
        </is>
      </c>
      <c r="G133" t="n">
        <v>1.5</v>
      </c>
      <c r="H133" t="n">
        <v>0</v>
      </c>
      <c r="I133" t="n">
        <v>0</v>
      </c>
      <c r="J133" t="n">
        <v>0</v>
      </c>
      <c r="K133" t="n">
        <v>0</v>
      </c>
      <c r="L133" t="n">
        <v>0</v>
      </c>
      <c r="M133" t="n">
        <v>0</v>
      </c>
      <c r="N133" t="n">
        <v>0</v>
      </c>
      <c r="O133" t="n">
        <v>0</v>
      </c>
      <c r="P133" t="n">
        <v>0</v>
      </c>
      <c r="Q133" t="n">
        <v>0</v>
      </c>
      <c r="R133" s="2" t="inlineStr"/>
    </row>
    <row r="134" ht="15" customHeight="1">
      <c r="A134" t="inlineStr">
        <is>
          <t>A 10073-2024</t>
        </is>
      </c>
      <c r="B134" s="1" t="n">
        <v>45364.40821759259</v>
      </c>
      <c r="C134" s="1" t="n">
        <v>46041</v>
      </c>
      <c r="D134" t="inlineStr">
        <is>
          <t>STOCKHOLMS LÄN</t>
        </is>
      </c>
      <c r="E134" t="inlineStr">
        <is>
          <t>VALLENTUNA</t>
        </is>
      </c>
      <c r="G134" t="n">
        <v>1.1</v>
      </c>
      <c r="H134" t="n">
        <v>0</v>
      </c>
      <c r="I134" t="n">
        <v>0</v>
      </c>
      <c r="J134" t="n">
        <v>0</v>
      </c>
      <c r="K134" t="n">
        <v>0</v>
      </c>
      <c r="L134" t="n">
        <v>0</v>
      </c>
      <c r="M134" t="n">
        <v>0</v>
      </c>
      <c r="N134" t="n">
        <v>0</v>
      </c>
      <c r="O134" t="n">
        <v>0</v>
      </c>
      <c r="P134" t="n">
        <v>0</v>
      </c>
      <c r="Q134" t="n">
        <v>0</v>
      </c>
      <c r="R134" s="2" t="inlineStr"/>
    </row>
    <row r="135" ht="15" customHeight="1">
      <c r="A135" t="inlineStr">
        <is>
          <t>A 34452-2021</t>
        </is>
      </c>
      <c r="B135" s="1" t="n">
        <v>44381</v>
      </c>
      <c r="C135" s="1" t="n">
        <v>46041</v>
      </c>
      <c r="D135" t="inlineStr">
        <is>
          <t>STOCKHOLMS LÄN</t>
        </is>
      </c>
      <c r="E135" t="inlineStr">
        <is>
          <t>VALLENTUNA</t>
        </is>
      </c>
      <c r="G135" t="n">
        <v>14.7</v>
      </c>
      <c r="H135" t="n">
        <v>0</v>
      </c>
      <c r="I135" t="n">
        <v>0</v>
      </c>
      <c r="J135" t="n">
        <v>0</v>
      </c>
      <c r="K135" t="n">
        <v>0</v>
      </c>
      <c r="L135" t="n">
        <v>0</v>
      </c>
      <c r="M135" t="n">
        <v>0</v>
      </c>
      <c r="N135" t="n">
        <v>0</v>
      </c>
      <c r="O135" t="n">
        <v>0</v>
      </c>
      <c r="P135" t="n">
        <v>0</v>
      </c>
      <c r="Q135" t="n">
        <v>0</v>
      </c>
      <c r="R135" s="2" t="inlineStr"/>
    </row>
    <row r="136" ht="15" customHeight="1">
      <c r="A136" t="inlineStr">
        <is>
          <t>A 12621-2024</t>
        </is>
      </c>
      <c r="B136" s="1" t="n">
        <v>45383.6325</v>
      </c>
      <c r="C136" s="1" t="n">
        <v>46041</v>
      </c>
      <c r="D136" t="inlineStr">
        <is>
          <t>STOCKHOLMS LÄN</t>
        </is>
      </c>
      <c r="E136" t="inlineStr">
        <is>
          <t>VALLENTUNA</t>
        </is>
      </c>
      <c r="G136" t="n">
        <v>4.4</v>
      </c>
      <c r="H136" t="n">
        <v>0</v>
      </c>
      <c r="I136" t="n">
        <v>0</v>
      </c>
      <c r="J136" t="n">
        <v>0</v>
      </c>
      <c r="K136" t="n">
        <v>0</v>
      </c>
      <c r="L136" t="n">
        <v>0</v>
      </c>
      <c r="M136" t="n">
        <v>0</v>
      </c>
      <c r="N136" t="n">
        <v>0</v>
      </c>
      <c r="O136" t="n">
        <v>0</v>
      </c>
      <c r="P136" t="n">
        <v>0</v>
      </c>
      <c r="Q136" t="n">
        <v>0</v>
      </c>
      <c r="R136" s="2" t="inlineStr"/>
    </row>
    <row r="137" ht="15" customHeight="1">
      <c r="A137" t="inlineStr">
        <is>
          <t>A 46381-2023</t>
        </is>
      </c>
      <c r="B137" s="1" t="n">
        <v>45193</v>
      </c>
      <c r="C137" s="1" t="n">
        <v>46041</v>
      </c>
      <c r="D137" t="inlineStr">
        <is>
          <t>STOCKHOLMS LÄN</t>
        </is>
      </c>
      <c r="E137" t="inlineStr">
        <is>
          <t>VALLENTUNA</t>
        </is>
      </c>
      <c r="G137" t="n">
        <v>2.9</v>
      </c>
      <c r="H137" t="n">
        <v>0</v>
      </c>
      <c r="I137" t="n">
        <v>0</v>
      </c>
      <c r="J137" t="n">
        <v>0</v>
      </c>
      <c r="K137" t="n">
        <v>0</v>
      </c>
      <c r="L137" t="n">
        <v>0</v>
      </c>
      <c r="M137" t="n">
        <v>0</v>
      </c>
      <c r="N137" t="n">
        <v>0</v>
      </c>
      <c r="O137" t="n">
        <v>0</v>
      </c>
      <c r="P137" t="n">
        <v>0</v>
      </c>
      <c r="Q137" t="n">
        <v>0</v>
      </c>
      <c r="R137" s="2" t="inlineStr"/>
    </row>
    <row r="138" ht="15" customHeight="1">
      <c r="A138" t="inlineStr">
        <is>
          <t>A 61027-2023</t>
        </is>
      </c>
      <c r="B138" s="1" t="n">
        <v>45261</v>
      </c>
      <c r="C138" s="1" t="n">
        <v>46041</v>
      </c>
      <c r="D138" t="inlineStr">
        <is>
          <t>STOCKHOLMS LÄN</t>
        </is>
      </c>
      <c r="E138" t="inlineStr">
        <is>
          <t>VALLENTUNA</t>
        </is>
      </c>
      <c r="G138" t="n">
        <v>7.1</v>
      </c>
      <c r="H138" t="n">
        <v>0</v>
      </c>
      <c r="I138" t="n">
        <v>0</v>
      </c>
      <c r="J138" t="n">
        <v>0</v>
      </c>
      <c r="K138" t="n">
        <v>0</v>
      </c>
      <c r="L138" t="n">
        <v>0</v>
      </c>
      <c r="M138" t="n">
        <v>0</v>
      </c>
      <c r="N138" t="n">
        <v>0</v>
      </c>
      <c r="O138" t="n">
        <v>0</v>
      </c>
      <c r="P138" t="n">
        <v>0</v>
      </c>
      <c r="Q138" t="n">
        <v>0</v>
      </c>
      <c r="R138" s="2" t="inlineStr"/>
    </row>
    <row r="139" ht="15" customHeight="1">
      <c r="A139" t="inlineStr">
        <is>
          <t>A 23009-2024</t>
        </is>
      </c>
      <c r="B139" s="1" t="n">
        <v>45450.34506944445</v>
      </c>
      <c r="C139" s="1" t="n">
        <v>46041</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23923-2025</t>
        </is>
      </c>
      <c r="B140" s="1" t="n">
        <v>45795.39648148148</v>
      </c>
      <c r="C140" s="1" t="n">
        <v>46041</v>
      </c>
      <c r="D140" t="inlineStr">
        <is>
          <t>STOCKHOLMS LÄN</t>
        </is>
      </c>
      <c r="E140" t="inlineStr">
        <is>
          <t>VALLENTUNA</t>
        </is>
      </c>
      <c r="G140" t="n">
        <v>2.3</v>
      </c>
      <c r="H140" t="n">
        <v>0</v>
      </c>
      <c r="I140" t="n">
        <v>0</v>
      </c>
      <c r="J140" t="n">
        <v>0</v>
      </c>
      <c r="K140" t="n">
        <v>0</v>
      </c>
      <c r="L140" t="n">
        <v>0</v>
      </c>
      <c r="M140" t="n">
        <v>0</v>
      </c>
      <c r="N140" t="n">
        <v>0</v>
      </c>
      <c r="O140" t="n">
        <v>0</v>
      </c>
      <c r="P140" t="n">
        <v>0</v>
      </c>
      <c r="Q140" t="n">
        <v>0</v>
      </c>
      <c r="R140" s="2" t="inlineStr"/>
    </row>
    <row r="141" ht="15" customHeight="1">
      <c r="A141" t="inlineStr">
        <is>
          <t>A 25984-2025</t>
        </is>
      </c>
      <c r="B141" s="1" t="n">
        <v>45804.64016203704</v>
      </c>
      <c r="C141" s="1" t="n">
        <v>46041</v>
      </c>
      <c r="D141" t="inlineStr">
        <is>
          <t>STOCKHOLMS LÄN</t>
        </is>
      </c>
      <c r="E141" t="inlineStr">
        <is>
          <t>VALLENTUNA</t>
        </is>
      </c>
      <c r="G141" t="n">
        <v>2.5</v>
      </c>
      <c r="H141" t="n">
        <v>0</v>
      </c>
      <c r="I141" t="n">
        <v>0</v>
      </c>
      <c r="J141" t="n">
        <v>0</v>
      </c>
      <c r="K141" t="n">
        <v>0</v>
      </c>
      <c r="L141" t="n">
        <v>0</v>
      </c>
      <c r="M141" t="n">
        <v>0</v>
      </c>
      <c r="N141" t="n">
        <v>0</v>
      </c>
      <c r="O141" t="n">
        <v>0</v>
      </c>
      <c r="P141" t="n">
        <v>0</v>
      </c>
      <c r="Q141" t="n">
        <v>0</v>
      </c>
      <c r="R141" s="2" t="inlineStr"/>
    </row>
    <row r="142" ht="15" customHeight="1">
      <c r="A142" t="inlineStr">
        <is>
          <t>A 30902-2025</t>
        </is>
      </c>
      <c r="B142" s="1" t="n">
        <v>45832.36104166666</v>
      </c>
      <c r="C142" s="1" t="n">
        <v>46041</v>
      </c>
      <c r="D142" t="inlineStr">
        <is>
          <t>STOCKHOLMS LÄN</t>
        </is>
      </c>
      <c r="E142" t="inlineStr">
        <is>
          <t>VALLENTUNA</t>
        </is>
      </c>
      <c r="G142" t="n">
        <v>8.199999999999999</v>
      </c>
      <c r="H142" t="n">
        <v>0</v>
      </c>
      <c r="I142" t="n">
        <v>0</v>
      </c>
      <c r="J142" t="n">
        <v>0</v>
      </c>
      <c r="K142" t="n">
        <v>0</v>
      </c>
      <c r="L142" t="n">
        <v>0</v>
      </c>
      <c r="M142" t="n">
        <v>0</v>
      </c>
      <c r="N142" t="n">
        <v>0</v>
      </c>
      <c r="O142" t="n">
        <v>0</v>
      </c>
      <c r="P142" t="n">
        <v>0</v>
      </c>
      <c r="Q142" t="n">
        <v>0</v>
      </c>
      <c r="R142" s="2" t="inlineStr"/>
    </row>
    <row r="143">
      <c r="A143" t="inlineStr">
        <is>
          <t>A 28431-2025</t>
        </is>
      </c>
      <c r="B143" s="1" t="n">
        <v>45819.38072916667</v>
      </c>
      <c r="C143" s="1" t="n">
        <v>46041</v>
      </c>
      <c r="D143" t="inlineStr">
        <is>
          <t>STOCKHOLMS LÄN</t>
        </is>
      </c>
      <c r="E143" t="inlineStr">
        <is>
          <t>VALLENTUNA</t>
        </is>
      </c>
      <c r="G143" t="n">
        <v>1.5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2026-01-19T11:01:42Z</dcterms:created>
  <dcterms:modified xmlns:dcterms="http://purl.org/dc/terms/" xmlns:xsi="http://www.w3.org/2001/XMLSchema-instance" xsi:type="dcterms:W3CDTF">2026-01-19T11:01:42Z</dcterms:modified>
</cp:coreProperties>
</file>