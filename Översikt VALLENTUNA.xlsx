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45891</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45891</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45891</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45891</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45891</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45891</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45891</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45891</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45891</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45891</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45891</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45891</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45891</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45891</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45891</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45891</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45891</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45891</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21439-2025</t>
        </is>
      </c>
      <c r="B26" s="1" t="n">
        <v>45782.52939814814</v>
      </c>
      <c r="C26" s="1" t="n">
        <v>45891</v>
      </c>
      <c r="D26" t="inlineStr">
        <is>
          <t>STOCKHOLMS LÄN</t>
        </is>
      </c>
      <c r="E26" t="inlineStr">
        <is>
          <t>VALLENTUNA</t>
        </is>
      </c>
      <c r="G26" t="n">
        <v>2.1</v>
      </c>
      <c r="H26" t="n">
        <v>0</v>
      </c>
      <c r="I26" t="n">
        <v>1</v>
      </c>
      <c r="J26" t="n">
        <v>0</v>
      </c>
      <c r="K26" t="n">
        <v>0</v>
      </c>
      <c r="L26" t="n">
        <v>0</v>
      </c>
      <c r="M26" t="n">
        <v>0</v>
      </c>
      <c r="N26" t="n">
        <v>0</v>
      </c>
      <c r="O26" t="n">
        <v>0</v>
      </c>
      <c r="P26" t="n">
        <v>0</v>
      </c>
      <c r="Q26" t="n">
        <v>1</v>
      </c>
      <c r="R26" s="2" t="inlineStr">
        <is>
          <t>Mindre märgborre</t>
        </is>
      </c>
      <c r="S26">
        <f>HYPERLINK("https://klasma.github.io/Logging_0115/artfynd/A 21439-2025 artfynd.xlsx", "A 21439-2025")</f>
        <v/>
      </c>
      <c r="T26">
        <f>HYPERLINK("https://klasma.github.io/Logging_0115/kartor/A 21439-2025 karta.png", "A 21439-2025")</f>
        <v/>
      </c>
      <c r="V26">
        <f>HYPERLINK("https://klasma.github.io/Logging_0115/klagomål/A 21439-2025 FSC-klagomål.docx", "A 21439-2025")</f>
        <v/>
      </c>
      <c r="W26">
        <f>HYPERLINK("https://klasma.github.io/Logging_0115/klagomålsmail/A 21439-2025 FSC-klagomål mail.docx", "A 21439-2025")</f>
        <v/>
      </c>
      <c r="X26">
        <f>HYPERLINK("https://klasma.github.io/Logging_0115/tillsyn/A 21439-2025 tillsynsbegäran.docx", "A 21439-2025")</f>
        <v/>
      </c>
      <c r="Y26">
        <f>HYPERLINK("https://klasma.github.io/Logging_0115/tillsynsmail/A 21439-2025 tillsynsbegäran mail.docx", "A 21439-2025")</f>
        <v/>
      </c>
    </row>
    <row r="27" ht="15" customHeight="1">
      <c r="A27" t="inlineStr">
        <is>
          <t>A 21-2022</t>
        </is>
      </c>
      <c r="B27" s="1" t="n">
        <v>44560</v>
      </c>
      <c r="C27" s="1" t="n">
        <v>45891</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22936-2025</t>
        </is>
      </c>
      <c r="B28" s="1" t="n">
        <v>45790.45738425926</v>
      </c>
      <c r="C28" s="1" t="n">
        <v>45891</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8946-2025</t>
        </is>
      </c>
      <c r="B29" s="1" t="n">
        <v>45712</v>
      </c>
      <c r="C29" s="1" t="n">
        <v>45891</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45891</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7890-2023</t>
        </is>
      </c>
      <c r="B31" s="1" t="n">
        <v>44973</v>
      </c>
      <c r="C31" s="1" t="n">
        <v>45891</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45891</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45891</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45891</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45891</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45891</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45891</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45891</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45891</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45891</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45891</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45891</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45891</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45891</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45891</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45891</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45891</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45891</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45891</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45891</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45891</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45891</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45891</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34441-2023</t>
        </is>
      </c>
      <c r="B55" s="1" t="n">
        <v>45139</v>
      </c>
      <c r="C55" s="1" t="n">
        <v>45891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34445-2023</t>
        </is>
      </c>
      <c r="B56" s="1" t="n">
        <v>45139</v>
      </c>
      <c r="C56" s="1" t="n">
        <v>45891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34460-2023</t>
        </is>
      </c>
      <c r="B57" s="1" t="n">
        <v>45139</v>
      </c>
      <c r="C57" s="1" t="n">
        <v>45891</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23986-2023</t>
        </is>
      </c>
      <c r="B58" s="1" t="n">
        <v>45078</v>
      </c>
      <c r="C58" s="1" t="n">
        <v>45891</v>
      </c>
      <c r="D58" t="inlineStr">
        <is>
          <t>STOCKHOLMS LÄN</t>
        </is>
      </c>
      <c r="E58" t="inlineStr">
        <is>
          <t>VALLENTUNA</t>
        </is>
      </c>
      <c r="F58" t="inlineStr">
        <is>
          <t>Kyrkan</t>
        </is>
      </c>
      <c r="G58" t="n">
        <v>5.7</v>
      </c>
      <c r="H58" t="n">
        <v>0</v>
      </c>
      <c r="I58" t="n">
        <v>0</v>
      </c>
      <c r="J58" t="n">
        <v>0</v>
      </c>
      <c r="K58" t="n">
        <v>0</v>
      </c>
      <c r="L58" t="n">
        <v>0</v>
      </c>
      <c r="M58" t="n">
        <v>0</v>
      </c>
      <c r="N58" t="n">
        <v>0</v>
      </c>
      <c r="O58" t="n">
        <v>0</v>
      </c>
      <c r="P58" t="n">
        <v>0</v>
      </c>
      <c r="Q58" t="n">
        <v>0</v>
      </c>
      <c r="R58" s="2" t="inlineStr"/>
    </row>
    <row r="59" ht="15" customHeight="1">
      <c r="A59" t="inlineStr">
        <is>
          <t>A 15300-2023</t>
        </is>
      </c>
      <c r="B59" s="1" t="n">
        <v>45019</v>
      </c>
      <c r="C59" s="1" t="n">
        <v>45891</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21445-2023</t>
        </is>
      </c>
      <c r="B60" s="1" t="n">
        <v>45063</v>
      </c>
      <c r="C60" s="1" t="n">
        <v>45891</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22683-2023</t>
        </is>
      </c>
      <c r="B61" s="1" t="n">
        <v>45071</v>
      </c>
      <c r="C61" s="1" t="n">
        <v>45891</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8077-2022</t>
        </is>
      </c>
      <c r="B62" s="1" t="n">
        <v>44609</v>
      </c>
      <c r="C62" s="1" t="n">
        <v>45891</v>
      </c>
      <c r="D62" t="inlineStr">
        <is>
          <t>STOCKHOLMS LÄN</t>
        </is>
      </c>
      <c r="E62" t="inlineStr">
        <is>
          <t>VALLENTUNA</t>
        </is>
      </c>
      <c r="G62" t="n">
        <v>1.3</v>
      </c>
      <c r="H62" t="n">
        <v>0</v>
      </c>
      <c r="I62" t="n">
        <v>0</v>
      </c>
      <c r="J62" t="n">
        <v>0</v>
      </c>
      <c r="K62" t="n">
        <v>0</v>
      </c>
      <c r="L62" t="n">
        <v>0</v>
      </c>
      <c r="M62" t="n">
        <v>0</v>
      </c>
      <c r="N62" t="n">
        <v>0</v>
      </c>
      <c r="O62" t="n">
        <v>0</v>
      </c>
      <c r="P62" t="n">
        <v>0</v>
      </c>
      <c r="Q62" t="n">
        <v>0</v>
      </c>
      <c r="R62" s="2" t="inlineStr"/>
    </row>
    <row r="63" ht="15" customHeight="1">
      <c r="A63" t="inlineStr">
        <is>
          <t>A 13836-2022</t>
        </is>
      </c>
      <c r="B63" s="1" t="n">
        <v>44649</v>
      </c>
      <c r="C63" s="1" t="n">
        <v>45891</v>
      </c>
      <c r="D63" t="inlineStr">
        <is>
          <t>STOCKHOLMS LÄN</t>
        </is>
      </c>
      <c r="E63" t="inlineStr">
        <is>
          <t>VALLENTUNA</t>
        </is>
      </c>
      <c r="G63" t="n">
        <v>3.5</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45891</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24943-2024</t>
        </is>
      </c>
      <c r="B65" s="1" t="n">
        <v>45461.62585648148</v>
      </c>
      <c r="C65" s="1" t="n">
        <v>45891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45891</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24994-2021</t>
        </is>
      </c>
      <c r="B67" s="1" t="n">
        <v>44341</v>
      </c>
      <c r="C67" s="1" t="n">
        <v>45891</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45891</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45891</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21765-2023</t>
        </is>
      </c>
      <c r="B70" s="1" t="n">
        <v>45064</v>
      </c>
      <c r="C70" s="1" t="n">
        <v>45891</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21612-2021</t>
        </is>
      </c>
      <c r="B71" s="1" t="n">
        <v>44321</v>
      </c>
      <c r="C71" s="1" t="n">
        <v>45891</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45496-2023</t>
        </is>
      </c>
      <c r="B72" s="1" t="n">
        <v>45194</v>
      </c>
      <c r="C72" s="1" t="n">
        <v>45891</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45499-2023</t>
        </is>
      </c>
      <c r="B73" s="1" t="n">
        <v>45194</v>
      </c>
      <c r="C73" s="1" t="n">
        <v>45891</v>
      </c>
      <c r="D73" t="inlineStr">
        <is>
          <t>STOCKHOLMS LÄN</t>
        </is>
      </c>
      <c r="E73" t="inlineStr">
        <is>
          <t>VALLENTUNA</t>
        </is>
      </c>
      <c r="G73" t="n">
        <v>2.5</v>
      </c>
      <c r="H73" t="n">
        <v>0</v>
      </c>
      <c r="I73" t="n">
        <v>0</v>
      </c>
      <c r="J73" t="n">
        <v>0</v>
      </c>
      <c r="K73" t="n">
        <v>0</v>
      </c>
      <c r="L73" t="n">
        <v>0</v>
      </c>
      <c r="M73" t="n">
        <v>0</v>
      </c>
      <c r="N73" t="n">
        <v>0</v>
      </c>
      <c r="O73" t="n">
        <v>0</v>
      </c>
      <c r="P73" t="n">
        <v>0</v>
      </c>
      <c r="Q73" t="n">
        <v>0</v>
      </c>
      <c r="R73" s="2" t="inlineStr"/>
    </row>
    <row r="74" ht="15" customHeight="1">
      <c r="A74" t="inlineStr">
        <is>
          <t>A 17342-2025</t>
        </is>
      </c>
      <c r="B74" s="1" t="n">
        <v>45756</v>
      </c>
      <c r="C74" s="1" t="n">
        <v>45891</v>
      </c>
      <c r="D74" t="inlineStr">
        <is>
          <t>STOCKHOLMS LÄN</t>
        </is>
      </c>
      <c r="E74" t="inlineStr">
        <is>
          <t>VALLENTUNA</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14782-2024</t>
        </is>
      </c>
      <c r="B75" s="1" t="n">
        <v>45397.74266203704</v>
      </c>
      <c r="C75" s="1" t="n">
        <v>45891</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1385-2024</t>
        </is>
      </c>
      <c r="B76" s="1" t="n">
        <v>45303</v>
      </c>
      <c r="C76" s="1" t="n">
        <v>45891</v>
      </c>
      <c r="D76" t="inlineStr">
        <is>
          <t>STOCKHOLMS LÄN</t>
        </is>
      </c>
      <c r="E76" t="inlineStr">
        <is>
          <t>VALLENTUNA</t>
        </is>
      </c>
      <c r="G76" t="n">
        <v>2.6</v>
      </c>
      <c r="H76" t="n">
        <v>0</v>
      </c>
      <c r="I76" t="n">
        <v>0</v>
      </c>
      <c r="J76" t="n">
        <v>0</v>
      </c>
      <c r="K76" t="n">
        <v>0</v>
      </c>
      <c r="L76" t="n">
        <v>0</v>
      </c>
      <c r="M76" t="n">
        <v>0</v>
      </c>
      <c r="N76" t="n">
        <v>0</v>
      </c>
      <c r="O76" t="n">
        <v>0</v>
      </c>
      <c r="P76" t="n">
        <v>0</v>
      </c>
      <c r="Q76" t="n">
        <v>0</v>
      </c>
      <c r="R76" s="2" t="inlineStr"/>
    </row>
    <row r="77" ht="15" customHeight="1">
      <c r="A77" t="inlineStr">
        <is>
          <t>A 14775-2024</t>
        </is>
      </c>
      <c r="B77" s="1" t="n">
        <v>45397.73675925926</v>
      </c>
      <c r="C77" s="1" t="n">
        <v>45891</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3078-2023</t>
        </is>
      </c>
      <c r="B78" s="1" t="n">
        <v>44946.41527777778</v>
      </c>
      <c r="C78" s="1" t="n">
        <v>45891</v>
      </c>
      <c r="D78" t="inlineStr">
        <is>
          <t>STOCKHOLMS LÄN</t>
        </is>
      </c>
      <c r="E78" t="inlineStr">
        <is>
          <t>VALLENTUNA</t>
        </is>
      </c>
      <c r="G78" t="n">
        <v>3.9</v>
      </c>
      <c r="H78" t="n">
        <v>0</v>
      </c>
      <c r="I78" t="n">
        <v>0</v>
      </c>
      <c r="J78" t="n">
        <v>0</v>
      </c>
      <c r="K78" t="n">
        <v>0</v>
      </c>
      <c r="L78" t="n">
        <v>0</v>
      </c>
      <c r="M78" t="n">
        <v>0</v>
      </c>
      <c r="N78" t="n">
        <v>0</v>
      </c>
      <c r="O78" t="n">
        <v>0</v>
      </c>
      <c r="P78" t="n">
        <v>0</v>
      </c>
      <c r="Q78" t="n">
        <v>0</v>
      </c>
      <c r="R78" s="2" t="inlineStr"/>
    </row>
    <row r="79" ht="15" customHeight="1">
      <c r="A79" t="inlineStr">
        <is>
          <t>A 14485-2024</t>
        </is>
      </c>
      <c r="B79" s="1" t="n">
        <v>45394.57304398148</v>
      </c>
      <c r="C79" s="1" t="n">
        <v>45891</v>
      </c>
      <c r="D79" t="inlineStr">
        <is>
          <t>STOCKHOLMS LÄN</t>
        </is>
      </c>
      <c r="E79" t="inlineStr">
        <is>
          <t>VALLENTUNA</t>
        </is>
      </c>
      <c r="G79" t="n">
        <v>5.1</v>
      </c>
      <c r="H79" t="n">
        <v>0</v>
      </c>
      <c r="I79" t="n">
        <v>0</v>
      </c>
      <c r="J79" t="n">
        <v>0</v>
      </c>
      <c r="K79" t="n">
        <v>0</v>
      </c>
      <c r="L79" t="n">
        <v>0</v>
      </c>
      <c r="M79" t="n">
        <v>0</v>
      </c>
      <c r="N79" t="n">
        <v>0</v>
      </c>
      <c r="O79" t="n">
        <v>0</v>
      </c>
      <c r="P79" t="n">
        <v>0</v>
      </c>
      <c r="Q79" t="n">
        <v>0</v>
      </c>
      <c r="R79" s="2" t="inlineStr"/>
    </row>
    <row r="80" ht="15" customHeight="1">
      <c r="A80" t="inlineStr">
        <is>
          <t>A 735-2024</t>
        </is>
      </c>
      <c r="B80" s="1" t="n">
        <v>45300</v>
      </c>
      <c r="C80" s="1" t="n">
        <v>45891</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17411-2023</t>
        </is>
      </c>
      <c r="B81" s="1" t="n">
        <v>45035.82512731481</v>
      </c>
      <c r="C81" s="1" t="n">
        <v>45891</v>
      </c>
      <c r="D81" t="inlineStr">
        <is>
          <t>STOCKHOLMS LÄN</t>
        </is>
      </c>
      <c r="E81" t="inlineStr">
        <is>
          <t>VALLENTUNA</t>
        </is>
      </c>
      <c r="G81" t="n">
        <v>0.7</v>
      </c>
      <c r="H81" t="n">
        <v>0</v>
      </c>
      <c r="I81" t="n">
        <v>0</v>
      </c>
      <c r="J81" t="n">
        <v>0</v>
      </c>
      <c r="K81" t="n">
        <v>0</v>
      </c>
      <c r="L81" t="n">
        <v>0</v>
      </c>
      <c r="M81" t="n">
        <v>0</v>
      </c>
      <c r="N81" t="n">
        <v>0</v>
      </c>
      <c r="O81" t="n">
        <v>0</v>
      </c>
      <c r="P81" t="n">
        <v>0</v>
      </c>
      <c r="Q81" t="n">
        <v>0</v>
      </c>
      <c r="R81" s="2" t="inlineStr"/>
    </row>
    <row r="82" ht="15" customHeight="1">
      <c r="A82" t="inlineStr">
        <is>
          <t>A 26390-2023</t>
        </is>
      </c>
      <c r="B82" s="1" t="n">
        <v>45086</v>
      </c>
      <c r="C82" s="1" t="n">
        <v>45891</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60795-2023</t>
        </is>
      </c>
      <c r="B83" s="1" t="n">
        <v>45260</v>
      </c>
      <c r="C83" s="1" t="n">
        <v>45891</v>
      </c>
      <c r="D83" t="inlineStr">
        <is>
          <t>STOCKHOLMS LÄN</t>
        </is>
      </c>
      <c r="E83" t="inlineStr">
        <is>
          <t>VALLENTUNA</t>
        </is>
      </c>
      <c r="G83" t="n">
        <v>2.2</v>
      </c>
      <c r="H83" t="n">
        <v>0</v>
      </c>
      <c r="I83" t="n">
        <v>0</v>
      </c>
      <c r="J83" t="n">
        <v>0</v>
      </c>
      <c r="K83" t="n">
        <v>0</v>
      </c>
      <c r="L83" t="n">
        <v>0</v>
      </c>
      <c r="M83" t="n">
        <v>0</v>
      </c>
      <c r="N83" t="n">
        <v>0</v>
      </c>
      <c r="O83" t="n">
        <v>0</v>
      </c>
      <c r="P83" t="n">
        <v>0</v>
      </c>
      <c r="Q83" t="n">
        <v>0</v>
      </c>
      <c r="R83" s="2" t="inlineStr"/>
    </row>
    <row r="84" ht="15" customHeight="1">
      <c r="A84" t="inlineStr">
        <is>
          <t>A 62402-2022</t>
        </is>
      </c>
      <c r="B84" s="1" t="n">
        <v>44923</v>
      </c>
      <c r="C84" s="1" t="n">
        <v>45891</v>
      </c>
      <c r="D84" t="inlineStr">
        <is>
          <t>STOCKHOLMS LÄN</t>
        </is>
      </c>
      <c r="E84" t="inlineStr">
        <is>
          <t>VALLENTUNA</t>
        </is>
      </c>
      <c r="G84" t="n">
        <v>3.8</v>
      </c>
      <c r="H84" t="n">
        <v>0</v>
      </c>
      <c r="I84" t="n">
        <v>0</v>
      </c>
      <c r="J84" t="n">
        <v>0</v>
      </c>
      <c r="K84" t="n">
        <v>0</v>
      </c>
      <c r="L84" t="n">
        <v>0</v>
      </c>
      <c r="M84" t="n">
        <v>0</v>
      </c>
      <c r="N84" t="n">
        <v>0</v>
      </c>
      <c r="O84" t="n">
        <v>0</v>
      </c>
      <c r="P84" t="n">
        <v>0</v>
      </c>
      <c r="Q84" t="n">
        <v>0</v>
      </c>
      <c r="R84" s="2" t="inlineStr"/>
    </row>
    <row r="85" ht="15" customHeight="1">
      <c r="A85" t="inlineStr">
        <is>
          <t>A 14480-2024</t>
        </is>
      </c>
      <c r="B85" s="1" t="n">
        <v>45394.56777777777</v>
      </c>
      <c r="C85" s="1" t="n">
        <v>45891</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15268-2023</t>
        </is>
      </c>
      <c r="B86" s="1" t="n">
        <v>45019.41045138889</v>
      </c>
      <c r="C86" s="1" t="n">
        <v>45891</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38102-2024</t>
        </is>
      </c>
      <c r="B87" s="1" t="n">
        <v>45545.36349537037</v>
      </c>
      <c r="C87" s="1" t="n">
        <v>45891</v>
      </c>
      <c r="D87" t="inlineStr">
        <is>
          <t>STOCKHOLMS LÄN</t>
        </is>
      </c>
      <c r="E87" t="inlineStr">
        <is>
          <t>VALLENTUNA</t>
        </is>
      </c>
      <c r="G87" t="n">
        <v>3.2</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45891</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17340-2025</t>
        </is>
      </c>
      <c r="B89" s="1" t="n">
        <v>45756</v>
      </c>
      <c r="C89" s="1" t="n">
        <v>45891</v>
      </c>
      <c r="D89" t="inlineStr">
        <is>
          <t>STOCKHOLMS LÄN</t>
        </is>
      </c>
      <c r="E89" t="inlineStr">
        <is>
          <t>VALLENTUNA</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20791-2025</t>
        </is>
      </c>
      <c r="B90" s="1" t="n">
        <v>45776.62738425926</v>
      </c>
      <c r="C90" s="1" t="n">
        <v>45891</v>
      </c>
      <c r="D90" t="inlineStr">
        <is>
          <t>STOCKHOLMS LÄN</t>
        </is>
      </c>
      <c r="E90" t="inlineStr">
        <is>
          <t>VALLENTUNA</t>
        </is>
      </c>
      <c r="G90" t="n">
        <v>1.5</v>
      </c>
      <c r="H90" t="n">
        <v>0</v>
      </c>
      <c r="I90" t="n">
        <v>0</v>
      </c>
      <c r="J90" t="n">
        <v>0</v>
      </c>
      <c r="K90" t="n">
        <v>0</v>
      </c>
      <c r="L90" t="n">
        <v>0</v>
      </c>
      <c r="M90" t="n">
        <v>0</v>
      </c>
      <c r="N90" t="n">
        <v>0</v>
      </c>
      <c r="O90" t="n">
        <v>0</v>
      </c>
      <c r="P90" t="n">
        <v>0</v>
      </c>
      <c r="Q90" t="n">
        <v>0</v>
      </c>
      <c r="R90" s="2" t="inlineStr"/>
    </row>
    <row r="91" ht="15" customHeight="1">
      <c r="A91" t="inlineStr">
        <is>
          <t>A 10073-2024</t>
        </is>
      </c>
      <c r="B91" s="1" t="n">
        <v>45364.40821759259</v>
      </c>
      <c r="C91" s="1" t="n">
        <v>45891</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20789-2025</t>
        </is>
      </c>
      <c r="B92" s="1" t="n">
        <v>45776.62518518518</v>
      </c>
      <c r="C92" s="1" t="n">
        <v>45891</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20786-2025</t>
        </is>
      </c>
      <c r="B93" s="1" t="n">
        <v>45776.62273148148</v>
      </c>
      <c r="C93" s="1" t="n">
        <v>45891</v>
      </c>
      <c r="D93" t="inlineStr">
        <is>
          <t>STOCKHOLMS LÄN</t>
        </is>
      </c>
      <c r="E93" t="inlineStr">
        <is>
          <t>VALLENTUNA</t>
        </is>
      </c>
      <c r="G93" t="n">
        <v>7.6</v>
      </c>
      <c r="H93" t="n">
        <v>0</v>
      </c>
      <c r="I93" t="n">
        <v>0</v>
      </c>
      <c r="J93" t="n">
        <v>0</v>
      </c>
      <c r="K93" t="n">
        <v>0</v>
      </c>
      <c r="L93" t="n">
        <v>0</v>
      </c>
      <c r="M93" t="n">
        <v>0</v>
      </c>
      <c r="N93" t="n">
        <v>0</v>
      </c>
      <c r="O93" t="n">
        <v>0</v>
      </c>
      <c r="P93" t="n">
        <v>0</v>
      </c>
      <c r="Q93" t="n">
        <v>0</v>
      </c>
      <c r="R93" s="2" t="inlineStr"/>
    </row>
    <row r="94" ht="15" customHeight="1">
      <c r="A94" t="inlineStr">
        <is>
          <t>A 34452-2021</t>
        </is>
      </c>
      <c r="B94" s="1" t="n">
        <v>44381</v>
      </c>
      <c r="C94" s="1" t="n">
        <v>45891</v>
      </c>
      <c r="D94" t="inlineStr">
        <is>
          <t>STOCKHOLMS LÄN</t>
        </is>
      </c>
      <c r="E94" t="inlineStr">
        <is>
          <t>VALLENTUNA</t>
        </is>
      </c>
      <c r="G94" t="n">
        <v>14.7</v>
      </c>
      <c r="H94" t="n">
        <v>0</v>
      </c>
      <c r="I94" t="n">
        <v>0</v>
      </c>
      <c r="J94" t="n">
        <v>0</v>
      </c>
      <c r="K94" t="n">
        <v>0</v>
      </c>
      <c r="L94" t="n">
        <v>0</v>
      </c>
      <c r="M94" t="n">
        <v>0</v>
      </c>
      <c r="N94" t="n">
        <v>0</v>
      </c>
      <c r="O94" t="n">
        <v>0</v>
      </c>
      <c r="P94" t="n">
        <v>0</v>
      </c>
      <c r="Q94" t="n">
        <v>0</v>
      </c>
      <c r="R94" s="2" t="inlineStr"/>
    </row>
    <row r="95" ht="15" customHeight="1">
      <c r="A95" t="inlineStr">
        <is>
          <t>A 47204-2024</t>
        </is>
      </c>
      <c r="B95" s="1" t="n">
        <v>45586.63575231482</v>
      </c>
      <c r="C95" s="1" t="n">
        <v>45891</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12621-2024</t>
        </is>
      </c>
      <c r="B96" s="1" t="n">
        <v>45383.6325</v>
      </c>
      <c r="C96" s="1" t="n">
        <v>45891</v>
      </c>
      <c r="D96" t="inlineStr">
        <is>
          <t>STOCKHOLMS LÄN</t>
        </is>
      </c>
      <c r="E96" t="inlineStr">
        <is>
          <t>VALLENTUNA</t>
        </is>
      </c>
      <c r="G96" t="n">
        <v>4.4</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45891</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45891</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47140-2024</t>
        </is>
      </c>
      <c r="B99" s="1" t="n">
        <v>45586.58753472222</v>
      </c>
      <c r="C99" s="1" t="n">
        <v>45891</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46381-2023</t>
        </is>
      </c>
      <c r="B100" s="1" t="n">
        <v>45193</v>
      </c>
      <c r="C100" s="1" t="n">
        <v>45891</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56152-2024</t>
        </is>
      </c>
      <c r="B101" s="1" t="n">
        <v>45624.52403935185</v>
      </c>
      <c r="C101" s="1" t="n">
        <v>45891</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48068-2021</t>
        </is>
      </c>
      <c r="B102" s="1" t="n">
        <v>44449.42270833333</v>
      </c>
      <c r="C102" s="1" t="n">
        <v>45891</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61027-2023</t>
        </is>
      </c>
      <c r="B103" s="1" t="n">
        <v>45261</v>
      </c>
      <c r="C103" s="1" t="n">
        <v>45891</v>
      </c>
      <c r="D103" t="inlineStr">
        <is>
          <t>STOCKHOLMS LÄN</t>
        </is>
      </c>
      <c r="E103" t="inlineStr">
        <is>
          <t>VALLENTUNA</t>
        </is>
      </c>
      <c r="G103" t="n">
        <v>7.1</v>
      </c>
      <c r="H103" t="n">
        <v>0</v>
      </c>
      <c r="I103" t="n">
        <v>0</v>
      </c>
      <c r="J103" t="n">
        <v>0</v>
      </c>
      <c r="K103" t="n">
        <v>0</v>
      </c>
      <c r="L103" t="n">
        <v>0</v>
      </c>
      <c r="M103" t="n">
        <v>0</v>
      </c>
      <c r="N103" t="n">
        <v>0</v>
      </c>
      <c r="O103" t="n">
        <v>0</v>
      </c>
      <c r="P103" t="n">
        <v>0</v>
      </c>
      <c r="Q103" t="n">
        <v>0</v>
      </c>
      <c r="R103" s="2" t="inlineStr"/>
    </row>
    <row r="104" ht="15" customHeight="1">
      <c r="A104" t="inlineStr">
        <is>
          <t>A 3937-2022</t>
        </is>
      </c>
      <c r="B104" s="1" t="n">
        <v>44587</v>
      </c>
      <c r="C104" s="1" t="n">
        <v>45891</v>
      </c>
      <c r="D104" t="inlineStr">
        <is>
          <t>STOCKHOLMS LÄN</t>
        </is>
      </c>
      <c r="E104" t="inlineStr">
        <is>
          <t>VALLENTUNA</t>
        </is>
      </c>
      <c r="G104" t="n">
        <v>6.6</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45891</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60818-2023</t>
        </is>
      </c>
      <c r="B106" s="1" t="n">
        <v>45259</v>
      </c>
      <c r="C106" s="1" t="n">
        <v>45891</v>
      </c>
      <c r="D106" t="inlineStr">
        <is>
          <t>STOCKHOLMS LÄN</t>
        </is>
      </c>
      <c r="E106" t="inlineStr">
        <is>
          <t>VALLENTUNA</t>
        </is>
      </c>
      <c r="G106" t="n">
        <v>9.4</v>
      </c>
      <c r="H106" t="n">
        <v>0</v>
      </c>
      <c r="I106" t="n">
        <v>0</v>
      </c>
      <c r="J106" t="n">
        <v>0</v>
      </c>
      <c r="K106" t="n">
        <v>0</v>
      </c>
      <c r="L106" t="n">
        <v>0</v>
      </c>
      <c r="M106" t="n">
        <v>0</v>
      </c>
      <c r="N106" t="n">
        <v>0</v>
      </c>
      <c r="O106" t="n">
        <v>0</v>
      </c>
      <c r="P106" t="n">
        <v>0</v>
      </c>
      <c r="Q106" t="n">
        <v>0</v>
      </c>
      <c r="R106" s="2" t="inlineStr"/>
    </row>
    <row r="107" ht="15" customHeight="1">
      <c r="A107" t="inlineStr">
        <is>
          <t>A 9063-2024</t>
        </is>
      </c>
      <c r="B107" s="1" t="n">
        <v>45357.72652777778</v>
      </c>
      <c r="C107" s="1" t="n">
        <v>45891</v>
      </c>
      <c r="D107" t="inlineStr">
        <is>
          <t>STOCKHOLMS LÄN</t>
        </is>
      </c>
      <c r="E107" t="inlineStr">
        <is>
          <t>VALLENTUNA</t>
        </is>
      </c>
      <c r="G107" t="n">
        <v>4.1</v>
      </c>
      <c r="H107" t="n">
        <v>0</v>
      </c>
      <c r="I107" t="n">
        <v>0</v>
      </c>
      <c r="J107" t="n">
        <v>0</v>
      </c>
      <c r="K107" t="n">
        <v>0</v>
      </c>
      <c r="L107" t="n">
        <v>0</v>
      </c>
      <c r="M107" t="n">
        <v>0</v>
      </c>
      <c r="N107" t="n">
        <v>0</v>
      </c>
      <c r="O107" t="n">
        <v>0</v>
      </c>
      <c r="P107" t="n">
        <v>0</v>
      </c>
      <c r="Q107" t="n">
        <v>0</v>
      </c>
      <c r="R107" s="2" t="inlineStr"/>
    </row>
    <row r="108" ht="15" customHeight="1">
      <c r="A108" t="inlineStr">
        <is>
          <t>A 23009-2024</t>
        </is>
      </c>
      <c r="B108" s="1" t="n">
        <v>45450.34506944445</v>
      </c>
      <c r="C108" s="1" t="n">
        <v>45891</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4803-2024</t>
        </is>
      </c>
      <c r="B109" s="1" t="n">
        <v>45328</v>
      </c>
      <c r="C109" s="1" t="n">
        <v>45891</v>
      </c>
      <c r="D109" t="inlineStr">
        <is>
          <t>STOCKHOLMS LÄN</t>
        </is>
      </c>
      <c r="E109" t="inlineStr">
        <is>
          <t>VALLENTUNA</t>
        </is>
      </c>
      <c r="G109" t="n">
        <v>4.6</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45891</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7264-2022</t>
        </is>
      </c>
      <c r="B111" s="1" t="n">
        <v>44606</v>
      </c>
      <c r="C111" s="1" t="n">
        <v>45891</v>
      </c>
      <c r="D111" t="inlineStr">
        <is>
          <t>STOCKHOLMS LÄN</t>
        </is>
      </c>
      <c r="E111" t="inlineStr">
        <is>
          <t>VALLENTUNA</t>
        </is>
      </c>
      <c r="G111" t="n">
        <v>2.4</v>
      </c>
      <c r="H111" t="n">
        <v>0</v>
      </c>
      <c r="I111" t="n">
        <v>0</v>
      </c>
      <c r="J111" t="n">
        <v>0</v>
      </c>
      <c r="K111" t="n">
        <v>0</v>
      </c>
      <c r="L111" t="n">
        <v>0</v>
      </c>
      <c r="M111" t="n">
        <v>0</v>
      </c>
      <c r="N111" t="n">
        <v>0</v>
      </c>
      <c r="O111" t="n">
        <v>0</v>
      </c>
      <c r="P111" t="n">
        <v>0</v>
      </c>
      <c r="Q111" t="n">
        <v>0</v>
      </c>
      <c r="R111" s="2" t="inlineStr"/>
    </row>
    <row r="112" ht="15" customHeight="1">
      <c r="A112" t="inlineStr">
        <is>
          <t>A 23923-2025</t>
        </is>
      </c>
      <c r="B112" s="1" t="n">
        <v>45795.39648148148</v>
      </c>
      <c r="C112" s="1" t="n">
        <v>45891</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68935-2020</t>
        </is>
      </c>
      <c r="B113" s="1" t="n">
        <v>44187</v>
      </c>
      <c r="C113" s="1" t="n">
        <v>45891</v>
      </c>
      <c r="D113" t="inlineStr">
        <is>
          <t>STOCKHOLMS LÄN</t>
        </is>
      </c>
      <c r="E113" t="inlineStr">
        <is>
          <t>VALLENTUNA</t>
        </is>
      </c>
      <c r="G113" t="n">
        <v>7.8</v>
      </c>
      <c r="H113" t="n">
        <v>0</v>
      </c>
      <c r="I113" t="n">
        <v>0</v>
      </c>
      <c r="J113" t="n">
        <v>0</v>
      </c>
      <c r="K113" t="n">
        <v>0</v>
      </c>
      <c r="L113" t="n">
        <v>0</v>
      </c>
      <c r="M113" t="n">
        <v>0</v>
      </c>
      <c r="N113" t="n">
        <v>0</v>
      </c>
      <c r="O113" t="n">
        <v>0</v>
      </c>
      <c r="P113" t="n">
        <v>0</v>
      </c>
      <c r="Q113" t="n">
        <v>0</v>
      </c>
      <c r="R113" s="2" t="inlineStr"/>
    </row>
    <row r="114" ht="15" customHeight="1">
      <c r="A114" t="inlineStr">
        <is>
          <t>A 19356-2025</t>
        </is>
      </c>
      <c r="B114" s="1" t="n">
        <v>45769.62061342593</v>
      </c>
      <c r="C114" s="1" t="n">
        <v>45891</v>
      </c>
      <c r="D114" t="inlineStr">
        <is>
          <t>STOCKHOLMS LÄN</t>
        </is>
      </c>
      <c r="E114" t="inlineStr">
        <is>
          <t>VALLENTUNA</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12562-2023</t>
        </is>
      </c>
      <c r="B115" s="1" t="n">
        <v>45000</v>
      </c>
      <c r="C115" s="1" t="n">
        <v>45891</v>
      </c>
      <c r="D115" t="inlineStr">
        <is>
          <t>STOCKHOLMS LÄN</t>
        </is>
      </c>
      <c r="E115" t="inlineStr">
        <is>
          <t>VALLENTUNA</t>
        </is>
      </c>
      <c r="G115" t="n">
        <v>2.1</v>
      </c>
      <c r="H115" t="n">
        <v>0</v>
      </c>
      <c r="I115" t="n">
        <v>0</v>
      </c>
      <c r="J115" t="n">
        <v>0</v>
      </c>
      <c r="K115" t="n">
        <v>0</v>
      </c>
      <c r="L115" t="n">
        <v>0</v>
      </c>
      <c r="M115" t="n">
        <v>0</v>
      </c>
      <c r="N115" t="n">
        <v>0</v>
      </c>
      <c r="O115" t="n">
        <v>0</v>
      </c>
      <c r="P115" t="n">
        <v>0</v>
      </c>
      <c r="Q115" t="n">
        <v>0</v>
      </c>
      <c r="R115" s="2" t="inlineStr"/>
    </row>
    <row r="116" ht="15" customHeight="1">
      <c r="A116" t="inlineStr">
        <is>
          <t>A 61655-2020</t>
        </is>
      </c>
      <c r="B116" s="1" t="n">
        <v>44158</v>
      </c>
      <c r="C116" s="1" t="n">
        <v>45891</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25984-2025</t>
        </is>
      </c>
      <c r="B117" s="1" t="n">
        <v>45804.64016203704</v>
      </c>
      <c r="C117" s="1" t="n">
        <v>45891</v>
      </c>
      <c r="D117" t="inlineStr">
        <is>
          <t>STOCKHOLMS LÄN</t>
        </is>
      </c>
      <c r="E117" t="inlineStr">
        <is>
          <t>VALLENTUNA</t>
        </is>
      </c>
      <c r="G117" t="n">
        <v>2.5</v>
      </c>
      <c r="H117" t="n">
        <v>0</v>
      </c>
      <c r="I117" t="n">
        <v>0</v>
      </c>
      <c r="J117" t="n">
        <v>0</v>
      </c>
      <c r="K117" t="n">
        <v>0</v>
      </c>
      <c r="L117" t="n">
        <v>0</v>
      </c>
      <c r="M117" t="n">
        <v>0</v>
      </c>
      <c r="N117" t="n">
        <v>0</v>
      </c>
      <c r="O117" t="n">
        <v>0</v>
      </c>
      <c r="P117" t="n">
        <v>0</v>
      </c>
      <c r="Q117" t="n">
        <v>0</v>
      </c>
      <c r="R117" s="2" t="inlineStr"/>
    </row>
    <row r="118" ht="15" customHeight="1">
      <c r="A118" t="inlineStr">
        <is>
          <t>A 11950-2025</t>
        </is>
      </c>
      <c r="B118" s="1" t="n">
        <v>45728.55622685186</v>
      </c>
      <c r="C118" s="1" t="n">
        <v>45891</v>
      </c>
      <c r="D118" t="inlineStr">
        <is>
          <t>STOCKHOLMS LÄN</t>
        </is>
      </c>
      <c r="E118" t="inlineStr">
        <is>
          <t>VALLENTUNA</t>
        </is>
      </c>
      <c r="G118" t="n">
        <v>1.4</v>
      </c>
      <c r="H118" t="n">
        <v>0</v>
      </c>
      <c r="I118" t="n">
        <v>0</v>
      </c>
      <c r="J118" t="n">
        <v>0</v>
      </c>
      <c r="K118" t="n">
        <v>0</v>
      </c>
      <c r="L118" t="n">
        <v>0</v>
      </c>
      <c r="M118" t="n">
        <v>0</v>
      </c>
      <c r="N118" t="n">
        <v>0</v>
      </c>
      <c r="O118" t="n">
        <v>0</v>
      </c>
      <c r="P118" t="n">
        <v>0</v>
      </c>
      <c r="Q118" t="n">
        <v>0</v>
      </c>
      <c r="R118" s="2" t="inlineStr"/>
    </row>
    <row r="119" ht="15" customHeight="1">
      <c r="A119" t="inlineStr">
        <is>
          <t>A 68938-2020</t>
        </is>
      </c>
      <c r="B119" s="1" t="n">
        <v>44187</v>
      </c>
      <c r="C119" s="1" t="n">
        <v>45891</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14489-2024</t>
        </is>
      </c>
      <c r="B120" s="1" t="n">
        <v>45394.58053240741</v>
      </c>
      <c r="C120" s="1" t="n">
        <v>45891</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45891</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24068-2024</t>
        </is>
      </c>
      <c r="B122" s="1" t="n">
        <v>45456</v>
      </c>
      <c r="C122" s="1" t="n">
        <v>45891</v>
      </c>
      <c r="D122" t="inlineStr">
        <is>
          <t>STOCKHOLMS LÄN</t>
        </is>
      </c>
      <c r="E122" t="inlineStr">
        <is>
          <t>VALLENTUNA</t>
        </is>
      </c>
      <c r="G122" t="n">
        <v>7.4</v>
      </c>
      <c r="H122" t="n">
        <v>0</v>
      </c>
      <c r="I122" t="n">
        <v>0</v>
      </c>
      <c r="J122" t="n">
        <v>0</v>
      </c>
      <c r="K122" t="n">
        <v>0</v>
      </c>
      <c r="L122" t="n">
        <v>0</v>
      </c>
      <c r="M122" t="n">
        <v>0</v>
      </c>
      <c r="N122" t="n">
        <v>0</v>
      </c>
      <c r="O122" t="n">
        <v>0</v>
      </c>
      <c r="P122" t="n">
        <v>0</v>
      </c>
      <c r="Q122" t="n">
        <v>0</v>
      </c>
      <c r="R122" s="2" t="inlineStr"/>
    </row>
    <row r="123" ht="15" customHeight="1">
      <c r="A123" t="inlineStr">
        <is>
          <t>A 52562-2023</t>
        </is>
      </c>
      <c r="B123" s="1" t="n">
        <v>45225</v>
      </c>
      <c r="C123" s="1" t="n">
        <v>45891</v>
      </c>
      <c r="D123" t="inlineStr">
        <is>
          <t>STOCKHOLMS LÄN</t>
        </is>
      </c>
      <c r="E123" t="inlineStr">
        <is>
          <t>VALLENTUNA</t>
        </is>
      </c>
      <c r="G123" t="n">
        <v>3.4</v>
      </c>
      <c r="H123" t="n">
        <v>0</v>
      </c>
      <c r="I123" t="n">
        <v>0</v>
      </c>
      <c r="J123" t="n">
        <v>0</v>
      </c>
      <c r="K123" t="n">
        <v>0</v>
      </c>
      <c r="L123" t="n">
        <v>0</v>
      </c>
      <c r="M123" t="n">
        <v>0</v>
      </c>
      <c r="N123" t="n">
        <v>0</v>
      </c>
      <c r="O123" t="n">
        <v>0</v>
      </c>
      <c r="P123" t="n">
        <v>0</v>
      </c>
      <c r="Q123" t="n">
        <v>0</v>
      </c>
      <c r="R123" s="2" t="inlineStr"/>
    </row>
    <row r="124" ht="15" customHeight="1">
      <c r="A124" t="inlineStr">
        <is>
          <t>A 61442-2024</t>
        </is>
      </c>
      <c r="B124" s="1" t="n">
        <v>45646.47003472222</v>
      </c>
      <c r="C124" s="1" t="n">
        <v>45891</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45891</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23013-2024</t>
        </is>
      </c>
      <c r="B126" s="1" t="n">
        <v>45450.35116898148</v>
      </c>
      <c r="C126" s="1" t="n">
        <v>45891</v>
      </c>
      <c r="D126" t="inlineStr">
        <is>
          <t>STOCKHOLMS LÄN</t>
        </is>
      </c>
      <c r="E126" t="inlineStr">
        <is>
          <t>VALLENTUNA</t>
        </is>
      </c>
      <c r="G126" t="n">
        <v>0.4</v>
      </c>
      <c r="H126" t="n">
        <v>0</v>
      </c>
      <c r="I126" t="n">
        <v>0</v>
      </c>
      <c r="J126" t="n">
        <v>0</v>
      </c>
      <c r="K126" t="n">
        <v>0</v>
      </c>
      <c r="L126" t="n">
        <v>0</v>
      </c>
      <c r="M126" t="n">
        <v>0</v>
      </c>
      <c r="N126" t="n">
        <v>0</v>
      </c>
      <c r="O126" t="n">
        <v>0</v>
      </c>
      <c r="P126" t="n">
        <v>0</v>
      </c>
      <c r="Q126" t="n">
        <v>0</v>
      </c>
      <c r="R126" s="2" t="inlineStr"/>
    </row>
    <row r="127" ht="15" customHeight="1">
      <c r="A127" t="inlineStr">
        <is>
          <t>A 27868-2025</t>
        </is>
      </c>
      <c r="B127" s="1" t="n">
        <v>45817</v>
      </c>
      <c r="C127" s="1" t="n">
        <v>45891</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2318-2024</t>
        </is>
      </c>
      <c r="B128" s="1" t="n">
        <v>45310</v>
      </c>
      <c r="C128" s="1" t="n">
        <v>45891</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30902-2025</t>
        </is>
      </c>
      <c r="B129" s="1" t="n">
        <v>45832.36104166666</v>
      </c>
      <c r="C129" s="1" t="n">
        <v>45891</v>
      </c>
      <c r="D129" t="inlineStr">
        <is>
          <t>STOCKHOLMS LÄN</t>
        </is>
      </c>
      <c r="E129" t="inlineStr">
        <is>
          <t>VALLENTUNA</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19503-2023</t>
        </is>
      </c>
      <c r="B130" s="1" t="n">
        <v>45050.47333333334</v>
      </c>
      <c r="C130" s="1" t="n">
        <v>45891</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61742-2022</t>
        </is>
      </c>
      <c r="B131" s="1" t="n">
        <v>44917</v>
      </c>
      <c r="C131" s="1" t="n">
        <v>45891</v>
      </c>
      <c r="D131" t="inlineStr">
        <is>
          <t>STOCKHOLMS LÄN</t>
        </is>
      </c>
      <c r="E131" t="inlineStr">
        <is>
          <t>VALLENTUNA</t>
        </is>
      </c>
      <c r="G131" t="n">
        <v>0.5</v>
      </c>
      <c r="H131" t="n">
        <v>0</v>
      </c>
      <c r="I131" t="n">
        <v>0</v>
      </c>
      <c r="J131" t="n">
        <v>0</v>
      </c>
      <c r="K131" t="n">
        <v>0</v>
      </c>
      <c r="L131" t="n">
        <v>0</v>
      </c>
      <c r="M131" t="n">
        <v>0</v>
      </c>
      <c r="N131" t="n">
        <v>0</v>
      </c>
      <c r="O131" t="n">
        <v>0</v>
      </c>
      <c r="P131" t="n">
        <v>0</v>
      </c>
      <c r="Q131" t="n">
        <v>0</v>
      </c>
      <c r="R131" s="2" t="inlineStr"/>
    </row>
    <row r="132" ht="15" customHeight="1">
      <c r="A132" t="inlineStr">
        <is>
          <t>A 3698-2022</t>
        </is>
      </c>
      <c r="B132" s="1" t="n">
        <v>44586</v>
      </c>
      <c r="C132" s="1" t="n">
        <v>45891</v>
      </c>
      <c r="D132" t="inlineStr">
        <is>
          <t>STOCKHOLMS LÄN</t>
        </is>
      </c>
      <c r="E132" t="inlineStr">
        <is>
          <t>VALLENTUNA</t>
        </is>
      </c>
      <c r="G132" t="n">
        <v>2.9</v>
      </c>
      <c r="H132" t="n">
        <v>0</v>
      </c>
      <c r="I132" t="n">
        <v>0</v>
      </c>
      <c r="J132" t="n">
        <v>0</v>
      </c>
      <c r="K132" t="n">
        <v>0</v>
      </c>
      <c r="L132" t="n">
        <v>0</v>
      </c>
      <c r="M132" t="n">
        <v>0</v>
      </c>
      <c r="N132" t="n">
        <v>0</v>
      </c>
      <c r="O132" t="n">
        <v>0</v>
      </c>
      <c r="P132" t="n">
        <v>0</v>
      </c>
      <c r="Q132" t="n">
        <v>0</v>
      </c>
      <c r="R132" s="2" t="inlineStr"/>
    </row>
    <row r="133" ht="15" customHeight="1">
      <c r="A133" t="inlineStr">
        <is>
          <t>A 60997-2022</t>
        </is>
      </c>
      <c r="B133" s="1" t="n">
        <v>44914.70746527778</v>
      </c>
      <c r="C133" s="1" t="n">
        <v>45891</v>
      </c>
      <c r="D133" t="inlineStr">
        <is>
          <t>STOCKHOLMS LÄN</t>
        </is>
      </c>
      <c r="E133" t="inlineStr">
        <is>
          <t>VALLENTUNA</t>
        </is>
      </c>
      <c r="G133" t="n">
        <v>1.8</v>
      </c>
      <c r="H133" t="n">
        <v>0</v>
      </c>
      <c r="I133" t="n">
        <v>0</v>
      </c>
      <c r="J133" t="n">
        <v>0</v>
      </c>
      <c r="K133" t="n">
        <v>0</v>
      </c>
      <c r="L133" t="n">
        <v>0</v>
      </c>
      <c r="M133" t="n">
        <v>0</v>
      </c>
      <c r="N133" t="n">
        <v>0</v>
      </c>
      <c r="O133" t="n">
        <v>0</v>
      </c>
      <c r="P133" t="n">
        <v>0</v>
      </c>
      <c r="Q133" t="n">
        <v>0</v>
      </c>
      <c r="R133" s="2" t="inlineStr"/>
    </row>
    <row r="134" ht="15" customHeight="1">
      <c r="A134" t="inlineStr">
        <is>
          <t>A 34458-2023</t>
        </is>
      </c>
      <c r="B134" s="1" t="n">
        <v>45139</v>
      </c>
      <c r="C134" s="1" t="n">
        <v>45891</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12234-2022</t>
        </is>
      </c>
      <c r="B135" s="1" t="n">
        <v>44637</v>
      </c>
      <c r="C135" s="1" t="n">
        <v>45891</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28431-2025</t>
        </is>
      </c>
      <c r="B136" s="1" t="n">
        <v>45819.38072916667</v>
      </c>
      <c r="C136" s="1" t="n">
        <v>45891</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21614-2022</t>
        </is>
      </c>
      <c r="B137" s="1" t="n">
        <v>44706</v>
      </c>
      <c r="C137" s="1" t="n">
        <v>45891</v>
      </c>
      <c r="D137" t="inlineStr">
        <is>
          <t>STOCKHOLMS LÄN</t>
        </is>
      </c>
      <c r="E137" t="inlineStr">
        <is>
          <t>VALLENTUNA</t>
        </is>
      </c>
      <c r="G137" t="n">
        <v>4</v>
      </c>
      <c r="H137" t="n">
        <v>0</v>
      </c>
      <c r="I137" t="n">
        <v>0</v>
      </c>
      <c r="J137" t="n">
        <v>0</v>
      </c>
      <c r="K137" t="n">
        <v>0</v>
      </c>
      <c r="L137" t="n">
        <v>0</v>
      </c>
      <c r="M137" t="n">
        <v>0</v>
      </c>
      <c r="N137" t="n">
        <v>0</v>
      </c>
      <c r="O137" t="n">
        <v>0</v>
      </c>
      <c r="P137" t="n">
        <v>0</v>
      </c>
      <c r="Q137" t="n">
        <v>0</v>
      </c>
      <c r="R137" s="2" t="inlineStr"/>
    </row>
    <row r="138" ht="15" customHeight="1">
      <c r="A138" t="inlineStr">
        <is>
          <t>A 48717-2024</t>
        </is>
      </c>
      <c r="B138" s="1" t="n">
        <v>45593</v>
      </c>
      <c r="C138" s="1" t="n">
        <v>45891</v>
      </c>
      <c r="D138" t="inlineStr">
        <is>
          <t>STOCKHOLMS LÄN</t>
        </is>
      </c>
      <c r="E138" t="inlineStr">
        <is>
          <t>VALLENTUNA</t>
        </is>
      </c>
      <c r="G138" t="n">
        <v>6.2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45000.41373842592</v>
      </c>
      <c r="C139" s="1" t="n">
        <v>45891</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c r="A140" t="inlineStr">
        <is>
          <t>A 8787-2024</t>
        </is>
      </c>
      <c r="B140" s="1" t="n">
        <v>45356</v>
      </c>
      <c r="C140" s="1" t="n">
        <v>45891</v>
      </c>
      <c r="D140" t="inlineStr">
        <is>
          <t>STOCKHOLMS LÄN</t>
        </is>
      </c>
      <c r="E140" t="inlineStr">
        <is>
          <t>VALLENTUNA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2025-08-22T08:29:06Z</dcterms:created>
  <dcterms:modified xmlns:dcterms="http://purl.org/dc/terms/" xmlns:xsi="http://www.w3.org/2001/XMLSchema-instance" xsi:type="dcterms:W3CDTF">2025-08-22T08:29:06Z</dcterms:modified>
</cp:coreProperties>
</file>