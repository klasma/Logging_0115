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45981</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45981</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45981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45981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45981</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45981</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45981</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9745-2022</t>
        </is>
      </c>
      <c r="B20" s="1" t="n">
        <v>44618</v>
      </c>
      <c r="C20" s="1" t="n">
        <v>45981</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45981</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62402-2022</t>
        </is>
      </c>
      <c r="B22" s="1" t="n">
        <v>44923</v>
      </c>
      <c r="C22" s="1" t="n">
        <v>45981</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45981</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45981</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14508-2024</t>
        </is>
      </c>
      <c r="B25" s="1" t="n">
        <v>45394.61583333334</v>
      </c>
      <c r="C25" s="1" t="n">
        <v>45981</v>
      </c>
      <c r="D25" t="inlineStr">
        <is>
          <t>STOCKHOLMS LÄN</t>
        </is>
      </c>
      <c r="E25" t="inlineStr">
        <is>
          <t>VALLENTUNA</t>
        </is>
      </c>
      <c r="G25" t="n">
        <v>1.7</v>
      </c>
      <c r="H25" t="n">
        <v>1</v>
      </c>
      <c r="I25" t="n">
        <v>0</v>
      </c>
      <c r="J25" t="n">
        <v>1</v>
      </c>
      <c r="K25" t="n">
        <v>0</v>
      </c>
      <c r="L25" t="n">
        <v>0</v>
      </c>
      <c r="M25" t="n">
        <v>0</v>
      </c>
      <c r="N25" t="n">
        <v>0</v>
      </c>
      <c r="O25" t="n">
        <v>1</v>
      </c>
      <c r="P25" t="n">
        <v>0</v>
      </c>
      <c r="Q25" t="n">
        <v>1</v>
      </c>
      <c r="R25" s="2" t="inlineStr">
        <is>
          <t>Mindre hackspett</t>
        </is>
      </c>
      <c r="S25">
        <f>HYPERLINK("https://klasma.github.io/Logging_0115/artfynd/A 14508-2024 artfynd.xlsx", "A 14508-2024")</f>
        <v/>
      </c>
      <c r="T25">
        <f>HYPERLINK("https://klasma.github.io/Logging_0115/kartor/A 14508-2024 karta.png", "A 14508-2024")</f>
        <v/>
      </c>
      <c r="V25">
        <f>HYPERLINK("https://klasma.github.io/Logging_0115/klagomål/A 14508-2024 FSC-klagomål.docx", "A 14508-2024")</f>
        <v/>
      </c>
      <c r="W25">
        <f>HYPERLINK("https://klasma.github.io/Logging_0115/klagomålsmail/A 14508-2024 FSC-klagomål mail.docx", "A 14508-2024")</f>
        <v/>
      </c>
      <c r="X25">
        <f>HYPERLINK("https://klasma.github.io/Logging_0115/tillsyn/A 14508-2024 tillsynsbegäran.docx", "A 14508-2024")</f>
        <v/>
      </c>
      <c r="Y25">
        <f>HYPERLINK("https://klasma.github.io/Logging_0115/tillsynsmail/A 14508-2024 tillsynsbegäran mail.docx", "A 14508-2024")</f>
        <v/>
      </c>
      <c r="Z25">
        <f>HYPERLINK("https://klasma.github.io/Logging_0115/fåglar/A 14508-2024 prioriterade fågelarter.docx", "A 14508-2024")</f>
        <v/>
      </c>
    </row>
    <row r="26" ht="15" customHeight="1">
      <c r="A26" t="inlineStr">
        <is>
          <t>A 8817-2025</t>
        </is>
      </c>
      <c r="B26" s="1" t="n">
        <v>45712.70987268518</v>
      </c>
      <c r="C26" s="1" t="n">
        <v>45981</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34460-2023</t>
        </is>
      </c>
      <c r="B27" s="1" t="n">
        <v>45139</v>
      </c>
      <c r="C27" s="1" t="n">
        <v>45981</v>
      </c>
      <c r="D27" t="inlineStr">
        <is>
          <t>STOCKHOLMS LÄN</t>
        </is>
      </c>
      <c r="E27" t="inlineStr">
        <is>
          <t>VALLENTUNA</t>
        </is>
      </c>
      <c r="G27" t="n">
        <v>1.7</v>
      </c>
      <c r="H27" t="n">
        <v>0</v>
      </c>
      <c r="I27" t="n">
        <v>0</v>
      </c>
      <c r="J27" t="n">
        <v>1</v>
      </c>
      <c r="K27" t="n">
        <v>0</v>
      </c>
      <c r="L27" t="n">
        <v>0</v>
      </c>
      <c r="M27" t="n">
        <v>0</v>
      </c>
      <c r="N27" t="n">
        <v>0</v>
      </c>
      <c r="O27" t="n">
        <v>1</v>
      </c>
      <c r="P27" t="n">
        <v>0</v>
      </c>
      <c r="Q27" t="n">
        <v>1</v>
      </c>
      <c r="R27" s="2" t="inlineStr">
        <is>
          <t>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21439-2025</t>
        </is>
      </c>
      <c r="B28" s="1" t="n">
        <v>45782.52939814814</v>
      </c>
      <c r="C28" s="1" t="n">
        <v>45981</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17348-2025</t>
        </is>
      </c>
      <c r="B29" s="1" t="n">
        <v>45756</v>
      </c>
      <c r="C29" s="1" t="n">
        <v>45981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22936-2025</t>
        </is>
      </c>
      <c r="B30" s="1" t="n">
        <v>45790.45738425926</v>
      </c>
      <c r="C30" s="1" t="n">
        <v>45981</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34458-2023</t>
        </is>
      </c>
      <c r="B31" s="1" t="n">
        <v>45139</v>
      </c>
      <c r="C31" s="1" t="n">
        <v>45981</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54481-2025</t>
        </is>
      </c>
      <c r="B32" s="1" t="n">
        <v>45965.58837962963</v>
      </c>
      <c r="C32" s="1" t="n">
        <v>45981</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45981</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7890-2023</t>
        </is>
      </c>
      <c r="B34" s="1" t="n">
        <v>44973</v>
      </c>
      <c r="C34" s="1" t="n">
        <v>45981</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22830-2024</t>
        </is>
      </c>
      <c r="B35" s="1" t="n">
        <v>45448.56583333333</v>
      </c>
      <c r="C35" s="1" t="n">
        <v>45981</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17341-2025</t>
        </is>
      </c>
      <c r="B36" s="1" t="n">
        <v>45756</v>
      </c>
      <c r="C36" s="1" t="n">
        <v>45981</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20612-2021</t>
        </is>
      </c>
      <c r="B37" s="1" t="n">
        <v>44315</v>
      </c>
      <c r="C37" s="1" t="n">
        <v>45981</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45981</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45981</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45981</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45981</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45981</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45981</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45981</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45981</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45981</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45981</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45981</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14430-2021</t>
        </is>
      </c>
      <c r="B49" s="1" t="n">
        <v>44279.4665625</v>
      </c>
      <c r="C49" s="1" t="n">
        <v>45981</v>
      </c>
      <c r="D49" t="inlineStr">
        <is>
          <t>STOCKHOLMS LÄN</t>
        </is>
      </c>
      <c r="E49" t="inlineStr">
        <is>
          <t>VALLENTUNA</t>
        </is>
      </c>
      <c r="G49" t="n">
        <v>1.1</v>
      </c>
      <c r="H49" t="n">
        <v>0</v>
      </c>
      <c r="I49" t="n">
        <v>0</v>
      </c>
      <c r="J49" t="n">
        <v>0</v>
      </c>
      <c r="K49" t="n">
        <v>0</v>
      </c>
      <c r="L49" t="n">
        <v>0</v>
      </c>
      <c r="M49" t="n">
        <v>0</v>
      </c>
      <c r="N49" t="n">
        <v>0</v>
      </c>
      <c r="O49" t="n">
        <v>0</v>
      </c>
      <c r="P49" t="n">
        <v>0</v>
      </c>
      <c r="Q49" t="n">
        <v>0</v>
      </c>
      <c r="R49" s="2" t="inlineStr"/>
    </row>
    <row r="50" ht="15" customHeight="1">
      <c r="A50" t="inlineStr">
        <is>
          <t>A 14443-2021</t>
        </is>
      </c>
      <c r="B50" s="1" t="n">
        <v>44279</v>
      </c>
      <c r="C50" s="1" t="n">
        <v>45981</v>
      </c>
      <c r="D50" t="inlineStr">
        <is>
          <t>STOCKHOLMS LÄN</t>
        </is>
      </c>
      <c r="E50" t="inlineStr">
        <is>
          <t>VALLENTUNA</t>
        </is>
      </c>
      <c r="G50" t="n">
        <v>3.5</v>
      </c>
      <c r="H50" t="n">
        <v>0</v>
      </c>
      <c r="I50" t="n">
        <v>0</v>
      </c>
      <c r="J50" t="n">
        <v>0</v>
      </c>
      <c r="K50" t="n">
        <v>0</v>
      </c>
      <c r="L50" t="n">
        <v>0</v>
      </c>
      <c r="M50" t="n">
        <v>0</v>
      </c>
      <c r="N50" t="n">
        <v>0</v>
      </c>
      <c r="O50" t="n">
        <v>0</v>
      </c>
      <c r="P50" t="n">
        <v>0</v>
      </c>
      <c r="Q50" t="n">
        <v>0</v>
      </c>
      <c r="R50" s="2" t="inlineStr"/>
    </row>
    <row r="51" ht="15" customHeight="1">
      <c r="A51" t="inlineStr">
        <is>
          <t>A 14447-2021</t>
        </is>
      </c>
      <c r="B51" s="1" t="n">
        <v>44279</v>
      </c>
      <c r="C51" s="1" t="n">
        <v>45981</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45981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45981</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45981</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45981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45981</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45981</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45981</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14489-2024</t>
        </is>
      </c>
      <c r="B59" s="1" t="n">
        <v>45394.58053240741</v>
      </c>
      <c r="C59" s="1" t="n">
        <v>45981</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21445-2023</t>
        </is>
      </c>
      <c r="B60" s="1" t="n">
        <v>45063</v>
      </c>
      <c r="C60" s="1" t="n">
        <v>45981</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15268-2023</t>
        </is>
      </c>
      <c r="B61" s="1" t="n">
        <v>45019.41045138889</v>
      </c>
      <c r="C61" s="1" t="n">
        <v>45981</v>
      </c>
      <c r="D61" t="inlineStr">
        <is>
          <t>STOCKHOLMS LÄN</t>
        </is>
      </c>
      <c r="E61" t="inlineStr">
        <is>
          <t>VALLENTUNA</t>
        </is>
      </c>
      <c r="G61" t="n">
        <v>2.2</v>
      </c>
      <c r="H61" t="n">
        <v>0</v>
      </c>
      <c r="I61" t="n">
        <v>0</v>
      </c>
      <c r="J61" t="n">
        <v>0</v>
      </c>
      <c r="K61" t="n">
        <v>0</v>
      </c>
      <c r="L61" t="n">
        <v>0</v>
      </c>
      <c r="M61" t="n">
        <v>0</v>
      </c>
      <c r="N61" t="n">
        <v>0</v>
      </c>
      <c r="O61" t="n">
        <v>0</v>
      </c>
      <c r="P61" t="n">
        <v>0</v>
      </c>
      <c r="Q61" t="n">
        <v>0</v>
      </c>
      <c r="R61" s="2" t="inlineStr"/>
    </row>
    <row r="62" ht="15" customHeight="1">
      <c r="A62" t="inlineStr">
        <is>
          <t>A 61442-2024</t>
        </is>
      </c>
      <c r="B62" s="1" t="n">
        <v>45646.47003472222</v>
      </c>
      <c r="C62" s="1" t="n">
        <v>45981</v>
      </c>
      <c r="D62" t="inlineStr">
        <is>
          <t>STOCKHOLMS LÄN</t>
        </is>
      </c>
      <c r="E62" t="inlineStr">
        <is>
          <t>VALLENTUNA</t>
        </is>
      </c>
      <c r="G62" t="n">
        <v>4.6</v>
      </c>
      <c r="H62" t="n">
        <v>0</v>
      </c>
      <c r="I62" t="n">
        <v>0</v>
      </c>
      <c r="J62" t="n">
        <v>0</v>
      </c>
      <c r="K62" t="n">
        <v>0</v>
      </c>
      <c r="L62" t="n">
        <v>0</v>
      </c>
      <c r="M62" t="n">
        <v>0</v>
      </c>
      <c r="N62" t="n">
        <v>0</v>
      </c>
      <c r="O62" t="n">
        <v>0</v>
      </c>
      <c r="P62" t="n">
        <v>0</v>
      </c>
      <c r="Q62" t="n">
        <v>0</v>
      </c>
      <c r="R62" s="2" t="inlineStr"/>
    </row>
    <row r="63" ht="15" customHeight="1">
      <c r="A63" t="inlineStr">
        <is>
          <t>A 48068-2021</t>
        </is>
      </c>
      <c r="B63" s="1" t="n">
        <v>44449.42270833333</v>
      </c>
      <c r="C63" s="1" t="n">
        <v>45981</v>
      </c>
      <c r="D63" t="inlineStr">
        <is>
          <t>STOCKHOLMS LÄN</t>
        </is>
      </c>
      <c r="E63" t="inlineStr">
        <is>
          <t>VALLENTUNA</t>
        </is>
      </c>
      <c r="G63" t="n">
        <v>1.3</v>
      </c>
      <c r="H63" t="n">
        <v>0</v>
      </c>
      <c r="I63" t="n">
        <v>0</v>
      </c>
      <c r="J63" t="n">
        <v>0</v>
      </c>
      <c r="K63" t="n">
        <v>0</v>
      </c>
      <c r="L63" t="n">
        <v>0</v>
      </c>
      <c r="M63" t="n">
        <v>0</v>
      </c>
      <c r="N63" t="n">
        <v>0</v>
      </c>
      <c r="O63" t="n">
        <v>0</v>
      </c>
      <c r="P63" t="n">
        <v>0</v>
      </c>
      <c r="Q63" t="n">
        <v>0</v>
      </c>
      <c r="R63" s="2" t="inlineStr"/>
    </row>
    <row r="64" ht="15" customHeight="1">
      <c r="A64" t="inlineStr">
        <is>
          <t>A 45499-2023</t>
        </is>
      </c>
      <c r="B64" s="1" t="n">
        <v>45194</v>
      </c>
      <c r="C64" s="1" t="n">
        <v>45981</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45981</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45981</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45981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12621-2024</t>
        </is>
      </c>
      <c r="B68" s="1" t="n">
        <v>45383.6325</v>
      </c>
      <c r="C68" s="1" t="n">
        <v>45981</v>
      </c>
      <c r="D68" t="inlineStr">
        <is>
          <t>STOCKHOLMS LÄN</t>
        </is>
      </c>
      <c r="E68" t="inlineStr">
        <is>
          <t>VALLENTUNA</t>
        </is>
      </c>
      <c r="G68" t="n">
        <v>4.4</v>
      </c>
      <c r="H68" t="n">
        <v>0</v>
      </c>
      <c r="I68" t="n">
        <v>0</v>
      </c>
      <c r="J68" t="n">
        <v>0</v>
      </c>
      <c r="K68" t="n">
        <v>0</v>
      </c>
      <c r="L68" t="n">
        <v>0</v>
      </c>
      <c r="M68" t="n">
        <v>0</v>
      </c>
      <c r="N68" t="n">
        <v>0</v>
      </c>
      <c r="O68" t="n">
        <v>0</v>
      </c>
      <c r="P68" t="n">
        <v>0</v>
      </c>
      <c r="Q68" t="n">
        <v>0</v>
      </c>
      <c r="R68" s="2" t="inlineStr"/>
    </row>
    <row r="69" ht="15" customHeight="1">
      <c r="A69" t="inlineStr">
        <is>
          <t>A 34441-2023</t>
        </is>
      </c>
      <c r="B69" s="1" t="n">
        <v>45139</v>
      </c>
      <c r="C69" s="1" t="n">
        <v>45981</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34445-2023</t>
        </is>
      </c>
      <c r="B70" s="1" t="n">
        <v>45139</v>
      </c>
      <c r="C70" s="1" t="n">
        <v>45981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45981</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735-2024</t>
        </is>
      </c>
      <c r="B72" s="1" t="n">
        <v>45300</v>
      </c>
      <c r="C72" s="1" t="n">
        <v>45981</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26390-2023</t>
        </is>
      </c>
      <c r="B73" s="1" t="n">
        <v>45086</v>
      </c>
      <c r="C73" s="1" t="n">
        <v>45981</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12585-2023</t>
        </is>
      </c>
      <c r="B74" s="1" t="n">
        <v>45000.41373842592</v>
      </c>
      <c r="C74" s="1" t="n">
        <v>45981</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8077-2022</t>
        </is>
      </c>
      <c r="B75" s="1" t="n">
        <v>44609</v>
      </c>
      <c r="C75" s="1" t="n">
        <v>45981</v>
      </c>
      <c r="D75" t="inlineStr">
        <is>
          <t>STOCKHOLMS LÄN</t>
        </is>
      </c>
      <c r="E75" t="inlineStr">
        <is>
          <t>VALLENTUNA</t>
        </is>
      </c>
      <c r="G75" t="n">
        <v>1.3</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45981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41206-2025</t>
        </is>
      </c>
      <c r="B77" s="1" t="n">
        <v>45898</v>
      </c>
      <c r="C77" s="1" t="n">
        <v>45981</v>
      </c>
      <c r="D77" t="inlineStr">
        <is>
          <t>STOCKHOLMS LÄN</t>
        </is>
      </c>
      <c r="E77" t="inlineStr">
        <is>
          <t>VALLENTUNA</t>
        </is>
      </c>
      <c r="G77" t="n">
        <v>10</v>
      </c>
      <c r="H77" t="n">
        <v>0</v>
      </c>
      <c r="I77" t="n">
        <v>0</v>
      </c>
      <c r="J77" t="n">
        <v>0</v>
      </c>
      <c r="K77" t="n">
        <v>0</v>
      </c>
      <c r="L77" t="n">
        <v>0</v>
      </c>
      <c r="M77" t="n">
        <v>0</v>
      </c>
      <c r="N77" t="n">
        <v>0</v>
      </c>
      <c r="O77" t="n">
        <v>0</v>
      </c>
      <c r="P77" t="n">
        <v>0</v>
      </c>
      <c r="Q77" t="n">
        <v>0</v>
      </c>
      <c r="R77" s="2" t="inlineStr"/>
    </row>
    <row r="78" ht="15" customHeight="1">
      <c r="A78" t="inlineStr">
        <is>
          <t>A 46381-2023</t>
        </is>
      </c>
      <c r="B78" s="1" t="n">
        <v>45193</v>
      </c>
      <c r="C78" s="1" t="n">
        <v>45981</v>
      </c>
      <c r="D78" t="inlineStr">
        <is>
          <t>STOCKHOLMS LÄN</t>
        </is>
      </c>
      <c r="E78" t="inlineStr">
        <is>
          <t>VALLENTUNA</t>
        </is>
      </c>
      <c r="G78" t="n">
        <v>2.9</v>
      </c>
      <c r="H78" t="n">
        <v>0</v>
      </c>
      <c r="I78" t="n">
        <v>0</v>
      </c>
      <c r="J78" t="n">
        <v>0</v>
      </c>
      <c r="K78" t="n">
        <v>0</v>
      </c>
      <c r="L78" t="n">
        <v>0</v>
      </c>
      <c r="M78" t="n">
        <v>0</v>
      </c>
      <c r="N78" t="n">
        <v>0</v>
      </c>
      <c r="O78" t="n">
        <v>0</v>
      </c>
      <c r="P78" t="n">
        <v>0</v>
      </c>
      <c r="Q78" t="n">
        <v>0</v>
      </c>
      <c r="R78" s="2" t="inlineStr"/>
    </row>
    <row r="79" ht="15" customHeight="1">
      <c r="A79" t="inlineStr">
        <is>
          <t>A 23009-2024</t>
        </is>
      </c>
      <c r="B79" s="1" t="n">
        <v>45450.34506944445</v>
      </c>
      <c r="C79" s="1" t="n">
        <v>45981</v>
      </c>
      <c r="D79" t="inlineStr">
        <is>
          <t>STOCKHOLMS LÄN</t>
        </is>
      </c>
      <c r="E79" t="inlineStr">
        <is>
          <t>VALLENTUNA</t>
        </is>
      </c>
      <c r="G79" t="n">
        <v>1.4</v>
      </c>
      <c r="H79" t="n">
        <v>0</v>
      </c>
      <c r="I79" t="n">
        <v>0</v>
      </c>
      <c r="J79" t="n">
        <v>0</v>
      </c>
      <c r="K79" t="n">
        <v>0</v>
      </c>
      <c r="L79" t="n">
        <v>0</v>
      </c>
      <c r="M79" t="n">
        <v>0</v>
      </c>
      <c r="N79" t="n">
        <v>0</v>
      </c>
      <c r="O79" t="n">
        <v>0</v>
      </c>
      <c r="P79" t="n">
        <v>0</v>
      </c>
      <c r="Q79" t="n">
        <v>0</v>
      </c>
      <c r="R79" s="2" t="inlineStr"/>
    </row>
    <row r="80" ht="15" customHeight="1">
      <c r="A80" t="inlineStr">
        <is>
          <t>A 61027-2023</t>
        </is>
      </c>
      <c r="B80" s="1" t="n">
        <v>45261</v>
      </c>
      <c r="C80" s="1" t="n">
        <v>45981</v>
      </c>
      <c r="D80" t="inlineStr">
        <is>
          <t>STOCKHOLMS LÄN</t>
        </is>
      </c>
      <c r="E80" t="inlineStr">
        <is>
          <t>VALLENTUNA</t>
        </is>
      </c>
      <c r="G80" t="n">
        <v>7.1</v>
      </c>
      <c r="H80" t="n">
        <v>0</v>
      </c>
      <c r="I80" t="n">
        <v>0</v>
      </c>
      <c r="J80" t="n">
        <v>0</v>
      </c>
      <c r="K80" t="n">
        <v>0</v>
      </c>
      <c r="L80" t="n">
        <v>0</v>
      </c>
      <c r="M80" t="n">
        <v>0</v>
      </c>
      <c r="N80" t="n">
        <v>0</v>
      </c>
      <c r="O80" t="n">
        <v>0</v>
      </c>
      <c r="P80" t="n">
        <v>0</v>
      </c>
      <c r="Q80" t="n">
        <v>0</v>
      </c>
      <c r="R80" s="2" t="inlineStr"/>
    </row>
    <row r="81" ht="15" customHeight="1">
      <c r="A81" t="inlineStr">
        <is>
          <t>A 23923-2025</t>
        </is>
      </c>
      <c r="B81" s="1" t="n">
        <v>45795.39648148148</v>
      </c>
      <c r="C81" s="1" t="n">
        <v>45981</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15300-2023</t>
        </is>
      </c>
      <c r="B82" s="1" t="n">
        <v>45019</v>
      </c>
      <c r="C82" s="1" t="n">
        <v>45981</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50784-2025</t>
        </is>
      </c>
      <c r="B83" s="1" t="n">
        <v>45946</v>
      </c>
      <c r="C83" s="1" t="n">
        <v>45981</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61742-2022</t>
        </is>
      </c>
      <c r="B84" s="1" t="n">
        <v>44917</v>
      </c>
      <c r="C84" s="1" t="n">
        <v>45981</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21765-2023</t>
        </is>
      </c>
      <c r="B85" s="1" t="n">
        <v>45064</v>
      </c>
      <c r="C85" s="1" t="n">
        <v>45981</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21614-2022</t>
        </is>
      </c>
      <c r="B86" s="1" t="n">
        <v>44706</v>
      </c>
      <c r="C86" s="1" t="n">
        <v>45981</v>
      </c>
      <c r="D86" t="inlineStr">
        <is>
          <t>STOCKHOLMS LÄN</t>
        </is>
      </c>
      <c r="E86" t="inlineStr">
        <is>
          <t>VALLENTUNA</t>
        </is>
      </c>
      <c r="G86" t="n">
        <v>4</v>
      </c>
      <c r="H86" t="n">
        <v>0</v>
      </c>
      <c r="I86" t="n">
        <v>0</v>
      </c>
      <c r="J86" t="n">
        <v>0</v>
      </c>
      <c r="K86" t="n">
        <v>0</v>
      </c>
      <c r="L86" t="n">
        <v>0</v>
      </c>
      <c r="M86" t="n">
        <v>0</v>
      </c>
      <c r="N86" t="n">
        <v>0</v>
      </c>
      <c r="O86" t="n">
        <v>0</v>
      </c>
      <c r="P86" t="n">
        <v>0</v>
      </c>
      <c r="Q86" t="n">
        <v>0</v>
      </c>
      <c r="R86" s="2" t="inlineStr"/>
    </row>
    <row r="87" ht="15" customHeight="1">
      <c r="A87" t="inlineStr">
        <is>
          <t>A 68935-2020</t>
        </is>
      </c>
      <c r="B87" s="1" t="n">
        <v>44187</v>
      </c>
      <c r="C87" s="1" t="n">
        <v>45981</v>
      </c>
      <c r="D87" t="inlineStr">
        <is>
          <t>STOCKHOLMS LÄN</t>
        </is>
      </c>
      <c r="E87" t="inlineStr">
        <is>
          <t>VALLENTUNA</t>
        </is>
      </c>
      <c r="G87" t="n">
        <v>7.8</v>
      </c>
      <c r="H87" t="n">
        <v>0</v>
      </c>
      <c r="I87" t="n">
        <v>0</v>
      </c>
      <c r="J87" t="n">
        <v>0</v>
      </c>
      <c r="K87" t="n">
        <v>0</v>
      </c>
      <c r="L87" t="n">
        <v>0</v>
      </c>
      <c r="M87" t="n">
        <v>0</v>
      </c>
      <c r="N87" t="n">
        <v>0</v>
      </c>
      <c r="O87" t="n">
        <v>0</v>
      </c>
      <c r="P87" t="n">
        <v>0</v>
      </c>
      <c r="Q87" t="n">
        <v>0</v>
      </c>
      <c r="R87" s="2" t="inlineStr"/>
    </row>
    <row r="88" ht="15" customHeight="1">
      <c r="A88" t="inlineStr">
        <is>
          <t>A 23986-2023</t>
        </is>
      </c>
      <c r="B88" s="1" t="n">
        <v>45078</v>
      </c>
      <c r="C88" s="1" t="n">
        <v>45981</v>
      </c>
      <c r="D88" t="inlineStr">
        <is>
          <t>STOCKHOLMS LÄN</t>
        </is>
      </c>
      <c r="E88" t="inlineStr">
        <is>
          <t>VALLENTUNA</t>
        </is>
      </c>
      <c r="F88" t="inlineStr">
        <is>
          <t>Kyrkan</t>
        </is>
      </c>
      <c r="G88" t="n">
        <v>5.7</v>
      </c>
      <c r="H88" t="n">
        <v>0</v>
      </c>
      <c r="I88" t="n">
        <v>0</v>
      </c>
      <c r="J88" t="n">
        <v>0</v>
      </c>
      <c r="K88" t="n">
        <v>0</v>
      </c>
      <c r="L88" t="n">
        <v>0</v>
      </c>
      <c r="M88" t="n">
        <v>0</v>
      </c>
      <c r="N88" t="n">
        <v>0</v>
      </c>
      <c r="O88" t="n">
        <v>0</v>
      </c>
      <c r="P88" t="n">
        <v>0</v>
      </c>
      <c r="Q88" t="n">
        <v>0</v>
      </c>
      <c r="R88" s="2" t="inlineStr"/>
    </row>
    <row r="89" ht="15" customHeight="1">
      <c r="A89" t="inlineStr">
        <is>
          <t>A 61655-2020</t>
        </is>
      </c>
      <c r="B89" s="1" t="n">
        <v>44158</v>
      </c>
      <c r="C89" s="1" t="n">
        <v>45981</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45981</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14480-2024</t>
        </is>
      </c>
      <c r="B91" s="1" t="n">
        <v>45394.56777777777</v>
      </c>
      <c r="C91" s="1" t="n">
        <v>45981</v>
      </c>
      <c r="D91" t="inlineStr">
        <is>
          <t>STOCKHOLMS LÄN</t>
        </is>
      </c>
      <c r="E91" t="inlineStr">
        <is>
          <t>VALLENTUNA</t>
        </is>
      </c>
      <c r="G91" t="n">
        <v>1.8</v>
      </c>
      <c r="H91" t="n">
        <v>0</v>
      </c>
      <c r="I91" t="n">
        <v>0</v>
      </c>
      <c r="J91" t="n">
        <v>0</v>
      </c>
      <c r="K91" t="n">
        <v>0</v>
      </c>
      <c r="L91" t="n">
        <v>0</v>
      </c>
      <c r="M91" t="n">
        <v>0</v>
      </c>
      <c r="N91" t="n">
        <v>0</v>
      </c>
      <c r="O91" t="n">
        <v>0</v>
      </c>
      <c r="P91" t="n">
        <v>0</v>
      </c>
      <c r="Q91" t="n">
        <v>0</v>
      </c>
      <c r="R91" s="2" t="inlineStr"/>
    </row>
    <row r="92" ht="15" customHeight="1">
      <c r="A92" t="inlineStr">
        <is>
          <t>A 17340-2025</t>
        </is>
      </c>
      <c r="B92" s="1" t="n">
        <v>45756</v>
      </c>
      <c r="C92" s="1" t="n">
        <v>45981</v>
      </c>
      <c r="D92" t="inlineStr">
        <is>
          <t>STOCKHOLMS LÄN</t>
        </is>
      </c>
      <c r="E92" t="inlineStr">
        <is>
          <t>VALLENTUNA</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25984-2025</t>
        </is>
      </c>
      <c r="B93" s="1" t="n">
        <v>45804.64016203704</v>
      </c>
      <c r="C93" s="1" t="n">
        <v>45981</v>
      </c>
      <c r="D93" t="inlineStr">
        <is>
          <t>STOCKHOLMS LÄN</t>
        </is>
      </c>
      <c r="E93" t="inlineStr">
        <is>
          <t>VALLENTUNA</t>
        </is>
      </c>
      <c r="G93" t="n">
        <v>2.5</v>
      </c>
      <c r="H93" t="n">
        <v>0</v>
      </c>
      <c r="I93" t="n">
        <v>0</v>
      </c>
      <c r="J93" t="n">
        <v>0</v>
      </c>
      <c r="K93" t="n">
        <v>0</v>
      </c>
      <c r="L93" t="n">
        <v>0</v>
      </c>
      <c r="M93" t="n">
        <v>0</v>
      </c>
      <c r="N93" t="n">
        <v>0</v>
      </c>
      <c r="O93" t="n">
        <v>0</v>
      </c>
      <c r="P93" t="n">
        <v>0</v>
      </c>
      <c r="Q93" t="n">
        <v>0</v>
      </c>
      <c r="R93" s="2" t="inlineStr"/>
    </row>
    <row r="94" ht="15" customHeight="1">
      <c r="A94" t="inlineStr">
        <is>
          <t>A 24068-2024</t>
        </is>
      </c>
      <c r="B94" s="1" t="n">
        <v>45456</v>
      </c>
      <c r="C94" s="1" t="n">
        <v>45981</v>
      </c>
      <c r="D94" t="inlineStr">
        <is>
          <t>STOCKHOLMS LÄN</t>
        </is>
      </c>
      <c r="E94" t="inlineStr">
        <is>
          <t>VALLENTUNA</t>
        </is>
      </c>
      <c r="G94" t="n">
        <v>7.4</v>
      </c>
      <c r="H94" t="n">
        <v>0</v>
      </c>
      <c r="I94" t="n">
        <v>0</v>
      </c>
      <c r="J94" t="n">
        <v>0</v>
      </c>
      <c r="K94" t="n">
        <v>0</v>
      </c>
      <c r="L94" t="n">
        <v>0</v>
      </c>
      <c r="M94" t="n">
        <v>0</v>
      </c>
      <c r="N94" t="n">
        <v>0</v>
      </c>
      <c r="O94" t="n">
        <v>0</v>
      </c>
      <c r="P94" t="n">
        <v>0</v>
      </c>
      <c r="Q94" t="n">
        <v>0</v>
      </c>
      <c r="R94" s="2" t="inlineStr"/>
    </row>
    <row r="95" ht="15" customHeight="1">
      <c r="A95" t="inlineStr">
        <is>
          <t>A 30913-2021</t>
        </is>
      </c>
      <c r="B95" s="1" t="n">
        <v>44365</v>
      </c>
      <c r="C95" s="1" t="n">
        <v>45981</v>
      </c>
      <c r="D95" t="inlineStr">
        <is>
          <t>STOCKHOLMS LÄN</t>
        </is>
      </c>
      <c r="E95" t="inlineStr">
        <is>
          <t>VALLENTUNA</t>
        </is>
      </c>
      <c r="F95" t="inlineStr">
        <is>
          <t>Övriga Aktiebolag</t>
        </is>
      </c>
      <c r="G95" t="n">
        <v>3.3</v>
      </c>
      <c r="H95" t="n">
        <v>0</v>
      </c>
      <c r="I95" t="n">
        <v>0</v>
      </c>
      <c r="J95" t="n">
        <v>0</v>
      </c>
      <c r="K95" t="n">
        <v>0</v>
      </c>
      <c r="L95" t="n">
        <v>0</v>
      </c>
      <c r="M95" t="n">
        <v>0</v>
      </c>
      <c r="N95" t="n">
        <v>0</v>
      </c>
      <c r="O95" t="n">
        <v>0</v>
      </c>
      <c r="P95" t="n">
        <v>0</v>
      </c>
      <c r="Q95" t="n">
        <v>0</v>
      </c>
      <c r="R95" s="2" t="inlineStr"/>
    </row>
    <row r="96" ht="15" customHeight="1">
      <c r="A96" t="inlineStr">
        <is>
          <t>A 45496-2023</t>
        </is>
      </c>
      <c r="B96" s="1" t="n">
        <v>45194</v>
      </c>
      <c r="C96" s="1" t="n">
        <v>45981</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45981</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3937-2022</t>
        </is>
      </c>
      <c r="B98" s="1" t="n">
        <v>44587</v>
      </c>
      <c r="C98" s="1" t="n">
        <v>45981</v>
      </c>
      <c r="D98" t="inlineStr">
        <is>
          <t>STOCKHOLMS LÄN</t>
        </is>
      </c>
      <c r="E98" t="inlineStr">
        <is>
          <t>VALLENTUNA</t>
        </is>
      </c>
      <c r="G98" t="n">
        <v>6.6</v>
      </c>
      <c r="H98" t="n">
        <v>0</v>
      </c>
      <c r="I98" t="n">
        <v>0</v>
      </c>
      <c r="J98" t="n">
        <v>0</v>
      </c>
      <c r="K98" t="n">
        <v>0</v>
      </c>
      <c r="L98" t="n">
        <v>0</v>
      </c>
      <c r="M98" t="n">
        <v>0</v>
      </c>
      <c r="N98" t="n">
        <v>0</v>
      </c>
      <c r="O98" t="n">
        <v>0</v>
      </c>
      <c r="P98" t="n">
        <v>0</v>
      </c>
      <c r="Q98" t="n">
        <v>0</v>
      </c>
      <c r="R98" s="2" t="inlineStr"/>
    </row>
    <row r="99" ht="15" customHeight="1">
      <c r="A99" t="inlineStr">
        <is>
          <t>A 44988-2025</t>
        </is>
      </c>
      <c r="B99" s="1" t="n">
        <v>45918.65505787037</v>
      </c>
      <c r="C99" s="1" t="n">
        <v>45981</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23013-2024</t>
        </is>
      </c>
      <c r="B100" s="1" t="n">
        <v>45450.35116898148</v>
      </c>
      <c r="C100" s="1" t="n">
        <v>45981</v>
      </c>
      <c r="D100" t="inlineStr">
        <is>
          <t>STOCKHOLMS LÄN</t>
        </is>
      </c>
      <c r="E100" t="inlineStr">
        <is>
          <t>VALLENTUNA</t>
        </is>
      </c>
      <c r="G100" t="n">
        <v>0.4</v>
      </c>
      <c r="H100" t="n">
        <v>0</v>
      </c>
      <c r="I100" t="n">
        <v>0</v>
      </c>
      <c r="J100" t="n">
        <v>0</v>
      </c>
      <c r="K100" t="n">
        <v>0</v>
      </c>
      <c r="L100" t="n">
        <v>0</v>
      </c>
      <c r="M100" t="n">
        <v>0</v>
      </c>
      <c r="N100" t="n">
        <v>0</v>
      </c>
      <c r="O100" t="n">
        <v>0</v>
      </c>
      <c r="P100" t="n">
        <v>0</v>
      </c>
      <c r="Q100" t="n">
        <v>0</v>
      </c>
      <c r="R100" s="2" t="inlineStr"/>
    </row>
    <row r="101" ht="15" customHeight="1">
      <c r="A101" t="inlineStr">
        <is>
          <t>A 3078-2023</t>
        </is>
      </c>
      <c r="B101" s="1" t="n">
        <v>44946.41527777778</v>
      </c>
      <c r="C101" s="1" t="n">
        <v>45981</v>
      </c>
      <c r="D101" t="inlineStr">
        <is>
          <t>STOCKHOLMS LÄN</t>
        </is>
      </c>
      <c r="E101" t="inlineStr">
        <is>
          <t>VALLENTUNA</t>
        </is>
      </c>
      <c r="G101" t="n">
        <v>3.9</v>
      </c>
      <c r="H101" t="n">
        <v>0</v>
      </c>
      <c r="I101" t="n">
        <v>0</v>
      </c>
      <c r="J101" t="n">
        <v>0</v>
      </c>
      <c r="K101" t="n">
        <v>0</v>
      </c>
      <c r="L101" t="n">
        <v>0</v>
      </c>
      <c r="M101" t="n">
        <v>0</v>
      </c>
      <c r="N101" t="n">
        <v>0</v>
      </c>
      <c r="O101" t="n">
        <v>0</v>
      </c>
      <c r="P101" t="n">
        <v>0</v>
      </c>
      <c r="Q101" t="n">
        <v>0</v>
      </c>
      <c r="R101" s="2" t="inlineStr"/>
    </row>
    <row r="102" ht="15" customHeight="1">
      <c r="A102" t="inlineStr">
        <is>
          <t>A 6593-2021</t>
        </is>
      </c>
      <c r="B102" s="1" t="n">
        <v>44236</v>
      </c>
      <c r="C102" s="1" t="n">
        <v>45981</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27868-2025</t>
        </is>
      </c>
      <c r="B103" s="1" t="n">
        <v>45817</v>
      </c>
      <c r="C103" s="1" t="n">
        <v>45981</v>
      </c>
      <c r="D103" t="inlineStr">
        <is>
          <t>STOCKHOLMS LÄN</t>
        </is>
      </c>
      <c r="E103" t="inlineStr">
        <is>
          <t>VALLENTUNA</t>
        </is>
      </c>
      <c r="G103" t="n">
        <v>2.1</v>
      </c>
      <c r="H103" t="n">
        <v>0</v>
      </c>
      <c r="I103" t="n">
        <v>0</v>
      </c>
      <c r="J103" t="n">
        <v>0</v>
      </c>
      <c r="K103" t="n">
        <v>0</v>
      </c>
      <c r="L103" t="n">
        <v>0</v>
      </c>
      <c r="M103" t="n">
        <v>0</v>
      </c>
      <c r="N103" t="n">
        <v>0</v>
      </c>
      <c r="O103" t="n">
        <v>0</v>
      </c>
      <c r="P103" t="n">
        <v>0</v>
      </c>
      <c r="Q103" t="n">
        <v>0</v>
      </c>
      <c r="R103" s="2" t="inlineStr"/>
    </row>
    <row r="104" ht="15" customHeight="1">
      <c r="A104" t="inlineStr">
        <is>
          <t>A 54466-2025</t>
        </is>
      </c>
      <c r="B104" s="1" t="n">
        <v>45965.56984953704</v>
      </c>
      <c r="C104" s="1" t="n">
        <v>45981</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27870-2025</t>
        </is>
      </c>
      <c r="B105" s="1" t="n">
        <v>45817</v>
      </c>
      <c r="C105" s="1" t="n">
        <v>45981</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54460-2025</t>
        </is>
      </c>
      <c r="B106" s="1" t="n">
        <v>45965.56219907408</v>
      </c>
      <c r="C106" s="1" t="n">
        <v>45981</v>
      </c>
      <c r="D106" t="inlineStr">
        <is>
          <t>STOCKHOLMS LÄN</t>
        </is>
      </c>
      <c r="E106" t="inlineStr">
        <is>
          <t>VALLENTUNA</t>
        </is>
      </c>
      <c r="G106" t="n">
        <v>22.9</v>
      </c>
      <c r="H106" t="n">
        <v>0</v>
      </c>
      <c r="I106" t="n">
        <v>0</v>
      </c>
      <c r="J106" t="n">
        <v>0</v>
      </c>
      <c r="K106" t="n">
        <v>0</v>
      </c>
      <c r="L106" t="n">
        <v>0</v>
      </c>
      <c r="M106" t="n">
        <v>0</v>
      </c>
      <c r="N106" t="n">
        <v>0</v>
      </c>
      <c r="O106" t="n">
        <v>0</v>
      </c>
      <c r="P106" t="n">
        <v>0</v>
      </c>
      <c r="Q106" t="n">
        <v>0</v>
      </c>
      <c r="R106" s="2" t="inlineStr"/>
    </row>
    <row r="107" ht="15" customHeight="1">
      <c r="A107" t="inlineStr">
        <is>
          <t>A 12609-2024</t>
        </is>
      </c>
      <c r="B107" s="1" t="n">
        <v>45382.8109375</v>
      </c>
      <c r="C107" s="1" t="n">
        <v>45981</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19503-2023</t>
        </is>
      </c>
      <c r="B108" s="1" t="n">
        <v>45050.47333333334</v>
      </c>
      <c r="C108" s="1" t="n">
        <v>45981</v>
      </c>
      <c r="D108" t="inlineStr">
        <is>
          <t>STOCKHOLMS LÄN</t>
        </is>
      </c>
      <c r="E108" t="inlineStr">
        <is>
          <t>VALLENTUNA</t>
        </is>
      </c>
      <c r="G108" t="n">
        <v>0.7</v>
      </c>
      <c r="H108" t="n">
        <v>0</v>
      </c>
      <c r="I108" t="n">
        <v>0</v>
      </c>
      <c r="J108" t="n">
        <v>0</v>
      </c>
      <c r="K108" t="n">
        <v>0</v>
      </c>
      <c r="L108" t="n">
        <v>0</v>
      </c>
      <c r="M108" t="n">
        <v>0</v>
      </c>
      <c r="N108" t="n">
        <v>0</v>
      </c>
      <c r="O108" t="n">
        <v>0</v>
      </c>
      <c r="P108" t="n">
        <v>0</v>
      </c>
      <c r="Q108" t="n">
        <v>0</v>
      </c>
      <c r="R108" s="2" t="inlineStr"/>
    </row>
    <row r="109" ht="15" customHeight="1">
      <c r="A109" t="inlineStr">
        <is>
          <t>A 13836-2022</t>
        </is>
      </c>
      <c r="B109" s="1" t="n">
        <v>44649</v>
      </c>
      <c r="C109" s="1" t="n">
        <v>45981</v>
      </c>
      <c r="D109" t="inlineStr">
        <is>
          <t>STOCKHOLMS LÄN</t>
        </is>
      </c>
      <c r="E109" t="inlineStr">
        <is>
          <t>VALLENTUNA</t>
        </is>
      </c>
      <c r="G109" t="n">
        <v>3.5</v>
      </c>
      <c r="H109" t="n">
        <v>0</v>
      </c>
      <c r="I109" t="n">
        <v>0</v>
      </c>
      <c r="J109" t="n">
        <v>0</v>
      </c>
      <c r="K109" t="n">
        <v>0</v>
      </c>
      <c r="L109" t="n">
        <v>0</v>
      </c>
      <c r="M109" t="n">
        <v>0</v>
      </c>
      <c r="N109" t="n">
        <v>0</v>
      </c>
      <c r="O109" t="n">
        <v>0</v>
      </c>
      <c r="P109" t="n">
        <v>0</v>
      </c>
      <c r="Q109" t="n">
        <v>0</v>
      </c>
      <c r="R109" s="2" t="inlineStr"/>
    </row>
    <row r="110" ht="15" customHeight="1">
      <c r="A110" t="inlineStr">
        <is>
          <t>A 21612-2021</t>
        </is>
      </c>
      <c r="B110" s="1" t="n">
        <v>44321</v>
      </c>
      <c r="C110" s="1" t="n">
        <v>45981</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45981</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4803-2024</t>
        </is>
      </c>
      <c r="B112" s="1" t="n">
        <v>45328</v>
      </c>
      <c r="C112" s="1" t="n">
        <v>45981</v>
      </c>
      <c r="D112" t="inlineStr">
        <is>
          <t>STOCKHOLMS LÄN</t>
        </is>
      </c>
      <c r="E112" t="inlineStr">
        <is>
          <t>VALLENTUNA</t>
        </is>
      </c>
      <c r="G112" t="n">
        <v>4.6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45981</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38102-2024</t>
        </is>
      </c>
      <c r="B114" s="1" t="n">
        <v>45545.36349537037</v>
      </c>
      <c r="C114" s="1" t="n">
        <v>45981</v>
      </c>
      <c r="D114" t="inlineStr">
        <is>
          <t>STOCKHOLMS LÄN</t>
        </is>
      </c>
      <c r="E114" t="inlineStr">
        <is>
          <t>VALLENTUNA</t>
        </is>
      </c>
      <c r="G114" t="n">
        <v>3.2</v>
      </c>
      <c r="H114" t="n">
        <v>0</v>
      </c>
      <c r="I114" t="n">
        <v>0</v>
      </c>
      <c r="J114" t="n">
        <v>0</v>
      </c>
      <c r="K114" t="n">
        <v>0</v>
      </c>
      <c r="L114" t="n">
        <v>0</v>
      </c>
      <c r="M114" t="n">
        <v>0</v>
      </c>
      <c r="N114" t="n">
        <v>0</v>
      </c>
      <c r="O114" t="n">
        <v>0</v>
      </c>
      <c r="P114" t="n">
        <v>0</v>
      </c>
      <c r="Q114" t="n">
        <v>0</v>
      </c>
      <c r="R114" s="2" t="inlineStr"/>
    </row>
    <row r="115" ht="15" customHeight="1">
      <c r="A115" t="inlineStr">
        <is>
          <t>A 24707-2023</t>
        </is>
      </c>
      <c r="B115" s="1" t="n">
        <v>45084</v>
      </c>
      <c r="C115" s="1" t="n">
        <v>45981</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45981</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45981</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48014-2025</t>
        </is>
      </c>
      <c r="B118" s="1" t="n">
        <v>45932.64520833334</v>
      </c>
      <c r="C118" s="1" t="n">
        <v>45981</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48038-2025</t>
        </is>
      </c>
      <c r="B119" s="1" t="n">
        <v>45932.66008101852</v>
      </c>
      <c r="C119" s="1" t="n">
        <v>45981</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45981</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30902-2025</t>
        </is>
      </c>
      <c r="B121" s="1" t="n">
        <v>45832.36104166666</v>
      </c>
      <c r="C121" s="1" t="n">
        <v>45981</v>
      </c>
      <c r="D121" t="inlineStr">
        <is>
          <t>STOCKHOLMS LÄN</t>
        </is>
      </c>
      <c r="E121" t="inlineStr">
        <is>
          <t>VALLENTUNA</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24994-2021</t>
        </is>
      </c>
      <c r="B122" s="1" t="n">
        <v>44341</v>
      </c>
      <c r="C122" s="1" t="n">
        <v>45981</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60795-2023</t>
        </is>
      </c>
      <c r="B123" s="1" t="n">
        <v>45260</v>
      </c>
      <c r="C123" s="1" t="n">
        <v>45981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44914.70746527778</v>
      </c>
      <c r="C124" s="1" t="n">
        <v>45981</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45981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45981</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14775-2024</t>
        </is>
      </c>
      <c r="B127" s="1" t="n">
        <v>45397.73675925926</v>
      </c>
      <c r="C127" s="1" t="n">
        <v>45981</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8565-2025</t>
        </is>
      </c>
      <c r="B128" s="1" t="n">
        <v>45709</v>
      </c>
      <c r="C128" s="1" t="n">
        <v>45981</v>
      </c>
      <c r="D128" t="inlineStr">
        <is>
          <t>STOCKHOLMS LÄN</t>
        </is>
      </c>
      <c r="E128" t="inlineStr">
        <is>
          <t>VALLENTUNA</t>
        </is>
      </c>
      <c r="F128" t="inlineStr">
        <is>
          <t>Kommuner</t>
        </is>
      </c>
      <c r="G128" t="n">
        <v>4.2</v>
      </c>
      <c r="H128" t="n">
        <v>0</v>
      </c>
      <c r="I128" t="n">
        <v>0</v>
      </c>
      <c r="J128" t="n">
        <v>0</v>
      </c>
      <c r="K128" t="n">
        <v>0</v>
      </c>
      <c r="L128" t="n">
        <v>0</v>
      </c>
      <c r="M128" t="n">
        <v>0</v>
      </c>
      <c r="N128" t="n">
        <v>0</v>
      </c>
      <c r="O128" t="n">
        <v>0</v>
      </c>
      <c r="P128" t="n">
        <v>0</v>
      </c>
      <c r="Q128" t="n">
        <v>0</v>
      </c>
      <c r="R128" s="2" t="inlineStr"/>
    </row>
    <row r="129" ht="15" customHeight="1">
      <c r="A129" t="inlineStr">
        <is>
          <t>A 8787-2024</t>
        </is>
      </c>
      <c r="B129" s="1" t="n">
        <v>45356</v>
      </c>
      <c r="C129" s="1" t="n">
        <v>45981</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45981</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45981</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52562-2023</t>
        </is>
      </c>
      <c r="B132" s="1" t="n">
        <v>45225</v>
      </c>
      <c r="C132" s="1" t="n">
        <v>45981</v>
      </c>
      <c r="D132" t="inlineStr">
        <is>
          <t>STOCKHOLMS LÄN</t>
        </is>
      </c>
      <c r="E132" t="inlineStr">
        <is>
          <t>VALLENTUNA</t>
        </is>
      </c>
      <c r="G132" t="n">
        <v>3.4</v>
      </c>
      <c r="H132" t="n">
        <v>0</v>
      </c>
      <c r="I132" t="n">
        <v>0</v>
      </c>
      <c r="J132" t="n">
        <v>0</v>
      </c>
      <c r="K132" t="n">
        <v>0</v>
      </c>
      <c r="L132" t="n">
        <v>0</v>
      </c>
      <c r="M132" t="n">
        <v>0</v>
      </c>
      <c r="N132" t="n">
        <v>0</v>
      </c>
      <c r="O132" t="n">
        <v>0</v>
      </c>
      <c r="P132" t="n">
        <v>0</v>
      </c>
      <c r="Q132" t="n">
        <v>0</v>
      </c>
      <c r="R132" s="2" t="inlineStr"/>
    </row>
    <row r="133" ht="15" customHeight="1">
      <c r="A133" t="inlineStr">
        <is>
          <t>A 49530-2023</t>
        </is>
      </c>
      <c r="B133" s="1" t="n">
        <v>45205</v>
      </c>
      <c r="C133" s="1" t="n">
        <v>45981</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52542-2023</t>
        </is>
      </c>
      <c r="B134" s="1" t="n">
        <v>45225</v>
      </c>
      <c r="C134" s="1" t="n">
        <v>45981</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2318-2024</t>
        </is>
      </c>
      <c r="B135" s="1" t="n">
        <v>45310</v>
      </c>
      <c r="C135" s="1" t="n">
        <v>45981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60818-2023</t>
        </is>
      </c>
      <c r="B136" s="1" t="n">
        <v>45259</v>
      </c>
      <c r="C136" s="1" t="n">
        <v>45981</v>
      </c>
      <c r="D136" t="inlineStr">
        <is>
          <t>STOCKHOLMS LÄN</t>
        </is>
      </c>
      <c r="E136" t="inlineStr">
        <is>
          <t>VALLENTUNA</t>
        </is>
      </c>
      <c r="G136" t="n">
        <v>9.4</v>
      </c>
      <c r="H136" t="n">
        <v>0</v>
      </c>
      <c r="I136" t="n">
        <v>0</v>
      </c>
      <c r="J136" t="n">
        <v>0</v>
      </c>
      <c r="K136" t="n">
        <v>0</v>
      </c>
      <c r="L136" t="n">
        <v>0</v>
      </c>
      <c r="M136" t="n">
        <v>0</v>
      </c>
      <c r="N136" t="n">
        <v>0</v>
      </c>
      <c r="O136" t="n">
        <v>0</v>
      </c>
      <c r="P136" t="n">
        <v>0</v>
      </c>
      <c r="Q136" t="n">
        <v>0</v>
      </c>
      <c r="R136" s="2" t="inlineStr"/>
    </row>
    <row r="137" ht="15" customHeight="1">
      <c r="A137" t="inlineStr">
        <is>
          <t>A 9063-2024</t>
        </is>
      </c>
      <c r="B137" s="1" t="n">
        <v>45357.72652777778</v>
      </c>
      <c r="C137" s="1" t="n">
        <v>45981</v>
      </c>
      <c r="D137" t="inlineStr">
        <is>
          <t>STOCKHOLMS LÄN</t>
        </is>
      </c>
      <c r="E137" t="inlineStr">
        <is>
          <t>VALLENTUNA</t>
        </is>
      </c>
      <c r="G137" t="n">
        <v>4.1</v>
      </c>
      <c r="H137" t="n">
        <v>0</v>
      </c>
      <c r="I137" t="n">
        <v>0</v>
      </c>
      <c r="J137" t="n">
        <v>0</v>
      </c>
      <c r="K137" t="n">
        <v>0</v>
      </c>
      <c r="L137" t="n">
        <v>0</v>
      </c>
      <c r="M137" t="n">
        <v>0</v>
      </c>
      <c r="N137" t="n">
        <v>0</v>
      </c>
      <c r="O137" t="n">
        <v>0</v>
      </c>
      <c r="P137" t="n">
        <v>0</v>
      </c>
      <c r="Q137" t="n">
        <v>0</v>
      </c>
      <c r="R137" s="2" t="inlineStr"/>
    </row>
    <row r="138" ht="15" customHeight="1">
      <c r="A138" t="inlineStr">
        <is>
          <t>A 28431-2025</t>
        </is>
      </c>
      <c r="B138" s="1" t="n">
        <v>45819.38072916667</v>
      </c>
      <c r="C138" s="1" t="n">
        <v>45981</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7264-2022</t>
        </is>
      </c>
      <c r="B139" s="1" t="n">
        <v>44606</v>
      </c>
      <c r="C139" s="1" t="n">
        <v>45981</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19356-2025</t>
        </is>
      </c>
      <c r="B140" s="1" t="n">
        <v>45769.62061342593</v>
      </c>
      <c r="C140" s="1" t="n">
        <v>45981</v>
      </c>
      <c r="D140" t="inlineStr">
        <is>
          <t>STOCKHOLMS LÄN</t>
        </is>
      </c>
      <c r="E140" t="inlineStr">
        <is>
          <t>VALLENTUNA</t>
        </is>
      </c>
      <c r="F140" t="inlineStr">
        <is>
          <t>Övriga Aktiebolag</t>
        </is>
      </c>
      <c r="G140" t="n">
        <v>1.6</v>
      </c>
      <c r="H140" t="n">
        <v>0</v>
      </c>
      <c r="I140" t="n">
        <v>0</v>
      </c>
      <c r="J140" t="n">
        <v>0</v>
      </c>
      <c r="K140" t="n">
        <v>0</v>
      </c>
      <c r="L140" t="n">
        <v>0</v>
      </c>
      <c r="M140" t="n">
        <v>0</v>
      </c>
      <c r="N140" t="n">
        <v>0</v>
      </c>
      <c r="O140" t="n">
        <v>0</v>
      </c>
      <c r="P140" t="n">
        <v>0</v>
      </c>
      <c r="Q140" t="n">
        <v>0</v>
      </c>
      <c r="R140" s="2" t="inlineStr"/>
    </row>
    <row r="141" ht="15" customHeight="1">
      <c r="A141" t="inlineStr">
        <is>
          <t>A 11950-2025</t>
        </is>
      </c>
      <c r="B141" s="1" t="n">
        <v>45728.55622685186</v>
      </c>
      <c r="C141" s="1" t="n">
        <v>45981</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c r="A142" t="inlineStr">
        <is>
          <t>A 44346-2021</t>
        </is>
      </c>
      <c r="B142" s="1" t="n">
        <v>44434</v>
      </c>
      <c r="C142" s="1" t="n">
        <v>45981</v>
      </c>
      <c r="D142" t="inlineStr">
        <is>
          <t>STOCKHOLMS LÄN</t>
        </is>
      </c>
      <c r="E142" t="inlineStr">
        <is>
          <t>VALLENTUNA</t>
        </is>
      </c>
      <c r="G142" t="n">
        <v>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2025-11-20T17:02:36Z</dcterms:created>
  <dcterms:modified xmlns:dcterms="http://purl.org/dc/terms/" xmlns:xsi="http://www.w3.org/2001/XMLSchema-instance" xsi:type="dcterms:W3CDTF">2025-11-20T17:02:36Z</dcterms:modified>
</cp:coreProperties>
</file>