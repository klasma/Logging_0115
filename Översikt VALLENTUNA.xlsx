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46101</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46101</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46101</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46101</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46101</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46101</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46101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46101</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46101</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41021-2023</t>
        </is>
      </c>
      <c r="B24" s="1" t="n">
        <v>45173</v>
      </c>
      <c r="C24" s="1" t="n">
        <v>46101</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46101</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46101</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754-2024</t>
        </is>
      </c>
      <c r="B27" s="1" t="n">
        <v>45300</v>
      </c>
      <c r="C27" s="1" t="n">
        <v>46101</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46101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46101</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46101</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22830-2024</t>
        </is>
      </c>
      <c r="B31" s="1" t="n">
        <v>45448.56583333333</v>
      </c>
      <c r="C31" s="1" t="n">
        <v>46101</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46101</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46101</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21-2022</t>
        </is>
      </c>
      <c r="B34" s="1" t="n">
        <v>44560</v>
      </c>
      <c r="C34" s="1" t="n">
        <v>46101</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63543-2025</t>
        </is>
      </c>
      <c r="B35" s="1" t="n">
        <v>46013.59207175926</v>
      </c>
      <c r="C35" s="1" t="n">
        <v>46101</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63539-2025</t>
        </is>
      </c>
      <c r="B36" s="1" t="n">
        <v>46013.58824074074</v>
      </c>
      <c r="C36" s="1" t="n">
        <v>46101</v>
      </c>
      <c r="D36" t="inlineStr">
        <is>
          <t>STOCKHOLMS LÄN</t>
        </is>
      </c>
      <c r="E36" t="inlineStr">
        <is>
          <t>VALLENTUNA</t>
        </is>
      </c>
      <c r="G36" t="n">
        <v>1.1</v>
      </c>
      <c r="H36" t="n">
        <v>0</v>
      </c>
      <c r="I36" t="n">
        <v>1</v>
      </c>
      <c r="J36" t="n">
        <v>0</v>
      </c>
      <c r="K36" t="n">
        <v>0</v>
      </c>
      <c r="L36" t="n">
        <v>0</v>
      </c>
      <c r="M36" t="n">
        <v>0</v>
      </c>
      <c r="N36" t="n">
        <v>0</v>
      </c>
      <c r="O36" t="n">
        <v>0</v>
      </c>
      <c r="P36" t="n">
        <v>0</v>
      </c>
      <c r="Q36" t="n">
        <v>1</v>
      </c>
      <c r="R36" s="2" t="inlineStr">
        <is>
          <t>Vårärt</t>
        </is>
      </c>
      <c r="S36">
        <f>HYPERLINK("https://klasma.github.io/Logging_0115/artfynd/A 63539-2025 artfynd.xlsx", "A 63539-2025")</f>
        <v/>
      </c>
      <c r="T36">
        <f>HYPERLINK("https://klasma.github.io/Logging_0115/kartor/A 63539-2025 karta.png", "A 63539-2025")</f>
        <v/>
      </c>
      <c r="V36">
        <f>HYPERLINK("https://klasma.github.io/Logging_0115/klagomål/A 63539-2025 FSC-klagomål.docx", "A 63539-2025")</f>
        <v/>
      </c>
      <c r="W36">
        <f>HYPERLINK("https://klasma.github.io/Logging_0115/klagomålsmail/A 63539-2025 FSC-klagomål mail.docx", "A 63539-2025")</f>
        <v/>
      </c>
      <c r="X36">
        <f>HYPERLINK("https://klasma.github.io/Logging_0115/tillsyn/A 63539-2025 tillsynsbegäran.docx", "A 63539-2025")</f>
        <v/>
      </c>
      <c r="Y36">
        <f>HYPERLINK("https://klasma.github.io/Logging_0115/tillsynsmail/A 63539-2025 tillsynsbegäran mail.docx", "A 63539-2025")</f>
        <v/>
      </c>
    </row>
    <row r="37" ht="15" customHeight="1">
      <c r="A37" t="inlineStr">
        <is>
          <t>A 17341-2025</t>
        </is>
      </c>
      <c r="B37" s="1" t="n">
        <v>45756</v>
      </c>
      <c r="C37" s="1" t="n">
        <v>46101</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12401-2026</t>
        </is>
      </c>
      <c r="B38" s="1" t="n">
        <v>46090</v>
      </c>
      <c r="C38" s="1" t="n">
        <v>46101</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34458-2023</t>
        </is>
      </c>
      <c r="B39" s="1" t="n">
        <v>45139</v>
      </c>
      <c r="C39" s="1" t="n">
        <v>46101</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46101</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46101</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46101</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46101</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46101</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46101</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46101</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46101</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46101</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46101</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46101</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46101</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46101</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46101</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46101</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46101</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46101</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46101</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46101</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46101</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46101</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49530-2023</t>
        </is>
      </c>
      <c r="B62" s="1" t="n">
        <v>45205</v>
      </c>
      <c r="C62" s="1" t="n">
        <v>46101</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24994-2021</t>
        </is>
      </c>
      <c r="B63" s="1" t="n">
        <v>44341</v>
      </c>
      <c r="C63" s="1" t="n">
        <v>46101</v>
      </c>
      <c r="D63" t="inlineStr">
        <is>
          <t>STOCKHOLMS LÄN</t>
        </is>
      </c>
      <c r="E63" t="inlineStr">
        <is>
          <t>VALLENTUNA</t>
        </is>
      </c>
      <c r="G63" t="n">
        <v>2.6</v>
      </c>
      <c r="H63" t="n">
        <v>0</v>
      </c>
      <c r="I63" t="n">
        <v>0</v>
      </c>
      <c r="J63" t="n">
        <v>0</v>
      </c>
      <c r="K63" t="n">
        <v>0</v>
      </c>
      <c r="L63" t="n">
        <v>0</v>
      </c>
      <c r="M63" t="n">
        <v>0</v>
      </c>
      <c r="N63" t="n">
        <v>0</v>
      </c>
      <c r="O63" t="n">
        <v>0</v>
      </c>
      <c r="P63" t="n">
        <v>0</v>
      </c>
      <c r="Q63" t="n">
        <v>0</v>
      </c>
      <c r="R63" s="2" t="inlineStr"/>
    </row>
    <row r="64" ht="15" customHeight="1">
      <c r="A64" t="inlineStr">
        <is>
          <t>A 52989-2023</t>
        </is>
      </c>
      <c r="B64" s="1" t="n">
        <v>45226</v>
      </c>
      <c r="C64" s="1" t="n">
        <v>46101</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46101</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46101</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46101</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46101</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48068-2021</t>
        </is>
      </c>
      <c r="B69" s="1" t="n">
        <v>44449.42270833333</v>
      </c>
      <c r="C69" s="1" t="n">
        <v>46101</v>
      </c>
      <c r="D69" t="inlineStr">
        <is>
          <t>STOCKHOLMS LÄN</t>
        </is>
      </c>
      <c r="E69" t="inlineStr">
        <is>
          <t>VALLENTUNA</t>
        </is>
      </c>
      <c r="G69" t="n">
        <v>1.3</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46101</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3937-2022</t>
        </is>
      </c>
      <c r="B71" s="1" t="n">
        <v>44587</v>
      </c>
      <c r="C71" s="1" t="n">
        <v>46101</v>
      </c>
      <c r="D71" t="inlineStr">
        <is>
          <t>STOCKHOLMS LÄN</t>
        </is>
      </c>
      <c r="E71" t="inlineStr">
        <is>
          <t>VALLENTUNA</t>
        </is>
      </c>
      <c r="G71" t="n">
        <v>6.6</v>
      </c>
      <c r="H71" t="n">
        <v>0</v>
      </c>
      <c r="I71" t="n">
        <v>0</v>
      </c>
      <c r="J71" t="n">
        <v>0</v>
      </c>
      <c r="K71" t="n">
        <v>0</v>
      </c>
      <c r="L71" t="n">
        <v>0</v>
      </c>
      <c r="M71" t="n">
        <v>0</v>
      </c>
      <c r="N71" t="n">
        <v>0</v>
      </c>
      <c r="O71" t="n">
        <v>0</v>
      </c>
      <c r="P71" t="n">
        <v>0</v>
      </c>
      <c r="Q71" t="n">
        <v>0</v>
      </c>
      <c r="R71" s="2" t="inlineStr"/>
    </row>
    <row r="72" ht="15" customHeight="1">
      <c r="A72" t="inlineStr">
        <is>
          <t>A 7264-2022</t>
        </is>
      </c>
      <c r="B72" s="1" t="n">
        <v>44606</v>
      </c>
      <c r="C72" s="1" t="n">
        <v>46101</v>
      </c>
      <c r="D72" t="inlineStr">
        <is>
          <t>STOCKHOLMS LÄN</t>
        </is>
      </c>
      <c r="E72" t="inlineStr">
        <is>
          <t>VALLENTUNA</t>
        </is>
      </c>
      <c r="G72" t="n">
        <v>2.4</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46101</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46101</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44346-2021</t>
        </is>
      </c>
      <c r="B75" s="1" t="n">
        <v>44434</v>
      </c>
      <c r="C75" s="1" t="n">
        <v>46101</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41206-2025</t>
        </is>
      </c>
      <c r="B76" s="1" t="n">
        <v>45898</v>
      </c>
      <c r="C76" s="1" t="n">
        <v>46101</v>
      </c>
      <c r="D76" t="inlineStr">
        <is>
          <t>STOCKHOLMS LÄN</t>
        </is>
      </c>
      <c r="E76" t="inlineStr">
        <is>
          <t>VALLENTUNA</t>
        </is>
      </c>
      <c r="G76" t="n">
        <v>10</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46101</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61442-2024</t>
        </is>
      </c>
      <c r="B78" s="1" t="n">
        <v>45646.47003472222</v>
      </c>
      <c r="C78" s="1" t="n">
        <v>46101</v>
      </c>
      <c r="D78" t="inlineStr">
        <is>
          <t>STOCKHOLMS LÄN</t>
        </is>
      </c>
      <c r="E78" t="inlineStr">
        <is>
          <t>VALLENTUNA</t>
        </is>
      </c>
      <c r="G78" t="n">
        <v>4.6</v>
      </c>
      <c r="H78" t="n">
        <v>0</v>
      </c>
      <c r="I78" t="n">
        <v>0</v>
      </c>
      <c r="J78" t="n">
        <v>0</v>
      </c>
      <c r="K78" t="n">
        <v>0</v>
      </c>
      <c r="L78" t="n">
        <v>0</v>
      </c>
      <c r="M78" t="n">
        <v>0</v>
      </c>
      <c r="N78" t="n">
        <v>0</v>
      </c>
      <c r="O78" t="n">
        <v>0</v>
      </c>
      <c r="P78" t="n">
        <v>0</v>
      </c>
      <c r="Q78" t="n">
        <v>0</v>
      </c>
      <c r="R78" s="2" t="inlineStr"/>
    </row>
    <row r="79" ht="15" customHeight="1">
      <c r="A79" t="inlineStr">
        <is>
          <t>A 44988-2025</t>
        </is>
      </c>
      <c r="B79" s="1" t="n">
        <v>45918.65505787037</v>
      </c>
      <c r="C79" s="1" t="n">
        <v>46101</v>
      </c>
      <c r="D79" t="inlineStr">
        <is>
          <t>STOCKHOLMS LÄN</t>
        </is>
      </c>
      <c r="E79" t="inlineStr">
        <is>
          <t>VALLENTUNA</t>
        </is>
      </c>
      <c r="G79" t="n">
        <v>1</v>
      </c>
      <c r="H79" t="n">
        <v>0</v>
      </c>
      <c r="I79" t="n">
        <v>0</v>
      </c>
      <c r="J79" t="n">
        <v>0</v>
      </c>
      <c r="K79" t="n">
        <v>0</v>
      </c>
      <c r="L79" t="n">
        <v>0</v>
      </c>
      <c r="M79" t="n">
        <v>0</v>
      </c>
      <c r="N79" t="n">
        <v>0</v>
      </c>
      <c r="O79" t="n">
        <v>0</v>
      </c>
      <c r="P79" t="n">
        <v>0</v>
      </c>
      <c r="Q79" t="n">
        <v>0</v>
      </c>
      <c r="R79" s="2" t="inlineStr"/>
    </row>
    <row r="80" ht="15" customHeight="1">
      <c r="A80" t="inlineStr">
        <is>
          <t>A 19503-2023</t>
        </is>
      </c>
      <c r="B80" s="1" t="n">
        <v>45050.47333333334</v>
      </c>
      <c r="C80" s="1" t="n">
        <v>46101</v>
      </c>
      <c r="D80" t="inlineStr">
        <is>
          <t>STOCKHOLMS LÄN</t>
        </is>
      </c>
      <c r="E80" t="inlineStr">
        <is>
          <t>VALLENTUNA</t>
        </is>
      </c>
      <c r="G80" t="n">
        <v>0.7</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46101</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46101</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21445-2023</t>
        </is>
      </c>
      <c r="B83" s="1" t="n">
        <v>45063</v>
      </c>
      <c r="C83" s="1" t="n">
        <v>46101</v>
      </c>
      <c r="D83" t="inlineStr">
        <is>
          <t>STOCKHOLMS LÄN</t>
        </is>
      </c>
      <c r="E83" t="inlineStr">
        <is>
          <t>VALLENTUNA</t>
        </is>
      </c>
      <c r="G83" t="n">
        <v>3.1</v>
      </c>
      <c r="H83" t="n">
        <v>0</v>
      </c>
      <c r="I83" t="n">
        <v>0</v>
      </c>
      <c r="J83" t="n">
        <v>0</v>
      </c>
      <c r="K83" t="n">
        <v>0</v>
      </c>
      <c r="L83" t="n">
        <v>0</v>
      </c>
      <c r="M83" t="n">
        <v>0</v>
      </c>
      <c r="N83" t="n">
        <v>0</v>
      </c>
      <c r="O83" t="n">
        <v>0</v>
      </c>
      <c r="P83" t="n">
        <v>0</v>
      </c>
      <c r="Q83" t="n">
        <v>0</v>
      </c>
      <c r="R83" s="2" t="inlineStr"/>
    </row>
    <row r="84" ht="15" customHeight="1">
      <c r="A84" t="inlineStr">
        <is>
          <t>A 22683-2023</t>
        </is>
      </c>
      <c r="B84" s="1" t="n">
        <v>45071</v>
      </c>
      <c r="C84" s="1" t="n">
        <v>46101</v>
      </c>
      <c r="D84" t="inlineStr">
        <is>
          <t>STOCKHOLMS LÄN</t>
        </is>
      </c>
      <c r="E84" t="inlineStr">
        <is>
          <t>VALLENTUNA</t>
        </is>
      </c>
      <c r="G84" t="n">
        <v>1.2</v>
      </c>
      <c r="H84" t="n">
        <v>0</v>
      </c>
      <c r="I84" t="n">
        <v>0</v>
      </c>
      <c r="J84" t="n">
        <v>0</v>
      </c>
      <c r="K84" t="n">
        <v>0</v>
      </c>
      <c r="L84" t="n">
        <v>0</v>
      </c>
      <c r="M84" t="n">
        <v>0</v>
      </c>
      <c r="N84" t="n">
        <v>0</v>
      </c>
      <c r="O84" t="n">
        <v>0</v>
      </c>
      <c r="P84" t="n">
        <v>0</v>
      </c>
      <c r="Q84" t="n">
        <v>0</v>
      </c>
      <c r="R84" s="2" t="inlineStr"/>
    </row>
    <row r="85" ht="15" customHeight="1">
      <c r="A85" t="inlineStr">
        <is>
          <t>A 24943-2024</t>
        </is>
      </c>
      <c r="B85" s="1" t="n">
        <v>45461.62585648148</v>
      </c>
      <c r="C85" s="1" t="n">
        <v>46101</v>
      </c>
      <c r="D85" t="inlineStr">
        <is>
          <t>STOCKHOLMS LÄN</t>
        </is>
      </c>
      <c r="E85" t="inlineStr">
        <is>
          <t>VALLENTUNA</t>
        </is>
      </c>
      <c r="G85" t="n">
        <v>2</v>
      </c>
      <c r="H85" t="n">
        <v>0</v>
      </c>
      <c r="I85" t="n">
        <v>0</v>
      </c>
      <c r="J85" t="n">
        <v>0</v>
      </c>
      <c r="K85" t="n">
        <v>0</v>
      </c>
      <c r="L85" t="n">
        <v>0</v>
      </c>
      <c r="M85" t="n">
        <v>0</v>
      </c>
      <c r="N85" t="n">
        <v>0</v>
      </c>
      <c r="O85" t="n">
        <v>0</v>
      </c>
      <c r="P85" t="n">
        <v>0</v>
      </c>
      <c r="Q85" t="n">
        <v>0</v>
      </c>
      <c r="R85" s="2" t="inlineStr"/>
    </row>
    <row r="86" ht="15" customHeight="1">
      <c r="A86" t="inlineStr">
        <is>
          <t>A 5910-2022</t>
        </is>
      </c>
      <c r="B86" s="1" t="n">
        <v>44597</v>
      </c>
      <c r="C86" s="1" t="n">
        <v>46101</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50784-2025</t>
        </is>
      </c>
      <c r="B87" s="1" t="n">
        <v>45946</v>
      </c>
      <c r="C87" s="1" t="n">
        <v>46101</v>
      </c>
      <c r="D87" t="inlineStr">
        <is>
          <t>STOCKHOLMS LÄN</t>
        </is>
      </c>
      <c r="E87" t="inlineStr">
        <is>
          <t>VALLENTUNA</t>
        </is>
      </c>
      <c r="G87" t="n">
        <v>1</v>
      </c>
      <c r="H87" t="n">
        <v>0</v>
      </c>
      <c r="I87" t="n">
        <v>0</v>
      </c>
      <c r="J87" t="n">
        <v>0</v>
      </c>
      <c r="K87" t="n">
        <v>0</v>
      </c>
      <c r="L87" t="n">
        <v>0</v>
      </c>
      <c r="M87" t="n">
        <v>0</v>
      </c>
      <c r="N87" t="n">
        <v>0</v>
      </c>
      <c r="O87" t="n">
        <v>0</v>
      </c>
      <c r="P87" t="n">
        <v>0</v>
      </c>
      <c r="Q87" t="n">
        <v>0</v>
      </c>
      <c r="R87" s="2" t="inlineStr"/>
    </row>
    <row r="88" ht="15" customHeight="1">
      <c r="A88" t="inlineStr">
        <is>
          <t>A 26390-2023</t>
        </is>
      </c>
      <c r="B88" s="1" t="n">
        <v>45086</v>
      </c>
      <c r="C88" s="1" t="n">
        <v>46101</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46101</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54466-2025</t>
        </is>
      </c>
      <c r="B90" s="1" t="n">
        <v>45965.56984953704</v>
      </c>
      <c r="C90" s="1" t="n">
        <v>46101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54460-2025</t>
        </is>
      </c>
      <c r="B91" s="1" t="n">
        <v>45965.56219907408</v>
      </c>
      <c r="C91" s="1" t="n">
        <v>46101</v>
      </c>
      <c r="D91" t="inlineStr">
        <is>
          <t>STOCKHOLMS LÄN</t>
        </is>
      </c>
      <c r="E91" t="inlineStr">
        <is>
          <t>VALLENTUNA</t>
        </is>
      </c>
      <c r="G91" t="n">
        <v>22.9</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46101</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12609-2024</t>
        </is>
      </c>
      <c r="B93" s="1" t="n">
        <v>45382.8109375</v>
      </c>
      <c r="C93" s="1" t="n">
        <v>46101</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47140-2024</t>
        </is>
      </c>
      <c r="B94" s="1" t="n">
        <v>45586.58753472222</v>
      </c>
      <c r="C94" s="1" t="n">
        <v>46101</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8565-2025</t>
        </is>
      </c>
      <c r="B95" s="1" t="n">
        <v>45709</v>
      </c>
      <c r="C95" s="1" t="n">
        <v>46101</v>
      </c>
      <c r="D95" t="inlineStr">
        <is>
          <t>STOCKHOLMS LÄN</t>
        </is>
      </c>
      <c r="E95" t="inlineStr">
        <is>
          <t>VALLENTUNA</t>
        </is>
      </c>
      <c r="F95" t="inlineStr">
        <is>
          <t>Kommuner</t>
        </is>
      </c>
      <c r="G95" t="n">
        <v>4.2</v>
      </c>
      <c r="H95" t="n">
        <v>0</v>
      </c>
      <c r="I95" t="n">
        <v>0</v>
      </c>
      <c r="J95" t="n">
        <v>0</v>
      </c>
      <c r="K95" t="n">
        <v>0</v>
      </c>
      <c r="L95" t="n">
        <v>0</v>
      </c>
      <c r="M95" t="n">
        <v>0</v>
      </c>
      <c r="N95" t="n">
        <v>0</v>
      </c>
      <c r="O95" t="n">
        <v>0</v>
      </c>
      <c r="P95" t="n">
        <v>0</v>
      </c>
      <c r="Q95" t="n">
        <v>0</v>
      </c>
      <c r="R95" s="2" t="inlineStr"/>
    </row>
    <row r="96" ht="15" customHeight="1">
      <c r="A96" t="inlineStr">
        <is>
          <t>A 9063-2024</t>
        </is>
      </c>
      <c r="B96" s="1" t="n">
        <v>45357.72652777778</v>
      </c>
      <c r="C96" s="1" t="n">
        <v>46101</v>
      </c>
      <c r="D96" t="inlineStr">
        <is>
          <t>STOCKHOLMS LÄN</t>
        </is>
      </c>
      <c r="E96" t="inlineStr">
        <is>
          <t>VALLENTUNA</t>
        </is>
      </c>
      <c r="G96" t="n">
        <v>4.1</v>
      </c>
      <c r="H96" t="n">
        <v>0</v>
      </c>
      <c r="I96" t="n">
        <v>0</v>
      </c>
      <c r="J96" t="n">
        <v>0</v>
      </c>
      <c r="K96" t="n">
        <v>0</v>
      </c>
      <c r="L96" t="n">
        <v>0</v>
      </c>
      <c r="M96" t="n">
        <v>0</v>
      </c>
      <c r="N96" t="n">
        <v>0</v>
      </c>
      <c r="O96" t="n">
        <v>0</v>
      </c>
      <c r="P96" t="n">
        <v>0</v>
      </c>
      <c r="Q96" t="n">
        <v>0</v>
      </c>
      <c r="R96" s="2" t="inlineStr"/>
    </row>
    <row r="97" ht="15" customHeight="1">
      <c r="A97" t="inlineStr">
        <is>
          <t>A 27870-2025</t>
        </is>
      </c>
      <c r="B97" s="1" t="n">
        <v>45817</v>
      </c>
      <c r="C97" s="1" t="n">
        <v>46101</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4803-2024</t>
        </is>
      </c>
      <c r="B98" s="1" t="n">
        <v>45328</v>
      </c>
      <c r="C98" s="1" t="n">
        <v>46101</v>
      </c>
      <c r="D98" t="inlineStr">
        <is>
          <t>STOCKHOLMS LÄN</t>
        </is>
      </c>
      <c r="E98" t="inlineStr">
        <is>
          <t>VALLENTUNA</t>
        </is>
      </c>
      <c r="G98" t="n">
        <v>4.6</v>
      </c>
      <c r="H98" t="n">
        <v>0</v>
      </c>
      <c r="I98" t="n">
        <v>0</v>
      </c>
      <c r="J98" t="n">
        <v>0</v>
      </c>
      <c r="K98" t="n">
        <v>0</v>
      </c>
      <c r="L98" t="n">
        <v>0</v>
      </c>
      <c r="M98" t="n">
        <v>0</v>
      </c>
      <c r="N98" t="n">
        <v>0</v>
      </c>
      <c r="O98" t="n">
        <v>0</v>
      </c>
      <c r="P98" t="n">
        <v>0</v>
      </c>
      <c r="Q98" t="n">
        <v>0</v>
      </c>
      <c r="R98" s="2" t="inlineStr"/>
    </row>
    <row r="99" ht="15" customHeight="1">
      <c r="A99" t="inlineStr">
        <is>
          <t>A 52542-2023</t>
        </is>
      </c>
      <c r="B99" s="1" t="n">
        <v>45225</v>
      </c>
      <c r="C99" s="1" t="n">
        <v>46101</v>
      </c>
      <c r="D99" t="inlineStr">
        <is>
          <t>STOCKHOLMS LÄN</t>
        </is>
      </c>
      <c r="E99" t="inlineStr">
        <is>
          <t>VALLENTUNA</t>
        </is>
      </c>
      <c r="G99" t="n">
        <v>3.8</v>
      </c>
      <c r="H99" t="n">
        <v>0</v>
      </c>
      <c r="I99" t="n">
        <v>0</v>
      </c>
      <c r="J99" t="n">
        <v>0</v>
      </c>
      <c r="K99" t="n">
        <v>0</v>
      </c>
      <c r="L99" t="n">
        <v>0</v>
      </c>
      <c r="M99" t="n">
        <v>0</v>
      </c>
      <c r="N99" t="n">
        <v>0</v>
      </c>
      <c r="O99" t="n">
        <v>0</v>
      </c>
      <c r="P99" t="n">
        <v>0</v>
      </c>
      <c r="Q99" t="n">
        <v>0</v>
      </c>
      <c r="R99" s="2" t="inlineStr"/>
    </row>
    <row r="100" ht="15" customHeight="1">
      <c r="A100" t="inlineStr">
        <is>
          <t>A 61646-2025</t>
        </is>
      </c>
      <c r="B100" s="1" t="n">
        <v>46002</v>
      </c>
      <c r="C100" s="1" t="n">
        <v>46101</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11950-2025</t>
        </is>
      </c>
      <c r="B101" s="1" t="n">
        <v>45728.55622685186</v>
      </c>
      <c r="C101" s="1" t="n">
        <v>46101</v>
      </c>
      <c r="D101" t="inlineStr">
        <is>
          <t>STOCKHOLMS LÄN</t>
        </is>
      </c>
      <c r="E101" t="inlineStr">
        <is>
          <t>VALLENTUNA</t>
        </is>
      </c>
      <c r="G101" t="n">
        <v>1.4</v>
      </c>
      <c r="H101" t="n">
        <v>0</v>
      </c>
      <c r="I101" t="n">
        <v>0</v>
      </c>
      <c r="J101" t="n">
        <v>0</v>
      </c>
      <c r="K101" t="n">
        <v>0</v>
      </c>
      <c r="L101" t="n">
        <v>0</v>
      </c>
      <c r="M101" t="n">
        <v>0</v>
      </c>
      <c r="N101" t="n">
        <v>0</v>
      </c>
      <c r="O101" t="n">
        <v>0</v>
      </c>
      <c r="P101" t="n">
        <v>0</v>
      </c>
      <c r="Q101" t="n">
        <v>0</v>
      </c>
      <c r="R101" s="2" t="inlineStr"/>
    </row>
    <row r="102" ht="15" customHeight="1">
      <c r="A102" t="inlineStr">
        <is>
          <t>A 14489-2024</t>
        </is>
      </c>
      <c r="B102" s="1" t="n">
        <v>45394.58053240741</v>
      </c>
      <c r="C102" s="1" t="n">
        <v>46101</v>
      </c>
      <c r="D102" t="inlineStr">
        <is>
          <t>STOCKHOLMS LÄN</t>
        </is>
      </c>
      <c r="E102" t="inlineStr">
        <is>
          <t>VALLENTUNA</t>
        </is>
      </c>
      <c r="G102" t="n">
        <v>2.3</v>
      </c>
      <c r="H102" t="n">
        <v>0</v>
      </c>
      <c r="I102" t="n">
        <v>0</v>
      </c>
      <c r="J102" t="n">
        <v>0</v>
      </c>
      <c r="K102" t="n">
        <v>0</v>
      </c>
      <c r="L102" t="n">
        <v>0</v>
      </c>
      <c r="M102" t="n">
        <v>0</v>
      </c>
      <c r="N102" t="n">
        <v>0</v>
      </c>
      <c r="O102" t="n">
        <v>0</v>
      </c>
      <c r="P102" t="n">
        <v>0</v>
      </c>
      <c r="Q102" t="n">
        <v>0</v>
      </c>
      <c r="R102" s="2" t="inlineStr"/>
    </row>
    <row r="103" ht="15" customHeight="1">
      <c r="A103" t="inlineStr">
        <is>
          <t>A 414-2026</t>
        </is>
      </c>
      <c r="B103" s="1" t="n">
        <v>46028.76050925926</v>
      </c>
      <c r="C103" s="1" t="n">
        <v>46101</v>
      </c>
      <c r="D103" t="inlineStr">
        <is>
          <t>STOCKHOLMS LÄN</t>
        </is>
      </c>
      <c r="E103" t="inlineStr">
        <is>
          <t>VALLENTUNA</t>
        </is>
      </c>
      <c r="G103" t="n">
        <v>2.6</v>
      </c>
      <c r="H103" t="n">
        <v>0</v>
      </c>
      <c r="I103" t="n">
        <v>0</v>
      </c>
      <c r="J103" t="n">
        <v>0</v>
      </c>
      <c r="K103" t="n">
        <v>0</v>
      </c>
      <c r="L103" t="n">
        <v>0</v>
      </c>
      <c r="M103" t="n">
        <v>0</v>
      </c>
      <c r="N103" t="n">
        <v>0</v>
      </c>
      <c r="O103" t="n">
        <v>0</v>
      </c>
      <c r="P103" t="n">
        <v>0</v>
      </c>
      <c r="Q103" t="n">
        <v>0</v>
      </c>
      <c r="R103" s="2" t="inlineStr"/>
    </row>
    <row r="104" ht="15" customHeight="1">
      <c r="A104" t="inlineStr">
        <is>
          <t>A 52562-2023</t>
        </is>
      </c>
      <c r="B104" s="1" t="n">
        <v>45225</v>
      </c>
      <c r="C104" s="1" t="n">
        <v>46101</v>
      </c>
      <c r="D104" t="inlineStr">
        <is>
          <t>STOCKHOLMS LÄN</t>
        </is>
      </c>
      <c r="E104" t="inlineStr">
        <is>
          <t>VALLENTUNA</t>
        </is>
      </c>
      <c r="G104" t="n">
        <v>3.4</v>
      </c>
      <c r="H104" t="n">
        <v>0</v>
      </c>
      <c r="I104" t="n">
        <v>0</v>
      </c>
      <c r="J104" t="n">
        <v>0</v>
      </c>
      <c r="K104" t="n">
        <v>0</v>
      </c>
      <c r="L104" t="n">
        <v>0</v>
      </c>
      <c r="M104" t="n">
        <v>0</v>
      </c>
      <c r="N104" t="n">
        <v>0</v>
      </c>
      <c r="O104" t="n">
        <v>0</v>
      </c>
      <c r="P104" t="n">
        <v>0</v>
      </c>
      <c r="Q104" t="n">
        <v>0</v>
      </c>
      <c r="R104" s="2" t="inlineStr"/>
    </row>
    <row r="105" ht="15" customHeight="1">
      <c r="A105" t="inlineStr">
        <is>
          <t>A 4804-2024</t>
        </is>
      </c>
      <c r="B105" s="1" t="n">
        <v>45328</v>
      </c>
      <c r="C105" s="1" t="n">
        <v>46101</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23013-2024</t>
        </is>
      </c>
      <c r="B106" s="1" t="n">
        <v>45450.35116898148</v>
      </c>
      <c r="C106" s="1" t="n">
        <v>46101</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2318-2024</t>
        </is>
      </c>
      <c r="B107" s="1" t="n">
        <v>45310</v>
      </c>
      <c r="C107" s="1" t="n">
        <v>46101</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61742-2022</t>
        </is>
      </c>
      <c r="B108" s="1" t="n">
        <v>44917</v>
      </c>
      <c r="C108" s="1" t="n">
        <v>46101</v>
      </c>
      <c r="D108" t="inlineStr">
        <is>
          <t>STOCKHOLMS LÄN</t>
        </is>
      </c>
      <c r="E108" t="inlineStr">
        <is>
          <t>VALLENTUNA</t>
        </is>
      </c>
      <c r="G108" t="n">
        <v>0.5</v>
      </c>
      <c r="H108" t="n">
        <v>0</v>
      </c>
      <c r="I108" t="n">
        <v>0</v>
      </c>
      <c r="J108" t="n">
        <v>0</v>
      </c>
      <c r="K108" t="n">
        <v>0</v>
      </c>
      <c r="L108" t="n">
        <v>0</v>
      </c>
      <c r="M108" t="n">
        <v>0</v>
      </c>
      <c r="N108" t="n">
        <v>0</v>
      </c>
      <c r="O108" t="n">
        <v>0</v>
      </c>
      <c r="P108" t="n">
        <v>0</v>
      </c>
      <c r="Q108" t="n">
        <v>0</v>
      </c>
      <c r="R108" s="2" t="inlineStr"/>
    </row>
    <row r="109" ht="15" customHeight="1">
      <c r="A109" t="inlineStr">
        <is>
          <t>A 3698-2022</t>
        </is>
      </c>
      <c r="B109" s="1" t="n">
        <v>44586</v>
      </c>
      <c r="C109" s="1" t="n">
        <v>46101</v>
      </c>
      <c r="D109" t="inlineStr">
        <is>
          <t>STOCKHOLMS LÄN</t>
        </is>
      </c>
      <c r="E109" t="inlineStr">
        <is>
          <t>VALLENTUNA</t>
        </is>
      </c>
      <c r="G109" t="n">
        <v>2.9</v>
      </c>
      <c r="H109" t="n">
        <v>0</v>
      </c>
      <c r="I109" t="n">
        <v>0</v>
      </c>
      <c r="J109" t="n">
        <v>0</v>
      </c>
      <c r="K109" t="n">
        <v>0</v>
      </c>
      <c r="L109" t="n">
        <v>0</v>
      </c>
      <c r="M109" t="n">
        <v>0</v>
      </c>
      <c r="N109" t="n">
        <v>0</v>
      </c>
      <c r="O109" t="n">
        <v>0</v>
      </c>
      <c r="P109" t="n">
        <v>0</v>
      </c>
      <c r="Q109" t="n">
        <v>0</v>
      </c>
      <c r="R109" s="2" t="inlineStr"/>
    </row>
    <row r="110" ht="15" customHeight="1">
      <c r="A110" t="inlineStr">
        <is>
          <t>A 12396-2026</t>
        </is>
      </c>
      <c r="B110" s="1" t="n">
        <v>46090.38930555555</v>
      </c>
      <c r="C110" s="1" t="n">
        <v>46101</v>
      </c>
      <c r="D110" t="inlineStr">
        <is>
          <t>STOCKHOLMS LÄN</t>
        </is>
      </c>
      <c r="E110" t="inlineStr">
        <is>
          <t>VALLENTUNA</t>
        </is>
      </c>
      <c r="G110" t="n">
        <v>3</v>
      </c>
      <c r="H110" t="n">
        <v>0</v>
      </c>
      <c r="I110" t="n">
        <v>0</v>
      </c>
      <c r="J110" t="n">
        <v>0</v>
      </c>
      <c r="K110" t="n">
        <v>0</v>
      </c>
      <c r="L110" t="n">
        <v>0</v>
      </c>
      <c r="M110" t="n">
        <v>0</v>
      </c>
      <c r="N110" t="n">
        <v>0</v>
      </c>
      <c r="O110" t="n">
        <v>0</v>
      </c>
      <c r="P110" t="n">
        <v>0</v>
      </c>
      <c r="Q110" t="n">
        <v>0</v>
      </c>
      <c r="R110" s="2" t="inlineStr"/>
    </row>
    <row r="111" ht="15" customHeight="1">
      <c r="A111" t="inlineStr">
        <is>
          <t>A 12400-2026</t>
        </is>
      </c>
      <c r="B111" s="1" t="n">
        <v>46090.39423611111</v>
      </c>
      <c r="C111" s="1" t="n">
        <v>46101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60997-2022</t>
        </is>
      </c>
      <c r="B112" s="1" t="n">
        <v>44914.70746527778</v>
      </c>
      <c r="C112" s="1" t="n">
        <v>46101</v>
      </c>
      <c r="D112" t="inlineStr">
        <is>
          <t>STOCKHOLMS LÄN</t>
        </is>
      </c>
      <c r="E112" t="inlineStr">
        <is>
          <t>VALLENTUNA</t>
        </is>
      </c>
      <c r="G112" t="n">
        <v>1.8</v>
      </c>
      <c r="H112" t="n">
        <v>0</v>
      </c>
      <c r="I112" t="n">
        <v>0</v>
      </c>
      <c r="J112" t="n">
        <v>0</v>
      </c>
      <c r="K112" t="n">
        <v>0</v>
      </c>
      <c r="L112" t="n">
        <v>0</v>
      </c>
      <c r="M112" t="n">
        <v>0</v>
      </c>
      <c r="N112" t="n">
        <v>0</v>
      </c>
      <c r="O112" t="n">
        <v>0</v>
      </c>
      <c r="P112" t="n">
        <v>0</v>
      </c>
      <c r="Q112" t="n">
        <v>0</v>
      </c>
      <c r="R112" s="2" t="inlineStr"/>
    </row>
    <row r="113" ht="15" customHeight="1">
      <c r="A113" t="inlineStr">
        <is>
          <t>A 12234-2022</t>
        </is>
      </c>
      <c r="B113" s="1" t="n">
        <v>44637</v>
      </c>
      <c r="C113" s="1" t="n">
        <v>46101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12819-2026</t>
        </is>
      </c>
      <c r="B114" s="1" t="n">
        <v>46092.40896990741</v>
      </c>
      <c r="C114" s="1" t="n">
        <v>46101</v>
      </c>
      <c r="D114" t="inlineStr">
        <is>
          <t>STOCKHOLMS LÄN</t>
        </is>
      </c>
      <c r="E114" t="inlineStr">
        <is>
          <t>VALLENTUNA</t>
        </is>
      </c>
      <c r="G114" t="n">
        <v>3.5</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46101</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12822-2026</t>
        </is>
      </c>
      <c r="B116" s="1" t="n">
        <v>46092.41358796296</v>
      </c>
      <c r="C116" s="1" t="n">
        <v>46101</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12828-2026</t>
        </is>
      </c>
      <c r="B117" s="1" t="n">
        <v>46092.41760416667</v>
      </c>
      <c r="C117" s="1" t="n">
        <v>46101</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12585-2023</t>
        </is>
      </c>
      <c r="B118" s="1" t="n">
        <v>45000.41373842592</v>
      </c>
      <c r="C118" s="1" t="n">
        <v>46101</v>
      </c>
      <c r="D118" t="inlineStr">
        <is>
          <t>STOCKHOLMS LÄN</t>
        </is>
      </c>
      <c r="E118" t="inlineStr">
        <is>
          <t>VALLENTUNA</t>
        </is>
      </c>
      <c r="G118" t="n">
        <v>3.7</v>
      </c>
      <c r="H118" t="n">
        <v>0</v>
      </c>
      <c r="I118" t="n">
        <v>0</v>
      </c>
      <c r="J118" t="n">
        <v>0</v>
      </c>
      <c r="K118" t="n">
        <v>0</v>
      </c>
      <c r="L118" t="n">
        <v>0</v>
      </c>
      <c r="M118" t="n">
        <v>0</v>
      </c>
      <c r="N118" t="n">
        <v>0</v>
      </c>
      <c r="O118" t="n">
        <v>0</v>
      </c>
      <c r="P118" t="n">
        <v>0</v>
      </c>
      <c r="Q118" t="n">
        <v>0</v>
      </c>
      <c r="R118" s="2" t="inlineStr"/>
    </row>
    <row r="119" ht="15" customHeight="1">
      <c r="A119" t="inlineStr">
        <is>
          <t>A 12830-2026</t>
        </is>
      </c>
      <c r="B119" s="1" t="n">
        <v>46092.42290509259</v>
      </c>
      <c r="C119" s="1" t="n">
        <v>46101</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46101</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6298-2026</t>
        </is>
      </c>
      <c r="B121" s="1" t="n">
        <v>46055.5656712963</v>
      </c>
      <c r="C121" s="1" t="n">
        <v>46101</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34441-2023</t>
        </is>
      </c>
      <c r="B122" s="1" t="n">
        <v>45139</v>
      </c>
      <c r="C122" s="1" t="n">
        <v>46101</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34445-2023</t>
        </is>
      </c>
      <c r="B123" s="1" t="n">
        <v>45139</v>
      </c>
      <c r="C123" s="1" t="n">
        <v>46101</v>
      </c>
      <c r="D123" t="inlineStr">
        <is>
          <t>STOCKHOLMS LÄN</t>
        </is>
      </c>
      <c r="E123" t="inlineStr">
        <is>
          <t>VALLENTUNA</t>
        </is>
      </c>
      <c r="G123" t="n">
        <v>0.9</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46101</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15300-2023</t>
        </is>
      </c>
      <c r="B125" s="1" t="n">
        <v>45019</v>
      </c>
      <c r="C125" s="1" t="n">
        <v>46101</v>
      </c>
      <c r="D125" t="inlineStr">
        <is>
          <t>STOCKHOLMS LÄN</t>
        </is>
      </c>
      <c r="E125" t="inlineStr">
        <is>
          <t>VALLENTUNA</t>
        </is>
      </c>
      <c r="G125" t="n">
        <v>1.7</v>
      </c>
      <c r="H125" t="n">
        <v>0</v>
      </c>
      <c r="I125" t="n">
        <v>0</v>
      </c>
      <c r="J125" t="n">
        <v>0</v>
      </c>
      <c r="K125" t="n">
        <v>0</v>
      </c>
      <c r="L125" t="n">
        <v>0</v>
      </c>
      <c r="M125" t="n">
        <v>0</v>
      </c>
      <c r="N125" t="n">
        <v>0</v>
      </c>
      <c r="O125" t="n">
        <v>0</v>
      </c>
      <c r="P125" t="n">
        <v>0</v>
      </c>
      <c r="Q125" t="n">
        <v>0</v>
      </c>
      <c r="R125" s="2" t="inlineStr"/>
    </row>
    <row r="126" ht="15" customHeight="1">
      <c r="A126" t="inlineStr">
        <is>
          <t>A 8077-2022</t>
        </is>
      </c>
      <c r="B126" s="1" t="n">
        <v>44609</v>
      </c>
      <c r="C126" s="1" t="n">
        <v>46101</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46101</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29704-2023</t>
        </is>
      </c>
      <c r="B128" s="1" t="n">
        <v>45107</v>
      </c>
      <c r="C128" s="1" t="n">
        <v>46101</v>
      </c>
      <c r="D128" t="inlineStr">
        <is>
          <t>STOCKHOLMS LÄN</t>
        </is>
      </c>
      <c r="E128" t="inlineStr">
        <is>
          <t>VALLENTUNA</t>
        </is>
      </c>
      <c r="G128" t="n">
        <v>3.7</v>
      </c>
      <c r="H128" t="n">
        <v>0</v>
      </c>
      <c r="I128" t="n">
        <v>0</v>
      </c>
      <c r="J128" t="n">
        <v>0</v>
      </c>
      <c r="K128" t="n">
        <v>0</v>
      </c>
      <c r="L128" t="n">
        <v>0</v>
      </c>
      <c r="M128" t="n">
        <v>0</v>
      </c>
      <c r="N128" t="n">
        <v>0</v>
      </c>
      <c r="O128" t="n">
        <v>0</v>
      </c>
      <c r="P128" t="n">
        <v>0</v>
      </c>
      <c r="Q128" t="n">
        <v>0</v>
      </c>
      <c r="R128" s="2" t="inlineStr"/>
    </row>
    <row r="129" ht="15" customHeight="1">
      <c r="A129" t="inlineStr">
        <is>
          <t>A 21765-2023</t>
        </is>
      </c>
      <c r="B129" s="1" t="n">
        <v>45064</v>
      </c>
      <c r="C129" s="1" t="n">
        <v>46101</v>
      </c>
      <c r="D129" t="inlineStr">
        <is>
          <t>STOCKHOLMS LÄN</t>
        </is>
      </c>
      <c r="E129" t="inlineStr">
        <is>
          <t>VALLENTUNA</t>
        </is>
      </c>
      <c r="G129" t="n">
        <v>1.1</v>
      </c>
      <c r="H129" t="n">
        <v>0</v>
      </c>
      <c r="I129" t="n">
        <v>0</v>
      </c>
      <c r="J129" t="n">
        <v>0</v>
      </c>
      <c r="K129" t="n">
        <v>0</v>
      </c>
      <c r="L129" t="n">
        <v>0</v>
      </c>
      <c r="M129" t="n">
        <v>0</v>
      </c>
      <c r="N129" t="n">
        <v>0</v>
      </c>
      <c r="O129" t="n">
        <v>0</v>
      </c>
      <c r="P129" t="n">
        <v>0</v>
      </c>
      <c r="Q129" t="n">
        <v>0</v>
      </c>
      <c r="R129" s="2" t="inlineStr"/>
    </row>
    <row r="130" ht="15" customHeight="1">
      <c r="A130" t="inlineStr">
        <is>
          <t>A 45496-2023</t>
        </is>
      </c>
      <c r="B130" s="1" t="n">
        <v>45194</v>
      </c>
      <c r="C130" s="1" t="n">
        <v>46101</v>
      </c>
      <c r="D130" t="inlineStr">
        <is>
          <t>STOCKHOLMS LÄN</t>
        </is>
      </c>
      <c r="E130" t="inlineStr">
        <is>
          <t>VALLENTUNA</t>
        </is>
      </c>
      <c r="G130" t="n">
        <v>1.2</v>
      </c>
      <c r="H130" t="n">
        <v>0</v>
      </c>
      <c r="I130" t="n">
        <v>0</v>
      </c>
      <c r="J130" t="n">
        <v>0</v>
      </c>
      <c r="K130" t="n">
        <v>0</v>
      </c>
      <c r="L130" t="n">
        <v>0</v>
      </c>
      <c r="M130" t="n">
        <v>0</v>
      </c>
      <c r="N130" t="n">
        <v>0</v>
      </c>
      <c r="O130" t="n">
        <v>0</v>
      </c>
      <c r="P130" t="n">
        <v>0</v>
      </c>
      <c r="Q130" t="n">
        <v>0</v>
      </c>
      <c r="R130" s="2" t="inlineStr"/>
    </row>
    <row r="131" ht="15" customHeight="1">
      <c r="A131" t="inlineStr">
        <is>
          <t>A 45499-2023</t>
        </is>
      </c>
      <c r="B131" s="1" t="n">
        <v>45194</v>
      </c>
      <c r="C131" s="1" t="n">
        <v>46101</v>
      </c>
      <c r="D131" t="inlineStr">
        <is>
          <t>STOCKHOLMS LÄN</t>
        </is>
      </c>
      <c r="E131" t="inlineStr">
        <is>
          <t>VALLENTUNA</t>
        </is>
      </c>
      <c r="G131" t="n">
        <v>2.5</v>
      </c>
      <c r="H131" t="n">
        <v>0</v>
      </c>
      <c r="I131" t="n">
        <v>0</v>
      </c>
      <c r="J131" t="n">
        <v>0</v>
      </c>
      <c r="K131" t="n">
        <v>0</v>
      </c>
      <c r="L131" t="n">
        <v>0</v>
      </c>
      <c r="M131" t="n">
        <v>0</v>
      </c>
      <c r="N131" t="n">
        <v>0</v>
      </c>
      <c r="O131" t="n">
        <v>0</v>
      </c>
      <c r="P131" t="n">
        <v>0</v>
      </c>
      <c r="Q131" t="n">
        <v>0</v>
      </c>
      <c r="R131" s="2" t="inlineStr"/>
    </row>
    <row r="132" ht="15" customHeight="1">
      <c r="A132" t="inlineStr">
        <is>
          <t>A 14782-2024</t>
        </is>
      </c>
      <c r="B132" s="1" t="n">
        <v>45397.74266203704</v>
      </c>
      <c r="C132" s="1" t="n">
        <v>46101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1385-2024</t>
        </is>
      </c>
      <c r="B133" s="1" t="n">
        <v>45303</v>
      </c>
      <c r="C133" s="1" t="n">
        <v>46101</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14775-2024</t>
        </is>
      </c>
      <c r="B134" s="1" t="n">
        <v>45397.73675925926</v>
      </c>
      <c r="C134" s="1" t="n">
        <v>46101</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735-2024</t>
        </is>
      </c>
      <c r="B135" s="1" t="n">
        <v>45300</v>
      </c>
      <c r="C135" s="1" t="n">
        <v>46101</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17411-2023</t>
        </is>
      </c>
      <c r="B136" s="1" t="n">
        <v>45035.82512731481</v>
      </c>
      <c r="C136" s="1" t="n">
        <v>46101</v>
      </c>
      <c r="D136" t="inlineStr">
        <is>
          <t>STOCKHOLMS LÄN</t>
        </is>
      </c>
      <c r="E136" t="inlineStr">
        <is>
          <t>VALLENTUNA</t>
        </is>
      </c>
      <c r="G136" t="n">
        <v>0.7</v>
      </c>
      <c r="H136" t="n">
        <v>0</v>
      </c>
      <c r="I136" t="n">
        <v>0</v>
      </c>
      <c r="J136" t="n">
        <v>0</v>
      </c>
      <c r="K136" t="n">
        <v>0</v>
      </c>
      <c r="L136" t="n">
        <v>0</v>
      </c>
      <c r="M136" t="n">
        <v>0</v>
      </c>
      <c r="N136" t="n">
        <v>0</v>
      </c>
      <c r="O136" t="n">
        <v>0</v>
      </c>
      <c r="P136" t="n">
        <v>0</v>
      </c>
      <c r="Q136" t="n">
        <v>0</v>
      </c>
      <c r="R136" s="2" t="inlineStr"/>
    </row>
    <row r="137" ht="15" customHeight="1">
      <c r="A137" t="inlineStr">
        <is>
          <t>A 15268-2023</t>
        </is>
      </c>
      <c r="B137" s="1" t="n">
        <v>45019.41045138889</v>
      </c>
      <c r="C137" s="1" t="n">
        <v>46101</v>
      </c>
      <c r="D137" t="inlineStr">
        <is>
          <t>STOCKHOLMS LÄN</t>
        </is>
      </c>
      <c r="E137" t="inlineStr">
        <is>
          <t>VALLENTUNA</t>
        </is>
      </c>
      <c r="G137" t="n">
        <v>2.2</v>
      </c>
      <c r="H137" t="n">
        <v>0</v>
      </c>
      <c r="I137" t="n">
        <v>0</v>
      </c>
      <c r="J137" t="n">
        <v>0</v>
      </c>
      <c r="K137" t="n">
        <v>0</v>
      </c>
      <c r="L137" t="n">
        <v>0</v>
      </c>
      <c r="M137" t="n">
        <v>0</v>
      </c>
      <c r="N137" t="n">
        <v>0</v>
      </c>
      <c r="O137" t="n">
        <v>0</v>
      </c>
      <c r="P137" t="n">
        <v>0</v>
      </c>
      <c r="Q137" t="n">
        <v>0</v>
      </c>
      <c r="R137" s="2" t="inlineStr"/>
    </row>
    <row r="138" ht="15" customHeight="1">
      <c r="A138" t="inlineStr">
        <is>
          <t>A 38102-2024</t>
        </is>
      </c>
      <c r="B138" s="1" t="n">
        <v>45545.36349537037</v>
      </c>
      <c r="C138" s="1" t="n">
        <v>46101</v>
      </c>
      <c r="D138" t="inlineStr">
        <is>
          <t>STOCKHOLMS LÄN</t>
        </is>
      </c>
      <c r="E138" t="inlineStr">
        <is>
          <t>VALLENTUNA</t>
        </is>
      </c>
      <c r="G138" t="n">
        <v>3.2</v>
      </c>
      <c r="H138" t="n">
        <v>0</v>
      </c>
      <c r="I138" t="n">
        <v>0</v>
      </c>
      <c r="J138" t="n">
        <v>0</v>
      </c>
      <c r="K138" t="n">
        <v>0</v>
      </c>
      <c r="L138" t="n">
        <v>0</v>
      </c>
      <c r="M138" t="n">
        <v>0</v>
      </c>
      <c r="N138" t="n">
        <v>0</v>
      </c>
      <c r="O138" t="n">
        <v>0</v>
      </c>
      <c r="P138" t="n">
        <v>0</v>
      </c>
      <c r="Q138" t="n">
        <v>0</v>
      </c>
      <c r="R138" s="2" t="inlineStr"/>
    </row>
    <row r="139" ht="15" customHeight="1">
      <c r="A139" t="inlineStr">
        <is>
          <t>A 17340-2025</t>
        </is>
      </c>
      <c r="B139" s="1" t="n">
        <v>45756</v>
      </c>
      <c r="C139" s="1" t="n">
        <v>46101</v>
      </c>
      <c r="D139" t="inlineStr">
        <is>
          <t>STOCKHOLMS LÄN</t>
        </is>
      </c>
      <c r="E139" t="inlineStr">
        <is>
          <t>VALLENTUNA</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20791-2025</t>
        </is>
      </c>
      <c r="B140" s="1" t="n">
        <v>45776.62738425926</v>
      </c>
      <c r="C140" s="1" t="n">
        <v>46101</v>
      </c>
      <c r="D140" t="inlineStr">
        <is>
          <t>STOCKHOLMS LÄN</t>
        </is>
      </c>
      <c r="E140" t="inlineStr">
        <is>
          <t>VALLENTUNA</t>
        </is>
      </c>
      <c r="G140" t="n">
        <v>1.5</v>
      </c>
      <c r="H140" t="n">
        <v>0</v>
      </c>
      <c r="I140" t="n">
        <v>0</v>
      </c>
      <c r="J140" t="n">
        <v>0</v>
      </c>
      <c r="K140" t="n">
        <v>0</v>
      </c>
      <c r="L140" t="n">
        <v>0</v>
      </c>
      <c r="M140" t="n">
        <v>0</v>
      </c>
      <c r="N140" t="n">
        <v>0</v>
      </c>
      <c r="O140" t="n">
        <v>0</v>
      </c>
      <c r="P140" t="n">
        <v>0</v>
      </c>
      <c r="Q140" t="n">
        <v>0</v>
      </c>
      <c r="R140" s="2" t="inlineStr"/>
    </row>
    <row r="141" ht="15" customHeight="1">
      <c r="A141" t="inlineStr">
        <is>
          <t>A 10073-2024</t>
        </is>
      </c>
      <c r="B141" s="1" t="n">
        <v>45364.40821759259</v>
      </c>
      <c r="C141" s="1" t="n">
        <v>46101</v>
      </c>
      <c r="D141" t="inlineStr">
        <is>
          <t>STOCKHOLMS LÄN</t>
        </is>
      </c>
      <c r="E141" t="inlineStr">
        <is>
          <t>VALLENTUNA</t>
        </is>
      </c>
      <c r="G141" t="n">
        <v>1.1</v>
      </c>
      <c r="H141" t="n">
        <v>0</v>
      </c>
      <c r="I141" t="n">
        <v>0</v>
      </c>
      <c r="J141" t="n">
        <v>0</v>
      </c>
      <c r="K141" t="n">
        <v>0</v>
      </c>
      <c r="L141" t="n">
        <v>0</v>
      </c>
      <c r="M141" t="n">
        <v>0</v>
      </c>
      <c r="N141" t="n">
        <v>0</v>
      </c>
      <c r="O141" t="n">
        <v>0</v>
      </c>
      <c r="P141" t="n">
        <v>0</v>
      </c>
      <c r="Q141" t="n">
        <v>0</v>
      </c>
      <c r="R141" s="2" t="inlineStr"/>
    </row>
    <row r="142" ht="15" customHeight="1">
      <c r="A142" t="inlineStr">
        <is>
          <t>A 34452-2021</t>
        </is>
      </c>
      <c r="B142" s="1" t="n">
        <v>44381</v>
      </c>
      <c r="C142" s="1" t="n">
        <v>46101</v>
      </c>
      <c r="D142" t="inlineStr">
        <is>
          <t>STOCKHOLMS LÄN</t>
        </is>
      </c>
      <c r="E142" t="inlineStr">
        <is>
          <t>VALLENTUNA</t>
        </is>
      </c>
      <c r="G142" t="n">
        <v>14.7</v>
      </c>
      <c r="H142" t="n">
        <v>0</v>
      </c>
      <c r="I142" t="n">
        <v>0</v>
      </c>
      <c r="J142" t="n">
        <v>0</v>
      </c>
      <c r="K142" t="n">
        <v>0</v>
      </c>
      <c r="L142" t="n">
        <v>0</v>
      </c>
      <c r="M142" t="n">
        <v>0</v>
      </c>
      <c r="N142" t="n">
        <v>0</v>
      </c>
      <c r="O142" t="n">
        <v>0</v>
      </c>
      <c r="P142" t="n">
        <v>0</v>
      </c>
      <c r="Q142" t="n">
        <v>0</v>
      </c>
      <c r="R142" s="2" t="inlineStr"/>
    </row>
    <row r="143" ht="15" customHeight="1">
      <c r="A143" t="inlineStr">
        <is>
          <t>A 12621-2024</t>
        </is>
      </c>
      <c r="B143" s="1" t="n">
        <v>45383.6325</v>
      </c>
      <c r="C143" s="1" t="n">
        <v>46101</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row r="144" ht="15" customHeight="1">
      <c r="A144" t="inlineStr">
        <is>
          <t>A 46381-2023</t>
        </is>
      </c>
      <c r="B144" s="1" t="n">
        <v>45193</v>
      </c>
      <c r="C144" s="1" t="n">
        <v>46101</v>
      </c>
      <c r="D144" t="inlineStr">
        <is>
          <t>STOCKHOLMS LÄN</t>
        </is>
      </c>
      <c r="E144" t="inlineStr">
        <is>
          <t>VALLENTUNA</t>
        </is>
      </c>
      <c r="G144" t="n">
        <v>2.9</v>
      </c>
      <c r="H144" t="n">
        <v>0</v>
      </c>
      <c r="I144" t="n">
        <v>0</v>
      </c>
      <c r="J144" t="n">
        <v>0</v>
      </c>
      <c r="K144" t="n">
        <v>0</v>
      </c>
      <c r="L144" t="n">
        <v>0</v>
      </c>
      <c r="M144" t="n">
        <v>0</v>
      </c>
      <c r="N144" t="n">
        <v>0</v>
      </c>
      <c r="O144" t="n">
        <v>0</v>
      </c>
      <c r="P144" t="n">
        <v>0</v>
      </c>
      <c r="Q144" t="n">
        <v>0</v>
      </c>
      <c r="R144" s="2" t="inlineStr"/>
    </row>
    <row r="145" ht="15" customHeight="1">
      <c r="A145" t="inlineStr">
        <is>
          <t>A 61027-2023</t>
        </is>
      </c>
      <c r="B145" s="1" t="n">
        <v>45261</v>
      </c>
      <c r="C145" s="1" t="n">
        <v>46101</v>
      </c>
      <c r="D145" t="inlineStr">
        <is>
          <t>STOCKHOLMS LÄN</t>
        </is>
      </c>
      <c r="E145" t="inlineStr">
        <is>
          <t>VALLENTUNA</t>
        </is>
      </c>
      <c r="G145" t="n">
        <v>7.1</v>
      </c>
      <c r="H145" t="n">
        <v>0</v>
      </c>
      <c r="I145" t="n">
        <v>0</v>
      </c>
      <c r="J145" t="n">
        <v>0</v>
      </c>
      <c r="K145" t="n">
        <v>0</v>
      </c>
      <c r="L145" t="n">
        <v>0</v>
      </c>
      <c r="M145" t="n">
        <v>0</v>
      </c>
      <c r="N145" t="n">
        <v>0</v>
      </c>
      <c r="O145" t="n">
        <v>0</v>
      </c>
      <c r="P145" t="n">
        <v>0</v>
      </c>
      <c r="Q145" t="n">
        <v>0</v>
      </c>
      <c r="R145" s="2" t="inlineStr"/>
    </row>
    <row r="146" ht="15" customHeight="1">
      <c r="A146" t="inlineStr">
        <is>
          <t>A 23009-2024</t>
        </is>
      </c>
      <c r="B146" s="1" t="n">
        <v>45450.34506944445</v>
      </c>
      <c r="C146" s="1" t="n">
        <v>46101</v>
      </c>
      <c r="D146" t="inlineStr">
        <is>
          <t>STOCKHOLMS LÄN</t>
        </is>
      </c>
      <c r="E146" t="inlineStr">
        <is>
          <t>VALLENTUNA</t>
        </is>
      </c>
      <c r="G146" t="n">
        <v>1.4</v>
      </c>
      <c r="H146" t="n">
        <v>0</v>
      </c>
      <c r="I146" t="n">
        <v>0</v>
      </c>
      <c r="J146" t="n">
        <v>0</v>
      </c>
      <c r="K146" t="n">
        <v>0</v>
      </c>
      <c r="L146" t="n">
        <v>0</v>
      </c>
      <c r="M146" t="n">
        <v>0</v>
      </c>
      <c r="N146" t="n">
        <v>0</v>
      </c>
      <c r="O146" t="n">
        <v>0</v>
      </c>
      <c r="P146" t="n">
        <v>0</v>
      </c>
      <c r="Q146" t="n">
        <v>0</v>
      </c>
      <c r="R146" s="2" t="inlineStr"/>
    </row>
    <row r="147" ht="15" customHeight="1">
      <c r="A147" t="inlineStr">
        <is>
          <t>A 23923-2025</t>
        </is>
      </c>
      <c r="B147" s="1" t="n">
        <v>45795.39648148148</v>
      </c>
      <c r="C147" s="1" t="n">
        <v>46101</v>
      </c>
      <c r="D147" t="inlineStr">
        <is>
          <t>STOCKHOLMS LÄN</t>
        </is>
      </c>
      <c r="E147" t="inlineStr">
        <is>
          <t>VALLENTUNA</t>
        </is>
      </c>
      <c r="G147" t="n">
        <v>2.3</v>
      </c>
      <c r="H147" t="n">
        <v>0</v>
      </c>
      <c r="I147" t="n">
        <v>0</v>
      </c>
      <c r="J147" t="n">
        <v>0</v>
      </c>
      <c r="K147" t="n">
        <v>0</v>
      </c>
      <c r="L147" t="n">
        <v>0</v>
      </c>
      <c r="M147" t="n">
        <v>0</v>
      </c>
      <c r="N147" t="n">
        <v>0</v>
      </c>
      <c r="O147" t="n">
        <v>0</v>
      </c>
      <c r="P147" t="n">
        <v>0</v>
      </c>
      <c r="Q147" t="n">
        <v>0</v>
      </c>
      <c r="R147" s="2" t="inlineStr"/>
    </row>
    <row r="148" ht="15" customHeight="1">
      <c r="A148" t="inlineStr">
        <is>
          <t>A 25984-2025</t>
        </is>
      </c>
      <c r="B148" s="1" t="n">
        <v>45804.64016203704</v>
      </c>
      <c r="C148" s="1" t="n">
        <v>46101</v>
      </c>
      <c r="D148" t="inlineStr">
        <is>
          <t>STOCKHOLMS LÄN</t>
        </is>
      </c>
      <c r="E148" t="inlineStr">
        <is>
          <t>VALLENTUNA</t>
        </is>
      </c>
      <c r="G148" t="n">
        <v>2.5</v>
      </c>
      <c r="H148" t="n">
        <v>0</v>
      </c>
      <c r="I148" t="n">
        <v>0</v>
      </c>
      <c r="J148" t="n">
        <v>0</v>
      </c>
      <c r="K148" t="n">
        <v>0</v>
      </c>
      <c r="L148" t="n">
        <v>0</v>
      </c>
      <c r="M148" t="n">
        <v>0</v>
      </c>
      <c r="N148" t="n">
        <v>0</v>
      </c>
      <c r="O148" t="n">
        <v>0</v>
      </c>
      <c r="P148" t="n">
        <v>0</v>
      </c>
      <c r="Q148" t="n">
        <v>0</v>
      </c>
      <c r="R148" s="2" t="inlineStr"/>
    </row>
    <row r="149" ht="15" customHeight="1">
      <c r="A149" t="inlineStr">
        <is>
          <t>A 30902-2025</t>
        </is>
      </c>
      <c r="B149" s="1" t="n">
        <v>45832.36104166666</v>
      </c>
      <c r="C149" s="1" t="n">
        <v>46101</v>
      </c>
      <c r="D149" t="inlineStr">
        <is>
          <t>STOCKHOLMS LÄN</t>
        </is>
      </c>
      <c r="E149" t="inlineStr">
        <is>
          <t>VALLENTUNA</t>
        </is>
      </c>
      <c r="G149" t="n">
        <v>8.199999999999999</v>
      </c>
      <c r="H149" t="n">
        <v>0</v>
      </c>
      <c r="I149" t="n">
        <v>0</v>
      </c>
      <c r="J149" t="n">
        <v>0</v>
      </c>
      <c r="K149" t="n">
        <v>0</v>
      </c>
      <c r="L149" t="n">
        <v>0</v>
      </c>
      <c r="M149" t="n">
        <v>0</v>
      </c>
      <c r="N149" t="n">
        <v>0</v>
      </c>
      <c r="O149" t="n">
        <v>0</v>
      </c>
      <c r="P149" t="n">
        <v>0</v>
      </c>
      <c r="Q149" t="n">
        <v>0</v>
      </c>
      <c r="R149" s="2" t="inlineStr"/>
    </row>
    <row r="150">
      <c r="A150" t="inlineStr">
        <is>
          <t>A 28431-2025</t>
        </is>
      </c>
      <c r="B150" s="1" t="n">
        <v>45819.38072916667</v>
      </c>
      <c r="C150" s="1" t="n">
        <v>46101</v>
      </c>
      <c r="D150" t="inlineStr">
        <is>
          <t>STOCKHOLMS LÄN</t>
        </is>
      </c>
      <c r="E150" t="inlineStr">
        <is>
          <t>VALLENTUNA</t>
        </is>
      </c>
      <c r="G150" t="n">
        <v>1.5</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2026-03-20T11:31:13Z</dcterms:created>
  <dcterms:modified xmlns:dcterms="http://purl.org/dc/terms/" xmlns:xsi="http://www.w3.org/2001/XMLSchema-instance" xsi:type="dcterms:W3CDTF">2026-03-20T11:31:13Z</dcterms:modified>
</cp:coreProperties>
</file>