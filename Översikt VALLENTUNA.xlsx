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46326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46326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46326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39170-2026</t>
        </is>
      </c>
      <c r="B5" t="inlineStr">
        <is>
          <t>avverkningsanmälan</t>
        </is>
      </c>
      <c r="C5" t="inlineStr">
        <is>
          <t>Föryngringsavverkning</t>
        </is>
      </c>
      <c r="D5" s="1" t="n">
        <v>46287</v>
      </c>
      <c r="E5" s="1" t="n">
        <v>46326</v>
      </c>
      <c r="F5" t="inlineStr">
        <is>
          <t>STOCKHOLMS LÄN</t>
        </is>
      </c>
      <c r="G5" t="inlineStr">
        <is>
          <t>VALLENTUNA</t>
        </is>
      </c>
      <c r="I5" t="n">
        <v>9.199999999999999</v>
      </c>
      <c r="J5" t="n">
        <v>5</v>
      </c>
      <c r="K5" t="n">
        <v>3</v>
      </c>
      <c r="L5" t="n">
        <v>9</v>
      </c>
      <c r="M5" t="n">
        <v>0</v>
      </c>
      <c r="N5" t="n">
        <v>0</v>
      </c>
      <c r="O5" t="n">
        <v>0</v>
      </c>
      <c r="P5" t="n">
        <v>0</v>
      </c>
      <c r="Q5" t="n">
        <v>9</v>
      </c>
      <c r="R5" t="n">
        <v>0</v>
      </c>
      <c r="S5" t="n">
        <v>17</v>
      </c>
      <c r="T5" t="n">
        <v>43</v>
      </c>
      <c r="U5" t="n">
        <v>38</v>
      </c>
      <c r="V5" s="2" t="inlineStr">
        <is>
          <t>Dropptaggsvamp
Dvärgbägarlav
Motaggsvamp
Skarp dropptaggsvamp
Svartvit taggsvamp
Tallkötticka
Tallticka
Vedskivlav
Vintertagging
Blodticka
Blåmossa
Mindre märgborre
Blåsippa
Spillkråka
Tjäder
Havsörn
Revlummer</t>
        </is>
      </c>
      <c r="W5">
        <f>HYPERLINK("https://klasma.github.io/Logging_0115/artfynd/A 39170-2026 artfynd.xlsx", "A 39170-2026")</f>
        <v/>
      </c>
      <c r="X5">
        <f>HYPERLINK("https://klasma.github.io/Logging_0115/kartor/A 39170-2026 karta.png", "A 39170-2026")</f>
        <v/>
      </c>
      <c r="Y5">
        <f>HYPERLINK("https://klasma.github.io/Logging_0115/kartor_geotiff/A 39170-2026 georefererad karta.tif", "A 39170-2026")</f>
        <v/>
      </c>
      <c r="AA5">
        <f>HYPERLINK("https://klasma.github.io/Logging_0115/klagomål/A 39170-2026 FSC-klagomål.docx", "A 39170-2026")</f>
        <v/>
      </c>
      <c r="AB5">
        <f>HYPERLINK("https://klasma.github.io/Logging_0115/klagomålsmail/A 39170-2026 FSC-klagomål mail.docx", "A 39170-2026")</f>
        <v/>
      </c>
      <c r="AC5">
        <f>HYPERLINK("https://klasma.github.io/Logging_0115/tillsyn/A 39170-2026 tillsynsbegäran.docx", "A 39170-2026")</f>
        <v/>
      </c>
      <c r="AD5">
        <f>HYPERLINK("https://klasma.github.io/Logging_0115/tillsynsmail/A 39170-2026 tillsynsbegäran mail.docx", "A 39170-2026")</f>
        <v/>
      </c>
      <c r="AE5">
        <f>HYPERLINK("https://klasma.github.io/Logging_0115/fåglar/A 39170-2026 prioriterade fågelarter.docx", "A 39170-2026")</f>
        <v/>
      </c>
    </row>
    <row r="6" ht="15" customHeight="1">
      <c r="A6" t="inlineStr">
        <is>
          <t>A 42922-2023</t>
        </is>
      </c>
      <c r="B6" t="inlineStr">
        <is>
          <t>avverkningsanmälan</t>
        </is>
      </c>
      <c r="C6" t="inlineStr">
        <is>
          <t>Föryngringsavverkning</t>
        </is>
      </c>
      <c r="D6" s="1" t="n">
        <v>45182</v>
      </c>
      <c r="E6" s="1" t="n">
        <v>46326</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55825-2023</t>
        </is>
      </c>
      <c r="B7" t="inlineStr">
        <is>
          <t>avverkningsanmälan</t>
        </is>
      </c>
      <c r="C7" t="inlineStr">
        <is>
          <t>Föryngringsavverkning</t>
        </is>
      </c>
      <c r="D7" s="1" t="n">
        <v>45239</v>
      </c>
      <c r="E7" s="1" t="n">
        <v>46326</v>
      </c>
      <c r="F7" t="inlineStr">
        <is>
          <t>STOCKHOLMS LÄN</t>
        </is>
      </c>
      <c r="G7" t="inlineStr">
        <is>
          <t>VALLENTUNA</t>
        </is>
      </c>
      <c r="I7" t="n">
        <v>4.9</v>
      </c>
      <c r="J7" t="n">
        <v>7</v>
      </c>
      <c r="K7" t="n">
        <v>6</v>
      </c>
      <c r="L7" t="n">
        <v>3</v>
      </c>
      <c r="M7" t="n">
        <v>2</v>
      </c>
      <c r="N7" t="n">
        <v>0</v>
      </c>
      <c r="O7" t="n">
        <v>0</v>
      </c>
      <c r="P7" t="n">
        <v>0</v>
      </c>
      <c r="Q7" t="n">
        <v>5</v>
      </c>
      <c r="R7" t="n">
        <v>2</v>
      </c>
      <c r="S7" t="n">
        <v>16</v>
      </c>
      <c r="T7" t="n">
        <v>46</v>
      </c>
      <c r="U7" t="n">
        <v>43</v>
      </c>
      <c r="V7" s="2" t="inlineStr">
        <is>
          <t>Garnlav
Knärot
Talltita
Ullticka
Vedskivlav
Björksplintborre
Blodticka
Flagellkvastmossa
Jättesvampmal
Mindre märgborre
Vedticka
Mattlummer
Spillkråka
Tjäder
Fläcknycklar
Revlummer</t>
        </is>
      </c>
      <c r="W7">
        <f>HYPERLINK("https://klasma.github.io/Logging_0115/artfynd/A 55825-2023 artfynd.xlsx", "A 55825-2023")</f>
        <v/>
      </c>
      <c r="X7">
        <f>HYPERLINK("https://klasma.github.io/Logging_0115/kartor/A 55825-2023 karta.png", "A 55825-2023")</f>
        <v/>
      </c>
      <c r="Y7">
        <f>HYPERLINK("https://klasma.github.io/Logging_0115/kartor_geotiff/A 55825-2023 georefererad karta.tif", "A 55825-2023")</f>
        <v/>
      </c>
      <c r="Z7">
        <f>HYPERLINK("https://klasma.github.io/Logging_0115/knärot/A 55825-2023 karta knärot.png", "A 55825-2023")</f>
        <v/>
      </c>
      <c r="AA7">
        <f>HYPERLINK("https://klasma.github.io/Logging_0115/klagomål/A 55825-2023 FSC-klagomål.docx", "A 55825-2023")</f>
        <v/>
      </c>
      <c r="AB7">
        <f>HYPERLINK("https://klasma.github.io/Logging_0115/klagomålsmail/A 55825-2023 FSC-klagomål mail.docx", "A 55825-2023")</f>
        <v/>
      </c>
      <c r="AC7">
        <f>HYPERLINK("https://klasma.github.io/Logging_0115/tillsyn/A 55825-2023 tillsynsbegäran.docx", "A 55825-2023")</f>
        <v/>
      </c>
      <c r="AD7">
        <f>HYPERLINK("https://klasma.github.io/Logging_0115/tillsynsmail/A 55825-2023 tillsynsbegäran mail.docx", "A 55825-2023")</f>
        <v/>
      </c>
      <c r="AE7">
        <f>HYPERLINK("https://klasma.github.io/Logging_0115/fåglar/A 55825-2023 prioriterade fågelarter.docx", "A 55825-2023")</f>
        <v/>
      </c>
    </row>
    <row r="8" ht="15" customHeight="1">
      <c r="A8" t="inlineStr">
        <is>
          <t>A 50718-2023</t>
        </is>
      </c>
      <c r="B8" t="inlineStr">
        <is>
          <t>avverkningsanmälan</t>
        </is>
      </c>
      <c r="C8" t="inlineStr">
        <is>
          <t>Föryngringsavverkning</t>
        </is>
      </c>
      <c r="D8" s="1" t="n">
        <v>45217</v>
      </c>
      <c r="E8" s="1" t="n">
        <v>46326</v>
      </c>
      <c r="F8" t="inlineStr">
        <is>
          <t>STOCKHOLMS LÄN</t>
        </is>
      </c>
      <c r="G8" t="inlineStr">
        <is>
          <t>VALLENTUNA</t>
        </is>
      </c>
      <c r="I8" t="n">
        <v>3.6</v>
      </c>
      <c r="J8" t="n">
        <v>4</v>
      </c>
      <c r="K8" t="n">
        <v>9</v>
      </c>
      <c r="L8" t="n">
        <v>4</v>
      </c>
      <c r="M8" t="n">
        <v>0</v>
      </c>
      <c r="N8" t="n">
        <v>0</v>
      </c>
      <c r="O8" t="n">
        <v>0</v>
      </c>
      <c r="P8" t="n">
        <v>0</v>
      </c>
      <c r="Q8" t="n">
        <v>4</v>
      </c>
      <c r="R8" t="n">
        <v>0</v>
      </c>
      <c r="S8" t="n">
        <v>16</v>
      </c>
      <c r="T8" t="n">
        <v>43</v>
      </c>
      <c r="U8" t="n">
        <v>43</v>
      </c>
      <c r="V8" s="2" t="inlineStr">
        <is>
          <t>Rosenticka
Tallticka
Ullticka
Vedtrappmossa
Brandticka
Bronshjon
Grovticka
Grön sköldmossa
Grönpyrola
Gulnål
Rödgul trumpetsvamp
Trådticka
Vedticka
Blåsippa
Spillkråka
Revlummer</t>
        </is>
      </c>
      <c r="W8">
        <f>HYPERLINK("https://klasma.github.io/Logging_0115/artfynd/A 50718-2023 artfynd.xlsx", "A 50718-2023")</f>
        <v/>
      </c>
      <c r="X8">
        <f>HYPERLINK("https://klasma.github.io/Logging_0115/kartor/A 50718-2023 karta.png", "A 50718-2023")</f>
        <v/>
      </c>
      <c r="Y8">
        <f>HYPERLINK("https://klasma.github.io/Logging_0115/kartor_geotiff/A 50718-2023 georefererad karta.tif", "A 50718-2023")</f>
        <v/>
      </c>
      <c r="AA8">
        <f>HYPERLINK("https://klasma.github.io/Logging_0115/klagomål/A 50718-2023 FSC-klagomål.docx", "A 50718-2023")</f>
        <v/>
      </c>
      <c r="AB8">
        <f>HYPERLINK("https://klasma.github.io/Logging_0115/klagomålsmail/A 50718-2023 FSC-klagomål mail.docx", "A 50718-2023")</f>
        <v/>
      </c>
      <c r="AC8">
        <f>HYPERLINK("https://klasma.github.io/Logging_0115/tillsyn/A 50718-2023 tillsynsbegäran.docx", "A 50718-2023")</f>
        <v/>
      </c>
      <c r="AD8">
        <f>HYPERLINK("https://klasma.github.io/Logging_0115/tillsynsmail/A 50718-2023 tillsynsbegäran mail.docx", "A 50718-2023")</f>
        <v/>
      </c>
      <c r="AE8">
        <f>HYPERLINK("https://klasma.github.io/Logging_0115/fåglar/A 50718-2023 prioriterade fågelarter.docx", "A 50718-2023")</f>
        <v/>
      </c>
    </row>
    <row r="9" ht="15" customHeight="1">
      <c r="A9" t="inlineStr">
        <is>
          <t>A 39168-2026</t>
        </is>
      </c>
      <c r="B9" t="inlineStr">
        <is>
          <t>avverkningsanmälan</t>
        </is>
      </c>
      <c r="C9" t="inlineStr">
        <is>
          <t>Föryngringsavverkning</t>
        </is>
      </c>
      <c r="D9" s="1" t="n">
        <v>46287</v>
      </c>
      <c r="E9" s="1" t="n">
        <v>46326</v>
      </c>
      <c r="F9" t="inlineStr">
        <is>
          <t>STOCKHOLMS LÄN</t>
        </is>
      </c>
      <c r="G9" t="inlineStr">
        <is>
          <t>VALLENTUNA</t>
        </is>
      </c>
      <c r="I9" t="n">
        <v>6.8</v>
      </c>
      <c r="J9" t="n">
        <v>2</v>
      </c>
      <c r="K9" t="n">
        <v>5</v>
      </c>
      <c r="L9" t="n">
        <v>6</v>
      </c>
      <c r="M9" t="n">
        <v>1</v>
      </c>
      <c r="N9" t="n">
        <v>0</v>
      </c>
      <c r="O9" t="n">
        <v>0</v>
      </c>
      <c r="P9" t="n">
        <v>0</v>
      </c>
      <c r="Q9" t="n">
        <v>7</v>
      </c>
      <c r="R9" t="n">
        <v>1</v>
      </c>
      <c r="S9" t="n">
        <v>14</v>
      </c>
      <c r="T9" t="n">
        <v>34</v>
      </c>
      <c r="U9" t="n">
        <v>32</v>
      </c>
      <c r="V9" s="2" t="inlineStr">
        <is>
          <t>Knärot
Fjällig taggsvamp s.str.
Motaggsvamp
Rosenticka
Tallkötticka
Ullticka
Vedskivlav
Björksplintborre
Bollvitmossa
Mindre märgborre
Thomsons trägnagare
Vågbandad barkbock
Kransmossa
Spillkråka</t>
        </is>
      </c>
      <c r="W9">
        <f>HYPERLINK("https://klasma.github.io/Logging_0115/artfynd/A 39168-2026 artfynd.xlsx", "A 39168-2026")</f>
        <v/>
      </c>
      <c r="X9">
        <f>HYPERLINK("https://klasma.github.io/Logging_0115/kartor/A 39168-2026 karta.png", "A 39168-2026")</f>
        <v/>
      </c>
      <c r="Y9">
        <f>HYPERLINK("https://klasma.github.io/Logging_0115/kartor_geotiff/A 39168-2026 georefererad karta.tif", "A 39168-2026")</f>
        <v/>
      </c>
      <c r="Z9">
        <f>HYPERLINK("https://klasma.github.io/Logging_0115/knärot/A 39168-2026 karta knärot.png", "A 39168-2026")</f>
        <v/>
      </c>
      <c r="AA9">
        <f>HYPERLINK("https://klasma.github.io/Logging_0115/klagomål/A 39168-2026 FSC-klagomål.docx", "A 39168-2026")</f>
        <v/>
      </c>
      <c r="AB9">
        <f>HYPERLINK("https://klasma.github.io/Logging_0115/klagomålsmail/A 39168-2026 FSC-klagomål mail.docx", "A 39168-2026")</f>
        <v/>
      </c>
      <c r="AC9">
        <f>HYPERLINK("https://klasma.github.io/Logging_0115/tillsyn/A 39168-2026 tillsynsbegäran.docx", "A 39168-2026")</f>
        <v/>
      </c>
      <c r="AD9">
        <f>HYPERLINK("https://klasma.github.io/Logging_0115/tillsynsmail/A 39168-2026 tillsynsbegäran mail.docx", "A 39168-2026")</f>
        <v/>
      </c>
      <c r="AE9">
        <f>HYPERLINK("https://klasma.github.io/Logging_0115/fåglar/A 39168-2026 prioriterade fågelarter.docx", "A 39168-2026")</f>
        <v/>
      </c>
    </row>
    <row r="10" ht="15" customHeight="1">
      <c r="A10" t="inlineStr">
        <is>
          <t>A 17342-2025</t>
        </is>
      </c>
      <c r="B10" t="inlineStr">
        <is>
          <t>avverkningsanmälan</t>
        </is>
      </c>
      <c r="C10" t="inlineStr">
        <is>
          <t>Föryngringsavverkning</t>
        </is>
      </c>
      <c r="D10" s="1" t="n">
        <v>45756</v>
      </c>
      <c r="E10" s="1" t="n">
        <v>46326</v>
      </c>
      <c r="F10" t="inlineStr">
        <is>
          <t>STOCKHOLMS LÄN</t>
        </is>
      </c>
      <c r="G10" t="inlineStr">
        <is>
          <t>VALLENTUNA</t>
        </is>
      </c>
      <c r="H10" t="inlineStr">
        <is>
          <t>Övriga Aktiebolag</t>
        </is>
      </c>
      <c r="I10" t="n">
        <v>3.9</v>
      </c>
      <c r="J10" t="n">
        <v>4</v>
      </c>
      <c r="K10" t="n">
        <v>2</v>
      </c>
      <c r="L10" t="n">
        <v>1</v>
      </c>
      <c r="M10" t="n">
        <v>0</v>
      </c>
      <c r="N10" t="n">
        <v>0</v>
      </c>
      <c r="O10" t="n">
        <v>0</v>
      </c>
      <c r="P10" t="n">
        <v>0</v>
      </c>
      <c r="Q10" t="n">
        <v>1</v>
      </c>
      <c r="R10" t="n">
        <v>0</v>
      </c>
      <c r="S10" t="n">
        <v>10</v>
      </c>
      <c r="T10" t="n">
        <v>13</v>
      </c>
      <c r="U10" t="n">
        <v>12</v>
      </c>
      <c r="V10" s="2" t="inlineStr">
        <is>
          <t>Motaggsvamp
Mindre märgborre
Vågbandad barkbock
Blåsippa
Kransmossa
Liljekonvalj
Spillkråka
Timmerticka
Grönsiska
Revlummer</t>
        </is>
      </c>
      <c r="W10">
        <f>HYPERLINK("https://klasma.github.io/Logging_0115/artfynd/A 17342-2025 artfynd.xlsx", "A 17342-2025")</f>
        <v/>
      </c>
      <c r="X10">
        <f>HYPERLINK("https://klasma.github.io/Logging_0115/kartor/A 17342-2025 karta.png", "A 17342-2025")</f>
        <v/>
      </c>
      <c r="Y10">
        <f>HYPERLINK("https://klasma.github.io/Logging_0115/kartor_geotiff/A 17342-2025 georefererad karta.tif", "A 17342-2025")</f>
        <v/>
      </c>
      <c r="AA10">
        <f>HYPERLINK("https://klasma.github.io/Logging_0115/klagomål/A 17342-2025 FSC-klagomål.docx", "A 17342-2025")</f>
        <v/>
      </c>
      <c r="AB10">
        <f>HYPERLINK("https://klasma.github.io/Logging_0115/klagomålsmail/A 17342-2025 FSC-klagomål mail.docx", "A 17342-2025")</f>
        <v/>
      </c>
      <c r="AC10">
        <f>HYPERLINK("https://klasma.github.io/Logging_0115/tillsyn/A 17342-2025 tillsynsbegäran.docx", "A 17342-2025")</f>
        <v/>
      </c>
      <c r="AD10">
        <f>HYPERLINK("https://klasma.github.io/Logging_0115/tillsynsmail/A 17342-2025 tillsynsbegäran mail.docx", "A 17342-2025")</f>
        <v/>
      </c>
      <c r="AE10">
        <f>HYPERLINK("https://klasma.github.io/Logging_0115/fåglar/A 17342-2025 prioriterade fågelarter.docx", "A 17342-2025")</f>
        <v/>
      </c>
    </row>
    <row r="11" ht="15" customHeight="1">
      <c r="A11" t="inlineStr">
        <is>
          <t>A 50435-2024</t>
        </is>
      </c>
      <c r="B11" t="inlineStr">
        <is>
          <t>avverkningsanmälan</t>
        </is>
      </c>
      <c r="C11" t="inlineStr">
        <is>
          <t>Föryngringsavverkning</t>
        </is>
      </c>
      <c r="D11" s="1" t="n">
        <v>45601</v>
      </c>
      <c r="E11" s="1" t="n">
        <v>46326</v>
      </c>
      <c r="F11" t="inlineStr">
        <is>
          <t>STOCKHOLMS LÄN</t>
        </is>
      </c>
      <c r="G11" t="inlineStr">
        <is>
          <t>VALLENTUNA</t>
        </is>
      </c>
      <c r="H11" t="inlineStr">
        <is>
          <t>Allmännings- och besparingsskogar</t>
        </is>
      </c>
      <c r="I11" t="n">
        <v>2.3</v>
      </c>
      <c r="J11" t="n">
        <v>5</v>
      </c>
      <c r="K11" t="n">
        <v>5</v>
      </c>
      <c r="L11" t="n">
        <v>2</v>
      </c>
      <c r="M11" t="n">
        <v>0</v>
      </c>
      <c r="N11" t="n">
        <v>0</v>
      </c>
      <c r="O11" t="n">
        <v>0</v>
      </c>
      <c r="P11" t="n">
        <v>0</v>
      </c>
      <c r="Q11" t="n">
        <v>2</v>
      </c>
      <c r="R11" t="n">
        <v>0</v>
      </c>
      <c r="S11" t="n">
        <v>9</v>
      </c>
      <c r="T11" t="n">
        <v>16</v>
      </c>
      <c r="U11" t="n">
        <v>15</v>
      </c>
      <c r="V11" s="2" t="inlineStr">
        <is>
          <t>Grönsångare
Talltita
Aprikosfingersvamp
Mindre märgborre
Mönjevaxing
Nästrot
Tibast
Blåsippa
Tjäder</t>
        </is>
      </c>
      <c r="W11">
        <f>HYPERLINK("https://klasma.github.io/Logging_0115/artfynd/A 50435-2024 artfynd.xlsx", "A 50435-2024")</f>
        <v/>
      </c>
      <c r="X11">
        <f>HYPERLINK("https://klasma.github.io/Logging_0115/kartor/A 50435-2024 karta.png", "A 50435-2024")</f>
        <v/>
      </c>
      <c r="Y11">
        <f>HYPERLINK("https://klasma.github.io/Logging_0115/kartor_geotiff/A 50435-2024 georefererad karta.tif", "A 50435-2024")</f>
        <v/>
      </c>
      <c r="AA11">
        <f>HYPERLINK("https://klasma.github.io/Logging_0115/klagomål/A 50435-2024 FSC-klagomål.docx", "A 50435-2024")</f>
        <v/>
      </c>
      <c r="AB11">
        <f>HYPERLINK("https://klasma.github.io/Logging_0115/klagomålsmail/A 50435-2024 FSC-klagomål mail.docx", "A 50435-2024")</f>
        <v/>
      </c>
      <c r="AC11">
        <f>HYPERLINK("https://klasma.github.io/Logging_0115/tillsyn/A 50435-2024 tillsynsbegäran.docx", "A 50435-2024")</f>
        <v/>
      </c>
      <c r="AD11">
        <f>HYPERLINK("https://klasma.github.io/Logging_0115/tillsynsmail/A 50435-2024 tillsynsbegäran mail.docx", "A 50435-2024")</f>
        <v/>
      </c>
      <c r="AE11">
        <f>HYPERLINK("https://klasma.github.io/Logging_0115/fåglar/A 50435-2024 prioriterade fågelarter.docx", "A 50435-2024")</f>
        <v/>
      </c>
    </row>
    <row r="12" ht="15" customHeight="1">
      <c r="A12" t="inlineStr">
        <is>
          <t>A 61763-2025</t>
        </is>
      </c>
      <c r="B12" t="inlineStr">
        <is>
          <t>avverkningsanmälan</t>
        </is>
      </c>
      <c r="C12" t="inlineStr">
        <is>
          <t>Föryngringsavverkning</t>
        </is>
      </c>
      <c r="D12" s="1" t="n">
        <v>46002</v>
      </c>
      <c r="E12" s="1" t="n">
        <v>46326</v>
      </c>
      <c r="F12" t="inlineStr">
        <is>
          <t>STOCKHOLMS LÄN</t>
        </is>
      </c>
      <c r="G12" t="inlineStr">
        <is>
          <t>VALLENTUNA</t>
        </is>
      </c>
      <c r="I12" t="n">
        <v>6.9</v>
      </c>
      <c r="J12" t="n">
        <v>2</v>
      </c>
      <c r="K12" t="n">
        <v>5</v>
      </c>
      <c r="L12" t="n">
        <v>2</v>
      </c>
      <c r="M12" t="n">
        <v>1</v>
      </c>
      <c r="N12" t="n">
        <v>0</v>
      </c>
      <c r="O12" t="n">
        <v>0</v>
      </c>
      <c r="P12" t="n">
        <v>0</v>
      </c>
      <c r="Q12" t="n">
        <v>3</v>
      </c>
      <c r="R12" t="n">
        <v>1</v>
      </c>
      <c r="S12" t="n">
        <v>9</v>
      </c>
      <c r="T12" t="n">
        <v>9</v>
      </c>
      <c r="U12" t="n">
        <v>9</v>
      </c>
      <c r="V12" s="2" t="inlineStr">
        <is>
          <t>Gränsticka
Dunmossa
Talltita
Björksplintborre
Blomkålssvamp
Mörk husmossa
Stubbspretmossa
Vågbandad barkbock
Kungsfågel</t>
        </is>
      </c>
      <c r="W12">
        <f>HYPERLINK("https://klasma.github.io/Logging_0115/artfynd/A 61763-2025 artfynd.xlsx", "A 61763-2025")</f>
        <v/>
      </c>
      <c r="X12">
        <f>HYPERLINK("https://klasma.github.io/Logging_0115/kartor/A 61763-2025 karta.png", "A 61763-2025")</f>
        <v/>
      </c>
      <c r="Y12">
        <f>HYPERLINK("https://klasma.github.io/Logging_0115/kartor_geotiff/A 61763-2025 georefererad karta.tif", "A 61763-2025")</f>
        <v/>
      </c>
      <c r="AA12">
        <f>HYPERLINK("https://klasma.github.io/Logging_0115/klagomål/A 61763-2025 FSC-klagomål.docx", "A 61763-2025")</f>
        <v/>
      </c>
      <c r="AB12">
        <f>HYPERLINK("https://klasma.github.io/Logging_0115/klagomålsmail/A 61763-2025 FSC-klagomål mail.docx", "A 61763-2025")</f>
        <v/>
      </c>
      <c r="AC12">
        <f>HYPERLINK("https://klasma.github.io/Logging_0115/tillsyn/A 61763-2025 tillsynsbegäran.docx", "A 61763-2025")</f>
        <v/>
      </c>
      <c r="AD12">
        <f>HYPERLINK("https://klasma.github.io/Logging_0115/tillsynsmail/A 61763-2025 tillsynsbegäran mail.docx", "A 61763-2025")</f>
        <v/>
      </c>
      <c r="AE12">
        <f>HYPERLINK("https://klasma.github.io/Logging_0115/fåglar/A 61763-2025 prioriterade fågelarter.docx", "A 61763-2025")</f>
        <v/>
      </c>
    </row>
    <row r="13" ht="15" customHeight="1">
      <c r="A13" t="inlineStr">
        <is>
          <t>A 70608-2021</t>
        </is>
      </c>
      <c r="B13" t="inlineStr">
        <is>
          <t>avverkningsanmälan</t>
        </is>
      </c>
      <c r="C13" t="inlineStr">
        <is>
          <t>Föryngringsavverkning</t>
        </is>
      </c>
      <c r="D13" s="1" t="n">
        <v>44536</v>
      </c>
      <c r="E13" s="1" t="n">
        <v>46326</v>
      </c>
      <c r="F13" t="inlineStr">
        <is>
          <t>STOCKHOLMS LÄN</t>
        </is>
      </c>
      <c r="G13" t="inlineStr">
        <is>
          <t>VALLENTUNA</t>
        </is>
      </c>
      <c r="I13" t="n">
        <v>10.4</v>
      </c>
      <c r="J13" t="n">
        <v>1</v>
      </c>
      <c r="K13" t="n">
        <v>5</v>
      </c>
      <c r="L13" t="n">
        <v>2</v>
      </c>
      <c r="M13" t="n">
        <v>0</v>
      </c>
      <c r="N13" t="n">
        <v>0</v>
      </c>
      <c r="O13" t="n">
        <v>0</v>
      </c>
      <c r="P13" t="n">
        <v>0</v>
      </c>
      <c r="Q13" t="n">
        <v>2</v>
      </c>
      <c r="R13" t="n">
        <v>0</v>
      </c>
      <c r="S13" t="n">
        <v>7</v>
      </c>
      <c r="T13" t="n">
        <v>10</v>
      </c>
      <c r="U13" t="n">
        <v>10</v>
      </c>
      <c r="V13" s="2" t="inlineStr">
        <is>
          <t>Talltita
Ullticka
Blåmossa
Bronshjon
Mindre märgborre
Tibast
Vågbandad barkbock</t>
        </is>
      </c>
      <c r="W13">
        <f>HYPERLINK("https://klasma.github.io/Logging_0115/artfynd/A 70608-2021 artfynd.xlsx", "A 70608-2021")</f>
        <v/>
      </c>
      <c r="X13">
        <f>HYPERLINK("https://klasma.github.io/Logging_0115/kartor/A 70608-2021 karta.png", "A 70608-2021")</f>
        <v/>
      </c>
      <c r="Y13">
        <f>HYPERLINK("https://klasma.github.io/Logging_0115/kartor_geotiff/A 70608-2021 georefererad karta.tif", "A 70608-2021")</f>
        <v/>
      </c>
      <c r="AA13">
        <f>HYPERLINK("https://klasma.github.io/Logging_0115/klagomål/A 70608-2021 FSC-klagomål.docx", "A 70608-2021")</f>
        <v/>
      </c>
      <c r="AB13">
        <f>HYPERLINK("https://klasma.github.io/Logging_0115/klagomålsmail/A 70608-2021 FSC-klagomål mail.docx", "A 70608-2021")</f>
        <v/>
      </c>
      <c r="AC13">
        <f>HYPERLINK("https://klasma.github.io/Logging_0115/tillsyn/A 70608-2021 tillsynsbegäran.docx", "A 70608-2021")</f>
        <v/>
      </c>
      <c r="AD13">
        <f>HYPERLINK("https://klasma.github.io/Logging_0115/tillsynsmail/A 70608-2021 tillsynsbegäran mail.docx", "A 70608-2021")</f>
        <v/>
      </c>
      <c r="AE13">
        <f>HYPERLINK("https://klasma.github.io/Logging_0115/fåglar/A 70608-2021 prioriterade fågelarter.docx", "A 70608-2021")</f>
        <v/>
      </c>
    </row>
    <row r="14" ht="15" customHeight="1">
      <c r="A14" t="inlineStr">
        <is>
          <t>A 25512-2022</t>
        </is>
      </c>
      <c r="B14" t="inlineStr">
        <is>
          <t>avverkningsanmälan</t>
        </is>
      </c>
      <c r="C14" t="inlineStr">
        <is>
          <t>Föryngringsavverkning</t>
        </is>
      </c>
      <c r="D14" s="1" t="n">
        <v>44732</v>
      </c>
      <c r="E14" s="1" t="n">
        <v>46326</v>
      </c>
      <c r="F14" t="inlineStr">
        <is>
          <t>STOCKHOLMS LÄN</t>
        </is>
      </c>
      <c r="G14" t="inlineStr">
        <is>
          <t>VALLENTUNA</t>
        </is>
      </c>
      <c r="I14" t="n">
        <v>13.8</v>
      </c>
      <c r="J14" t="n">
        <v>0</v>
      </c>
      <c r="K14" t="n">
        <v>3</v>
      </c>
      <c r="L14" t="n">
        <v>3</v>
      </c>
      <c r="M14" t="n">
        <v>1</v>
      </c>
      <c r="N14" t="n">
        <v>0</v>
      </c>
      <c r="O14" t="n">
        <v>0</v>
      </c>
      <c r="P14" t="n">
        <v>0</v>
      </c>
      <c r="Q14" t="n">
        <v>4</v>
      </c>
      <c r="R14" t="n">
        <v>1</v>
      </c>
      <c r="S14" t="n">
        <v>7</v>
      </c>
      <c r="T14" t="n">
        <v>11</v>
      </c>
      <c r="U14" t="n">
        <v>11</v>
      </c>
      <c r="V14" s="2" t="inlineStr">
        <is>
          <t>Gränsticka
Fjällig taggsvamp s.str.
Orange taggsvamp
Skarp dropptaggsvamp
Gullgröppa
Rödgul trumpetsvamp
Vedticka</t>
        </is>
      </c>
      <c r="W14">
        <f>HYPERLINK("https://klasma.github.io/Logging_0115/artfynd/A 25512-2022 artfynd.xlsx", "A 25512-2022")</f>
        <v/>
      </c>
      <c r="X14">
        <f>HYPERLINK("https://klasma.github.io/Logging_0115/kartor/A 25512-2022 karta.png", "A 25512-2022")</f>
        <v/>
      </c>
      <c r="Y14">
        <f>HYPERLINK("https://klasma.github.io/Logging_0115/kartor_geotiff/A 25512-2022 georefererad karta.tif", "A 25512-2022")</f>
        <v/>
      </c>
      <c r="AA14">
        <f>HYPERLINK("https://klasma.github.io/Logging_0115/klagomål/A 25512-2022 FSC-klagomål.docx", "A 25512-2022")</f>
        <v/>
      </c>
      <c r="AB14">
        <f>HYPERLINK("https://klasma.github.io/Logging_0115/klagomålsmail/A 25512-2022 FSC-klagomål mail.docx", "A 25512-2022")</f>
        <v/>
      </c>
      <c r="AC14">
        <f>HYPERLINK("https://klasma.github.io/Logging_0115/tillsyn/A 25512-2022 tillsynsbegäran.docx", "A 25512-2022")</f>
        <v/>
      </c>
      <c r="AD14">
        <f>HYPERLINK("https://klasma.github.io/Logging_0115/tillsynsmail/A 25512-2022 tillsynsbegäran mail.docx", "A 25512-2022")</f>
        <v/>
      </c>
    </row>
    <row r="15" ht="15" customHeight="1">
      <c r="A15" t="inlineStr">
        <is>
          <t>A 8500-2022</t>
        </is>
      </c>
      <c r="B15" t="inlineStr">
        <is>
          <t>avverkningsanmälan</t>
        </is>
      </c>
      <c r="C15" t="inlineStr">
        <is>
          <t>Föryngringsavverkning</t>
        </is>
      </c>
      <c r="D15" s="1" t="n">
        <v>44613</v>
      </c>
      <c r="E15" s="1" t="n">
        <v>46326</v>
      </c>
      <c r="F15" t="inlineStr">
        <is>
          <t>STOCKHOLMS LÄN</t>
        </is>
      </c>
      <c r="G15" t="inlineStr">
        <is>
          <t>VALLENTUNA</t>
        </is>
      </c>
      <c r="I15" t="n">
        <v>5</v>
      </c>
      <c r="J15" t="n">
        <v>2</v>
      </c>
      <c r="K15" t="n">
        <v>4</v>
      </c>
      <c r="L15" t="n">
        <v>0</v>
      </c>
      <c r="M15" t="n">
        <v>1</v>
      </c>
      <c r="N15" t="n">
        <v>0</v>
      </c>
      <c r="O15" t="n">
        <v>0</v>
      </c>
      <c r="P15" t="n">
        <v>0</v>
      </c>
      <c r="Q15" t="n">
        <v>1</v>
      </c>
      <c r="R15" t="n">
        <v>1</v>
      </c>
      <c r="S15" t="n">
        <v>6</v>
      </c>
      <c r="T15" t="n">
        <v>6</v>
      </c>
      <c r="U15" t="n">
        <v>5</v>
      </c>
      <c r="V15" s="2" t="inlineStr">
        <is>
          <t>Knärot
Björksplintborre
Blåmossa
Bronshjon
Vedticka
Spillkråka</t>
        </is>
      </c>
      <c r="W15">
        <f>HYPERLINK("https://klasma.github.io/Logging_0115/artfynd/A 8500-2022 artfynd.xlsx", "A 8500-2022")</f>
        <v/>
      </c>
      <c r="X15">
        <f>HYPERLINK("https://klasma.github.io/Logging_0115/kartor/A 8500-2022 karta.png", "A 8500-2022")</f>
        <v/>
      </c>
      <c r="Y15">
        <f>HYPERLINK("https://klasma.github.io/Logging_0115/kartor_geotiff/A 8500-2022 georefererad karta.tif", "A 8500-2022")</f>
        <v/>
      </c>
      <c r="Z15">
        <f>HYPERLINK("https://klasma.github.io/Logging_0115/knärot/A 8500-2022 karta knärot.png", "A 8500-2022")</f>
        <v/>
      </c>
      <c r="AA15">
        <f>HYPERLINK("https://klasma.github.io/Logging_0115/klagomål/A 8500-2022 FSC-klagomål.docx", "A 8500-2022")</f>
        <v/>
      </c>
      <c r="AB15">
        <f>HYPERLINK("https://klasma.github.io/Logging_0115/klagomålsmail/A 8500-2022 FSC-klagomål mail.docx", "A 8500-2022")</f>
        <v/>
      </c>
      <c r="AC15">
        <f>HYPERLINK("https://klasma.github.io/Logging_0115/tillsyn/A 8500-2022 tillsynsbegäran.docx", "A 8500-2022")</f>
        <v/>
      </c>
      <c r="AD15">
        <f>HYPERLINK("https://klasma.github.io/Logging_0115/tillsynsmail/A 8500-2022 tillsynsbegäran mail.docx", "A 8500-2022")</f>
        <v/>
      </c>
      <c r="AE15">
        <f>HYPERLINK("https://klasma.github.io/Logging_0115/fåglar/A 8500-2022 prioriterade fågelarter.docx", "A 8500-2022")</f>
        <v/>
      </c>
    </row>
    <row r="16" ht="15" customHeight="1">
      <c r="A16" t="inlineStr">
        <is>
          <t>A 62402-2022</t>
        </is>
      </c>
      <c r="B16" t="inlineStr">
        <is>
          <t>avverkningsanmälan</t>
        </is>
      </c>
      <c r="C16" t="inlineStr">
        <is>
          <t>Föryngringsavverkning</t>
        </is>
      </c>
      <c r="D16" s="1" t="n">
        <v>44923</v>
      </c>
      <c r="E16" s="1" t="n">
        <v>46326</v>
      </c>
      <c r="F16" t="inlineStr">
        <is>
          <t>STOCKHOLMS LÄN</t>
        </is>
      </c>
      <c r="G16" t="inlineStr">
        <is>
          <t>VALLENTUNA</t>
        </is>
      </c>
      <c r="I16" t="n">
        <v>3.8</v>
      </c>
      <c r="J16" t="n">
        <v>0</v>
      </c>
      <c r="K16" t="n">
        <v>2</v>
      </c>
      <c r="L16" t="n">
        <v>4</v>
      </c>
      <c r="M16" t="n">
        <v>0</v>
      </c>
      <c r="N16" t="n">
        <v>0</v>
      </c>
      <c r="O16" t="n">
        <v>0</v>
      </c>
      <c r="P16" t="n">
        <v>0</v>
      </c>
      <c r="Q16" t="n">
        <v>4</v>
      </c>
      <c r="R16" t="n">
        <v>0</v>
      </c>
      <c r="S16" t="n">
        <v>6</v>
      </c>
      <c r="T16" t="n">
        <v>6</v>
      </c>
      <c r="U16" t="n">
        <v>6</v>
      </c>
      <c r="V16" s="2" t="inlineStr">
        <is>
          <t>Denisespindling
Kryddspindling
Motaggsvamp
Orange taggsvamp
Anisspindling
Brandticka</t>
        </is>
      </c>
      <c r="W16">
        <f>HYPERLINK("https://klasma.github.io/Logging_0115/artfynd/A 62402-2022 artfynd.xlsx", "A 62402-2022")</f>
        <v/>
      </c>
      <c r="X16">
        <f>HYPERLINK("https://klasma.github.io/Logging_0115/kartor/A 62402-2022 karta.png", "A 62402-2022")</f>
        <v/>
      </c>
      <c r="Y16">
        <f>HYPERLINK("https://klasma.github.io/Logging_0115/kartor_geotiff/A 62402-2022 georefererad karta.tif", "A 62402-2022")</f>
        <v/>
      </c>
      <c r="AA16">
        <f>HYPERLINK("https://klasma.github.io/Logging_0115/klagomål/A 62402-2022 FSC-klagomål.docx", "A 62402-2022")</f>
        <v/>
      </c>
      <c r="AB16">
        <f>HYPERLINK("https://klasma.github.io/Logging_0115/klagomålsmail/A 62402-2022 FSC-klagomål mail.docx", "A 62402-2022")</f>
        <v/>
      </c>
      <c r="AC16">
        <f>HYPERLINK("https://klasma.github.io/Logging_0115/tillsyn/A 62402-2022 tillsynsbegäran.docx", "A 62402-2022")</f>
        <v/>
      </c>
      <c r="AD16">
        <f>HYPERLINK("https://klasma.github.io/Logging_0115/tillsynsmail/A 62402-2022 tillsynsbegäran mail.docx", "A 62402-2022")</f>
        <v/>
      </c>
    </row>
    <row r="17" ht="15" customHeight="1">
      <c r="A17" t="inlineStr">
        <is>
          <t>S 3063-2024</t>
        </is>
      </c>
      <c r="B17" t="inlineStr">
        <is>
          <t>samrådsanmälan</t>
        </is>
      </c>
      <c r="C17" t="inlineStr">
        <is>
          <t>Annan skogsbruksåtgärd</t>
        </is>
      </c>
      <c r="D17" s="1" t="n">
        <v>45517</v>
      </c>
      <c r="E17" s="1" t="n">
        <v>46326</v>
      </c>
      <c r="F17" t="inlineStr">
        <is>
          <t>STOCKHOLMS LÄN</t>
        </is>
      </c>
      <c r="G17" t="inlineStr">
        <is>
          <t>VALLENTUNA</t>
        </is>
      </c>
      <c r="H17" t="inlineStr">
        <is>
          <t>Övriga Aktiebolag</t>
        </is>
      </c>
      <c r="I17" t="n">
        <v>20.1</v>
      </c>
      <c r="J17" t="n">
        <v>0</v>
      </c>
      <c r="K17" t="n">
        <v>3</v>
      </c>
      <c r="L17" t="n">
        <v>3</v>
      </c>
      <c r="M17" t="n">
        <v>0</v>
      </c>
      <c r="N17" t="n">
        <v>0</v>
      </c>
      <c r="O17" t="n">
        <v>0</v>
      </c>
      <c r="P17" t="n">
        <v>0</v>
      </c>
      <c r="Q17" t="n">
        <v>3</v>
      </c>
      <c r="R17" t="n">
        <v>0</v>
      </c>
      <c r="S17" t="n">
        <v>6</v>
      </c>
      <c r="T17" t="n">
        <v>12</v>
      </c>
      <c r="U17" t="n">
        <v>0</v>
      </c>
      <c r="V17" s="2" t="inlineStr">
        <is>
          <t>Lunglav
Ullticka
Vårärt
Barkticka
Mindre märgborre
Stuplav</t>
        </is>
      </c>
      <c r="W17">
        <f>HYPERLINK("https://klasma.github.io/Logging_0115/artfynd/S 3063-2024 artfynd.xlsx", "S 3063-2024")</f>
        <v/>
      </c>
      <c r="X17">
        <f>HYPERLINK("https://klasma.github.io/Logging_0115/kartor/S 3063-2024 karta.png", "S 3063-2024")</f>
        <v/>
      </c>
      <c r="Y17">
        <f>HYPERLINK("https://klasma.github.io/Logging_0115/kartor_geotiff/S 3063-2024 georefererad karta.tif", "S 3063-2024")</f>
        <v/>
      </c>
      <c r="AA17">
        <f>HYPERLINK("https://klasma.github.io/Logging_0115/klagomål/S 3063-2024 FSC-klagomål.docx", "S 3063-2024")</f>
        <v/>
      </c>
      <c r="AB17">
        <f>HYPERLINK("https://klasma.github.io/Logging_0115/klagomålsmail/S 3063-2024 FSC-klagomål mail.docx", "S 3063-2024")</f>
        <v/>
      </c>
      <c r="AC17">
        <f>HYPERLINK("https://klasma.github.io/Logging_0115/tillsyn/S 3063-2024 tillsynsbegäran.docx", "S 3063-2024")</f>
        <v/>
      </c>
      <c r="AD17">
        <f>HYPERLINK("https://klasma.github.io/Logging_0115/tillsynsmail/S 3063-2024 tillsynsbegäran mail.docx", "S 3063-2024")</f>
        <v/>
      </c>
    </row>
    <row r="18" ht="15" customHeight="1">
      <c r="A18" t="inlineStr">
        <is>
          <t>A 48717-2024</t>
        </is>
      </c>
      <c r="B18" t="inlineStr">
        <is>
          <t>avverkningsanmälan</t>
        </is>
      </c>
      <c r="C18" t="inlineStr">
        <is>
          <t>Föryngringsavverkning</t>
        </is>
      </c>
      <c r="D18" s="1" t="n">
        <v>45593</v>
      </c>
      <c r="E18" s="1" t="n">
        <v>46326</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9745-2022</t>
        </is>
      </c>
      <c r="B19" t="inlineStr">
        <is>
          <t>avverkningsanmälan</t>
        </is>
      </c>
      <c r="C19" t="inlineStr">
        <is>
          <t>Föryngringsavverkning</t>
        </is>
      </c>
      <c r="D19" s="1" t="n">
        <v>44618</v>
      </c>
      <c r="E19" s="1" t="n">
        <v>46326</v>
      </c>
      <c r="F19" t="inlineStr">
        <is>
          <t>STOCKHOLMS LÄN</t>
        </is>
      </c>
      <c r="G19" t="inlineStr">
        <is>
          <t>VALLENTUNA</t>
        </is>
      </c>
      <c r="I19" t="n">
        <v>5.9</v>
      </c>
      <c r="J19" t="n">
        <v>1</v>
      </c>
      <c r="K19" t="n">
        <v>2</v>
      </c>
      <c r="L19" t="n">
        <v>0</v>
      </c>
      <c r="M19" t="n">
        <v>0</v>
      </c>
      <c r="N19" t="n">
        <v>0</v>
      </c>
      <c r="O19" t="n">
        <v>0</v>
      </c>
      <c r="P19" t="n">
        <v>0</v>
      </c>
      <c r="Q19" t="n">
        <v>0</v>
      </c>
      <c r="R19" t="n">
        <v>0</v>
      </c>
      <c r="S19" t="n">
        <v>3</v>
      </c>
      <c r="T19" t="n">
        <v>4</v>
      </c>
      <c r="U19" t="n">
        <v>4</v>
      </c>
      <c r="V19" s="2" t="inlineStr">
        <is>
          <t>Björksplintborre
Vedticka
Spillkråka</t>
        </is>
      </c>
      <c r="W19">
        <f>HYPERLINK("https://klasma.github.io/Logging_0115/artfynd/A 9745-2022 artfynd.xlsx", "A 9745-2022")</f>
        <v/>
      </c>
      <c r="X19">
        <f>HYPERLINK("https://klasma.github.io/Logging_0115/kartor/A 9745-2022 karta.png", "A 9745-2022")</f>
        <v/>
      </c>
      <c r="Y19">
        <f>HYPERLINK("https://klasma.github.io/Logging_0115/kartor_geotiff/A 9745-2022 georefererad karta.tif", "A 9745-2022")</f>
        <v/>
      </c>
      <c r="AA19">
        <f>HYPERLINK("https://klasma.github.io/Logging_0115/klagomål/A 9745-2022 FSC-klagomål.docx", "A 9745-2022")</f>
        <v/>
      </c>
      <c r="AB19">
        <f>HYPERLINK("https://klasma.github.io/Logging_0115/klagomålsmail/A 9745-2022 FSC-klagomål mail.docx", "A 9745-2022")</f>
        <v/>
      </c>
      <c r="AC19">
        <f>HYPERLINK("https://klasma.github.io/Logging_0115/tillsyn/A 9745-2022 tillsynsbegäran.docx", "A 9745-2022")</f>
        <v/>
      </c>
      <c r="AD19">
        <f>HYPERLINK("https://klasma.github.io/Logging_0115/tillsynsmail/A 9745-2022 tillsynsbegäran mail.docx", "A 9745-2022")</f>
        <v/>
      </c>
      <c r="AE19">
        <f>HYPERLINK("https://klasma.github.io/Logging_0115/fåglar/A 9745-2022 prioriterade fågelarter.docx", "A 9745-2022")</f>
        <v/>
      </c>
    </row>
    <row r="20" ht="15" customHeight="1">
      <c r="A20" t="inlineStr">
        <is>
          <t>A 9807-2026</t>
        </is>
      </c>
      <c r="B20" t="inlineStr">
        <is>
          <t>avverkningsanmälan</t>
        </is>
      </c>
      <c r="C20" t="inlineStr">
        <is>
          <t>Avverkning för annat ändamål</t>
        </is>
      </c>
      <c r="D20" s="1" t="n">
        <v>46072</v>
      </c>
      <c r="E20" s="1" t="n">
        <v>46326</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t="n">
        <v>0</v>
      </c>
      <c r="V20" s="2" t="inlineStr">
        <is>
          <t>Järnsparv
Grönsiska
Kungsfågel</t>
        </is>
      </c>
      <c r="W20">
        <f>HYPERLINK("https://klasma.github.io/Logging_0115/artfynd/A 9807-2026 artfynd.xlsx", "A 9807-2026")</f>
        <v/>
      </c>
      <c r="X20">
        <f>HYPERLINK("https://klasma.github.io/Logging_0115/kartor/A 9807-2026 karta.png", "A 9807-2026")</f>
        <v/>
      </c>
      <c r="Y20">
        <f>HYPERLINK("https://klasma.github.io/Logging_0115/kartor_geotiff/A 9807-2026 georefererad karta.tif", "A 9807-2026")</f>
        <v/>
      </c>
      <c r="AA20">
        <f>HYPERLINK("https://klasma.github.io/Logging_0115/klagomål/A 9807-2026 FSC-klagomål.docx", "A 9807-2026")</f>
        <v/>
      </c>
      <c r="AB20">
        <f>HYPERLINK("https://klasma.github.io/Logging_0115/klagomålsmail/A 9807-2026 FSC-klagomål mail.docx", "A 9807-2026")</f>
        <v/>
      </c>
      <c r="AC20">
        <f>HYPERLINK("https://klasma.github.io/Logging_0115/tillsyn/A 9807-2026 tillsynsbegäran.docx", "A 9807-2026")</f>
        <v/>
      </c>
      <c r="AD20">
        <f>HYPERLINK("https://klasma.github.io/Logging_0115/tillsynsmail/A 9807-2026 tillsynsbegäran mail.docx", "A 9807-2026")</f>
        <v/>
      </c>
      <c r="AE20">
        <f>HYPERLINK("https://klasma.github.io/Logging_0115/fåglar/A 9807-2026 prioriterade fågelarter.docx", "A 9807-2026")</f>
        <v/>
      </c>
    </row>
    <row r="21" ht="15" customHeight="1">
      <c r="A21" t="inlineStr">
        <is>
          <t>A 63543-2025</t>
        </is>
      </c>
      <c r="B21" t="inlineStr">
        <is>
          <t>avverkningsanmälan</t>
        </is>
      </c>
      <c r="C21" t="inlineStr">
        <is>
          <t>Föryngringsavverkning</t>
        </is>
      </c>
      <c r="D21" s="1" t="n">
        <v>46013</v>
      </c>
      <c r="E21" s="1" t="n">
        <v>46326</v>
      </c>
      <c r="F21" t="inlineStr">
        <is>
          <t>STOCKHOLMS LÄN</t>
        </is>
      </c>
      <c r="G21" t="inlineStr">
        <is>
          <t>VALLENTUNA</t>
        </is>
      </c>
      <c r="I21" t="n">
        <v>3.4</v>
      </c>
      <c r="J21" t="n">
        <v>0</v>
      </c>
      <c r="K21" t="n">
        <v>1</v>
      </c>
      <c r="L21" t="n">
        <v>2</v>
      </c>
      <c r="M21" t="n">
        <v>0</v>
      </c>
      <c r="N21" t="n">
        <v>0</v>
      </c>
      <c r="O21" t="n">
        <v>0</v>
      </c>
      <c r="P21" t="n">
        <v>0</v>
      </c>
      <c r="Q21" t="n">
        <v>2</v>
      </c>
      <c r="R21" t="n">
        <v>0</v>
      </c>
      <c r="S21" t="n">
        <v>3</v>
      </c>
      <c r="T21" t="n">
        <v>3</v>
      </c>
      <c r="U21" t="n">
        <v>0</v>
      </c>
      <c r="V21" s="2" t="inlineStr">
        <is>
          <t>Tallticka
Vedskivlav
Björksplintborre</t>
        </is>
      </c>
      <c r="W21">
        <f>HYPERLINK("https://klasma.github.io/Logging_0115/artfynd/A 63543-2025 artfynd.xlsx", "A 63543-2025")</f>
        <v/>
      </c>
      <c r="X21">
        <f>HYPERLINK("https://klasma.github.io/Logging_0115/kartor/A 63543-2025 karta.png", "A 63543-2025")</f>
        <v/>
      </c>
      <c r="Y21">
        <f>HYPERLINK("https://klasma.github.io/Logging_0115/kartor_geotiff/A 63543-2025 georefererad karta.tif", "A 63543-2025")</f>
        <v/>
      </c>
      <c r="AA21">
        <f>HYPERLINK("https://klasma.github.io/Logging_0115/klagomål/A 63543-2025 FSC-klagomål.docx", "A 63543-2025")</f>
        <v/>
      </c>
      <c r="AB21">
        <f>HYPERLINK("https://klasma.github.io/Logging_0115/klagomålsmail/A 63543-2025 FSC-klagomål mail.docx", "A 63543-2025")</f>
        <v/>
      </c>
      <c r="AC21">
        <f>HYPERLINK("https://klasma.github.io/Logging_0115/tillsyn/A 63543-2025 tillsynsbegäran.docx", "A 63543-2025")</f>
        <v/>
      </c>
      <c r="AD21">
        <f>HYPERLINK("https://klasma.github.io/Logging_0115/tillsynsmail/A 63543-2025 tillsynsbegäran mail.docx", "A 63543-2025")</f>
        <v/>
      </c>
    </row>
    <row r="22" ht="15" customHeight="1">
      <c r="A22" t="inlineStr">
        <is>
          <t>A 37456-2023</t>
        </is>
      </c>
      <c r="B22" t="inlineStr">
        <is>
          <t>avverkningsanmälan</t>
        </is>
      </c>
      <c r="C22" t="inlineStr">
        <is>
          <t>Föryngringsavverkning</t>
        </is>
      </c>
      <c r="D22" s="1" t="n">
        <v>45156</v>
      </c>
      <c r="E22" s="1" t="n">
        <v>46326</v>
      </c>
      <c r="F22" t="inlineStr">
        <is>
          <t>STOCKHOLMS LÄN</t>
        </is>
      </c>
      <c r="G22" t="inlineStr">
        <is>
          <t>VALLENTUNA</t>
        </is>
      </c>
      <c r="H22" t="inlineStr">
        <is>
          <t>Övriga Aktiebolag</t>
        </is>
      </c>
      <c r="I22" t="n">
        <v>3.3</v>
      </c>
      <c r="J22" t="n">
        <v>1</v>
      </c>
      <c r="K22" t="n">
        <v>0</v>
      </c>
      <c r="L22" t="n">
        <v>2</v>
      </c>
      <c r="M22" t="n">
        <v>0</v>
      </c>
      <c r="N22" t="n">
        <v>0</v>
      </c>
      <c r="O22" t="n">
        <v>0</v>
      </c>
      <c r="P22" t="n">
        <v>0</v>
      </c>
      <c r="Q22" t="n">
        <v>2</v>
      </c>
      <c r="R22" t="n">
        <v>0</v>
      </c>
      <c r="S22" t="n">
        <v>3</v>
      </c>
      <c r="T22" t="n">
        <v>4</v>
      </c>
      <c r="U22" t="n">
        <v>4</v>
      </c>
      <c r="V22" s="2" t="inlineStr">
        <is>
          <t>Skarp dropptaggsvamp
Tjockfotad fingersvamp
Blåsippa</t>
        </is>
      </c>
      <c r="W22">
        <f>HYPERLINK("https://klasma.github.io/Logging_0115/artfynd/A 37456-2023 artfynd.xlsx", "A 37456-2023")</f>
        <v/>
      </c>
      <c r="X22">
        <f>HYPERLINK("https://klasma.github.io/Logging_0115/kartor/A 37456-2023 karta.png", "A 37456-2023")</f>
        <v/>
      </c>
      <c r="Y22">
        <f>HYPERLINK("https://klasma.github.io/Logging_0115/kartor_geotiff/A 37456-2023 georefererad karta.tif", "A 37456-2023")</f>
        <v/>
      </c>
      <c r="AA22">
        <f>HYPERLINK("https://klasma.github.io/Logging_0115/klagomål/A 37456-2023 FSC-klagomål.docx", "A 37456-2023")</f>
        <v/>
      </c>
      <c r="AB22">
        <f>HYPERLINK("https://klasma.github.io/Logging_0115/klagomålsmail/A 37456-2023 FSC-klagomål mail.docx", "A 37456-2023")</f>
        <v/>
      </c>
      <c r="AC22">
        <f>HYPERLINK("https://klasma.github.io/Logging_0115/tillsyn/A 37456-2023 tillsynsbegäran.docx", "A 37456-2023")</f>
        <v/>
      </c>
      <c r="AD22">
        <f>HYPERLINK("https://klasma.github.io/Logging_0115/tillsynsmail/A 37456-2023 tillsynsbegäran mail.docx", "A 37456-2023")</f>
        <v/>
      </c>
    </row>
    <row r="23" ht="15" customHeight="1">
      <c r="A23" t="inlineStr">
        <is>
          <t>A 14508-2024</t>
        </is>
      </c>
      <c r="B23" t="inlineStr">
        <is>
          <t>avverkningsanmälan</t>
        </is>
      </c>
      <c r="C23" t="inlineStr">
        <is>
          <t>Föryngringsavverkning</t>
        </is>
      </c>
      <c r="D23" s="1" t="n">
        <v>45394</v>
      </c>
      <c r="E23" s="1" t="n">
        <v>46326</v>
      </c>
      <c r="F23" t="inlineStr">
        <is>
          <t>STOCKHOLMS LÄN</t>
        </is>
      </c>
      <c r="G23" t="inlineStr">
        <is>
          <t>VALLENTUNA</t>
        </is>
      </c>
      <c r="I23" t="n">
        <v>1.7</v>
      </c>
      <c r="J23" t="n">
        <v>2</v>
      </c>
      <c r="K23" t="n">
        <v>0</v>
      </c>
      <c r="L23" t="n">
        <v>2</v>
      </c>
      <c r="M23" t="n">
        <v>1</v>
      </c>
      <c r="N23" t="n">
        <v>0</v>
      </c>
      <c r="O23" t="n">
        <v>0</v>
      </c>
      <c r="P23" t="n">
        <v>0</v>
      </c>
      <c r="Q23" t="n">
        <v>3</v>
      </c>
      <c r="R23" t="n">
        <v>1</v>
      </c>
      <c r="S23" t="n">
        <v>3</v>
      </c>
      <c r="T23" t="n">
        <v>3</v>
      </c>
      <c r="U23" t="n">
        <v>2</v>
      </c>
      <c r="V23" s="2" t="inlineStr">
        <is>
          <t>Hussvala
Berggräsfjäril
Mindre hackspett</t>
        </is>
      </c>
      <c r="W23">
        <f>HYPERLINK("https://klasma.github.io/Logging_0115/artfynd/A 14508-2024 artfynd.xlsx", "A 14508-2024")</f>
        <v/>
      </c>
      <c r="X23">
        <f>HYPERLINK("https://klasma.github.io/Logging_0115/kartor/A 14508-2024 karta.png", "A 14508-2024")</f>
        <v/>
      </c>
      <c r="Y23">
        <f>HYPERLINK("https://klasma.github.io/Logging_0115/kartor_geotiff/A 14508-2024 georefererad karta.tif", "A 14508-2024")</f>
        <v/>
      </c>
      <c r="AA23">
        <f>HYPERLINK("https://klasma.github.io/Logging_0115/klagomål/A 14508-2024 FSC-klagomål.docx", "A 14508-2024")</f>
        <v/>
      </c>
      <c r="AB23">
        <f>HYPERLINK("https://klasma.github.io/Logging_0115/klagomålsmail/A 14508-2024 FSC-klagomål mail.docx", "A 14508-2024")</f>
        <v/>
      </c>
      <c r="AC23">
        <f>HYPERLINK("https://klasma.github.io/Logging_0115/tillsyn/A 14508-2024 tillsynsbegäran.docx", "A 14508-2024")</f>
        <v/>
      </c>
      <c r="AD23">
        <f>HYPERLINK("https://klasma.github.io/Logging_0115/tillsynsmail/A 14508-2024 tillsynsbegäran mail.docx", "A 14508-2024")</f>
        <v/>
      </c>
      <c r="AE23">
        <f>HYPERLINK("https://klasma.github.io/Logging_0115/fåglar/A 14508-2024 prioriterade fågelarter.docx", "A 14508-2024")</f>
        <v/>
      </c>
    </row>
    <row r="24" ht="15" customHeight="1">
      <c r="A24" t="inlineStr">
        <is>
          <t>A 60-2022</t>
        </is>
      </c>
      <c r="B24" t="inlineStr">
        <is>
          <t>avverkningsanmälan</t>
        </is>
      </c>
      <c r="C24" t="inlineStr">
        <is>
          <t>Föryngringsavverkning</t>
        </is>
      </c>
      <c r="D24" s="1" t="n">
        <v>44560</v>
      </c>
      <c r="E24" s="1" t="n">
        <v>46326</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46326</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41021-2023</t>
        </is>
      </c>
      <c r="B26" t="inlineStr">
        <is>
          <t>avverkningsanmälan</t>
        </is>
      </c>
      <c r="C26" t="inlineStr">
        <is>
          <t>Föryngringsavverkning</t>
        </is>
      </c>
      <c r="D26" s="1" t="n">
        <v>45173</v>
      </c>
      <c r="E26" s="1" t="n">
        <v>46326</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63539-2025</t>
        </is>
      </c>
      <c r="B27" t="inlineStr">
        <is>
          <t>avverkningsanmälan</t>
        </is>
      </c>
      <c r="C27" t="inlineStr">
        <is>
          <t>Föryngringsavverkning</t>
        </is>
      </c>
      <c r="D27" s="1" t="n">
        <v>46013</v>
      </c>
      <c r="E27" s="1" t="n">
        <v>46326</v>
      </c>
      <c r="F27" t="inlineStr">
        <is>
          <t>STOCKHOLMS LÄN</t>
        </is>
      </c>
      <c r="G27" t="inlineStr">
        <is>
          <t>VALLENTUNA</t>
        </is>
      </c>
      <c r="I27" t="n">
        <v>1.1</v>
      </c>
      <c r="J27" t="n">
        <v>0</v>
      </c>
      <c r="K27" t="n">
        <v>0</v>
      </c>
      <c r="L27" t="n">
        <v>2</v>
      </c>
      <c r="M27" t="n">
        <v>0</v>
      </c>
      <c r="N27" t="n">
        <v>0</v>
      </c>
      <c r="O27" t="n">
        <v>0</v>
      </c>
      <c r="P27" t="n">
        <v>0</v>
      </c>
      <c r="Q27" t="n">
        <v>2</v>
      </c>
      <c r="R27" t="n">
        <v>0</v>
      </c>
      <c r="S27" t="n">
        <v>2</v>
      </c>
      <c r="T27" t="n">
        <v>2</v>
      </c>
      <c r="U27" t="n">
        <v>0</v>
      </c>
      <c r="V27" s="2" t="inlineStr">
        <is>
          <t>Tallticka
Vårärt</t>
        </is>
      </c>
      <c r="W27">
        <f>HYPERLINK("https://klasma.github.io/Logging_0115/artfynd/A 63539-2025 artfynd.xlsx", "A 63539-2025")</f>
        <v/>
      </c>
      <c r="X27">
        <f>HYPERLINK("https://klasma.github.io/Logging_0115/kartor/A 63539-2025 karta.png", "A 63539-2025")</f>
        <v/>
      </c>
      <c r="Y27">
        <f>HYPERLINK("https://klasma.github.io/Logging_0115/kartor_geotiff/A 63539-2025 georefererad karta.tif", "A 63539-2025")</f>
        <v/>
      </c>
      <c r="AA27">
        <f>HYPERLINK("https://klasma.github.io/Logging_0115/klagomål/A 63539-2025 FSC-klagomål.docx", "A 63539-2025")</f>
        <v/>
      </c>
      <c r="AB27">
        <f>HYPERLINK("https://klasma.github.io/Logging_0115/klagomålsmail/A 63539-2025 FSC-klagomål mail.docx", "A 63539-2025")</f>
        <v/>
      </c>
      <c r="AC27">
        <f>HYPERLINK("https://klasma.github.io/Logging_0115/tillsyn/A 63539-2025 tillsynsbegäran.docx", "A 63539-2025")</f>
        <v/>
      </c>
      <c r="AD27">
        <f>HYPERLINK("https://klasma.github.io/Logging_0115/tillsynsmail/A 63539-2025 tillsynsbegäran mail.docx", "A 63539-2025")</f>
        <v/>
      </c>
    </row>
    <row r="28" ht="15" customHeight="1">
      <c r="A28" t="inlineStr">
        <is>
          <t>A 34460-2023</t>
        </is>
      </c>
      <c r="B28" t="inlineStr">
        <is>
          <t>avverkningsanmälan</t>
        </is>
      </c>
      <c r="C28" t="inlineStr">
        <is>
          <t>Föryngringsavverkning</t>
        </is>
      </c>
      <c r="D28" s="1" t="n">
        <v>45139</v>
      </c>
      <c r="E28" s="1" t="n">
        <v>46326</v>
      </c>
      <c r="F28" t="inlineStr">
        <is>
          <t>STOCKHOLMS LÄN</t>
        </is>
      </c>
      <c r="G28" t="inlineStr">
        <is>
          <t>VALLENTUNA</t>
        </is>
      </c>
      <c r="I28" t="n">
        <v>1.7</v>
      </c>
      <c r="J28" t="n">
        <v>0</v>
      </c>
      <c r="K28" t="n">
        <v>0</v>
      </c>
      <c r="L28" t="n">
        <v>2</v>
      </c>
      <c r="M28" t="n">
        <v>0</v>
      </c>
      <c r="N28" t="n">
        <v>0</v>
      </c>
      <c r="O28" t="n">
        <v>0</v>
      </c>
      <c r="P28" t="n">
        <v>0</v>
      </c>
      <c r="Q28" t="n">
        <v>2</v>
      </c>
      <c r="R28" t="n">
        <v>0</v>
      </c>
      <c r="S28" t="n">
        <v>2</v>
      </c>
      <c r="T28" t="n">
        <v>2</v>
      </c>
      <c r="U28" t="n">
        <v>2</v>
      </c>
      <c r="V28" s="2" t="inlineStr">
        <is>
          <t>Motaggsvamp
Orange taggsvamp</t>
        </is>
      </c>
      <c r="W28">
        <f>HYPERLINK("https://klasma.github.io/Logging_0115/artfynd/A 34460-2023 artfynd.xlsx", "A 34460-2023")</f>
        <v/>
      </c>
      <c r="X28">
        <f>HYPERLINK("https://klasma.github.io/Logging_0115/kartor/A 34460-2023 karta.png", "A 34460-2023")</f>
        <v/>
      </c>
      <c r="Y28">
        <f>HYPERLINK("https://klasma.github.io/Logging_0115/kartor_geotiff/A 34460-2023 georefererad karta.tif", "A 34460-2023")</f>
        <v/>
      </c>
      <c r="AA28">
        <f>HYPERLINK("https://klasma.github.io/Logging_0115/klagomål/A 34460-2023 FSC-klagomål.docx", "A 34460-2023")</f>
        <v/>
      </c>
      <c r="AB28">
        <f>HYPERLINK("https://klasma.github.io/Logging_0115/klagomålsmail/A 34460-2023 FSC-klagomål mail.docx", "A 34460-2023")</f>
        <v/>
      </c>
      <c r="AC28">
        <f>HYPERLINK("https://klasma.github.io/Logging_0115/tillsyn/A 34460-2023 tillsynsbegäran.docx", "A 34460-2023")</f>
        <v/>
      </c>
      <c r="AD28">
        <f>HYPERLINK("https://klasma.github.io/Logging_0115/tillsynsmail/A 34460-2023 tillsynsbegäran mail.docx", "A 34460-2023")</f>
        <v/>
      </c>
    </row>
    <row r="29" ht="15" customHeight="1">
      <c r="A29" t="inlineStr">
        <is>
          <t>A 27935-2026</t>
        </is>
      </c>
      <c r="B29" t="inlineStr">
        <is>
          <t>avverkningsanmälan</t>
        </is>
      </c>
      <c r="C29" t="inlineStr">
        <is>
          <t>Avverkning för annat ändamål</t>
        </is>
      </c>
      <c r="D29" s="1" t="n">
        <v>46191</v>
      </c>
      <c r="E29" s="1" t="n">
        <v>46326</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7890-2023</t>
        </is>
      </c>
      <c r="B30" t="inlineStr">
        <is>
          <t>avverkningsanmälan</t>
        </is>
      </c>
      <c r="C30" t="inlineStr">
        <is>
          <t>Föryngringsavverkning</t>
        </is>
      </c>
      <c r="D30" s="1" t="n">
        <v>44973</v>
      </c>
      <c r="E30" s="1" t="n">
        <v>46326</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22830-2024</t>
        </is>
      </c>
      <c r="B31" t="inlineStr">
        <is>
          <t>avverkningsanmälan</t>
        </is>
      </c>
      <c r="C31" t="inlineStr">
        <is>
          <t>Föryngringsavverkning</t>
        </is>
      </c>
      <c r="D31" s="1" t="n">
        <v>45448</v>
      </c>
      <c r="E31" s="1" t="n">
        <v>46326</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54460-2025</t>
        </is>
      </c>
      <c r="B32" t="inlineStr">
        <is>
          <t>avverkningsanmälan</t>
        </is>
      </c>
      <c r="C32" t="inlineStr">
        <is>
          <t>Föryngringsavverkning</t>
        </is>
      </c>
      <c r="D32" s="1" t="n">
        <v>45965</v>
      </c>
      <c r="E32" s="1" t="n">
        <v>46326</v>
      </c>
      <c r="F32" t="inlineStr">
        <is>
          <t>STOCKHOLMS LÄN</t>
        </is>
      </c>
      <c r="G32" t="inlineStr">
        <is>
          <t>VALLENTUNA</t>
        </is>
      </c>
      <c r="I32" t="n">
        <v>22.9</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54460-2025 artfynd.xlsx", "A 54460-2025")</f>
        <v/>
      </c>
      <c r="X32">
        <f>HYPERLINK("https://klasma.github.io/Logging_0115/kartor/A 54460-2025 karta.png", "A 54460-2025")</f>
        <v/>
      </c>
      <c r="Y32">
        <f>HYPERLINK("https://klasma.github.io/Logging_0115/kartor_geotiff/A 54460-2025 georefererad karta.tif", "A 54460-2025")</f>
        <v/>
      </c>
      <c r="AA32">
        <f>HYPERLINK("https://klasma.github.io/Logging_0115/klagomål/A 54460-2025 FSC-klagomål.docx", "A 54460-2025")</f>
        <v/>
      </c>
      <c r="AB32">
        <f>HYPERLINK("https://klasma.github.io/Logging_0115/klagomålsmail/A 54460-2025 FSC-klagomål mail.docx", "A 54460-2025")</f>
        <v/>
      </c>
      <c r="AC32">
        <f>HYPERLINK("https://klasma.github.io/Logging_0115/tillsyn/A 54460-2025 tillsynsbegäran.docx", "A 54460-2025")</f>
        <v/>
      </c>
      <c r="AD32">
        <f>HYPERLINK("https://klasma.github.io/Logging_0115/tillsynsmail/A 54460-2025 tillsynsbegäran mail.docx", "A 54460-2025")</f>
        <v/>
      </c>
    </row>
    <row r="33" ht="15" customHeight="1">
      <c r="A33" t="inlineStr">
        <is>
          <t>A 54481-2025</t>
        </is>
      </c>
      <c r="B33" t="inlineStr">
        <is>
          <t>avverkningsanmälan</t>
        </is>
      </c>
      <c r="C33" t="inlineStr">
        <is>
          <t>Föryngringsavverkning</t>
        </is>
      </c>
      <c r="D33" s="1" t="n">
        <v>45965</v>
      </c>
      <c r="E33" s="1" t="n">
        <v>46326</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12396-2026</t>
        </is>
      </c>
      <c r="B34" t="inlineStr">
        <is>
          <t>avverkningsanmälan</t>
        </is>
      </c>
      <c r="C34" t="inlineStr">
        <is>
          <t>Föryngringsavverkning</t>
        </is>
      </c>
      <c r="D34" s="1" t="n">
        <v>46090</v>
      </c>
      <c r="E34" s="1" t="n">
        <v>46326</v>
      </c>
      <c r="F34" t="inlineStr">
        <is>
          <t>STOCKHOLMS LÄN</t>
        </is>
      </c>
      <c r="G34" t="inlineStr">
        <is>
          <t>VALLENTUNA</t>
        </is>
      </c>
      <c r="I34" t="n">
        <v>3</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HYPERLINK("https://klasma.github.io/Logging_0115/artfynd/A 12396-2026 artfynd.xlsx", "A 12396-2026")</f>
        <v/>
      </c>
      <c r="X34">
        <f>HYPERLINK("https://klasma.github.io/Logging_0115/kartor/A 12396-2026 karta.png", "A 12396-2026")</f>
        <v/>
      </c>
      <c r="Y34">
        <f>HYPERLINK("https://klasma.github.io/Logging_0115/kartor_geotiff/A 12396-2026 georefererad karta.tif", "A 12396-2026")</f>
        <v/>
      </c>
      <c r="AA34">
        <f>HYPERLINK("https://klasma.github.io/Logging_0115/klagomål/A 12396-2026 FSC-klagomål.docx", "A 12396-2026")</f>
        <v/>
      </c>
      <c r="AB34">
        <f>HYPERLINK("https://klasma.github.io/Logging_0115/klagomålsmail/A 12396-2026 FSC-klagomål mail.docx", "A 12396-2026")</f>
        <v/>
      </c>
      <c r="AC34">
        <f>HYPERLINK("https://klasma.github.io/Logging_0115/tillsyn/A 12396-2026 tillsynsbegäran.docx", "A 12396-2026")</f>
        <v/>
      </c>
      <c r="AD34">
        <f>HYPERLINK("https://klasma.github.io/Logging_0115/tillsynsmail/A 12396-2026 tillsynsbegäran mail.docx", "A 12396-2026")</f>
        <v/>
      </c>
      <c r="AE34">
        <f>HYPERLINK("https://klasma.github.io/Logging_0115/fåglar/A 12396-2026 prioriterade fågelarter.docx", "A 12396-2026")</f>
        <v/>
      </c>
    </row>
    <row r="35" ht="15" customHeight="1">
      <c r="A35" t="inlineStr">
        <is>
          <t>A 17348-2025</t>
        </is>
      </c>
      <c r="B35" t="inlineStr">
        <is>
          <t>avverkningsanmälan</t>
        </is>
      </c>
      <c r="C35" t="inlineStr">
        <is>
          <t>Föryngringsavverkning</t>
        </is>
      </c>
      <c r="D35" s="1" t="n">
        <v>45756</v>
      </c>
      <c r="E35" s="1" t="n">
        <v>46326</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20910-2026</t>
        </is>
      </c>
      <c r="B36" t="inlineStr">
        <is>
          <t>avverkningsanmälan</t>
        </is>
      </c>
      <c r="C36" t="inlineStr">
        <is>
          <t>Föryngringsavverkning</t>
        </is>
      </c>
      <c r="D36" s="1" t="n">
        <v>46142</v>
      </c>
      <c r="E36" s="1" t="n">
        <v>46326</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34458-2023</t>
        </is>
      </c>
      <c r="B37" t="inlineStr">
        <is>
          <t>avverkningsanmälan</t>
        </is>
      </c>
      <c r="C37" t="inlineStr">
        <is>
          <t>Föryngringsavverkning</t>
        </is>
      </c>
      <c r="D37" s="1" t="n">
        <v>45139</v>
      </c>
      <c r="E37" s="1" t="n">
        <v>46326</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24068-2024</t>
        </is>
      </c>
      <c r="B38" t="inlineStr">
        <is>
          <t>avverkningsanmälan</t>
        </is>
      </c>
      <c r="C38" t="inlineStr">
        <is>
          <t>Föryngringsavverkning</t>
        </is>
      </c>
      <c r="D38" s="1" t="n">
        <v>45456</v>
      </c>
      <c r="E38" s="1" t="n">
        <v>46326</v>
      </c>
      <c r="F38" t="inlineStr">
        <is>
          <t>STOCKHOLMS LÄN</t>
        </is>
      </c>
      <c r="G38" t="inlineStr">
        <is>
          <t>VALLENTUNA</t>
        </is>
      </c>
      <c r="I38" t="n">
        <v>7.4</v>
      </c>
      <c r="J38" t="n">
        <v>0</v>
      </c>
      <c r="K38" t="n">
        <v>0</v>
      </c>
      <c r="L38" t="n">
        <v>1</v>
      </c>
      <c r="M38" t="n">
        <v>0</v>
      </c>
      <c r="N38" t="n">
        <v>0</v>
      </c>
      <c r="O38" t="n">
        <v>0</v>
      </c>
      <c r="P38" t="n">
        <v>0</v>
      </c>
      <c r="Q38" t="n">
        <v>1</v>
      </c>
      <c r="R38" t="n">
        <v>0</v>
      </c>
      <c r="S38" t="n">
        <v>1</v>
      </c>
      <c r="T38" t="n">
        <v>1</v>
      </c>
      <c r="U38" t="n">
        <v>1</v>
      </c>
      <c r="V38" s="2" t="inlineStr">
        <is>
          <t>Vedskivlav</t>
        </is>
      </c>
      <c r="W38">
        <f>HYPERLINK("https://klasma.github.io/Logging_0115/artfynd/A 24068-2024 artfynd.xlsx", "A 24068-2024")</f>
        <v/>
      </c>
      <c r="X38">
        <f>HYPERLINK("https://klasma.github.io/Logging_0115/kartor/A 24068-2024 karta.png", "A 24068-2024")</f>
        <v/>
      </c>
      <c r="Y38">
        <f>HYPERLINK("https://klasma.github.io/Logging_0115/kartor_geotiff/A 24068-2024 georefererad karta.tif", "A 24068-2024")</f>
        <v/>
      </c>
      <c r="AA38">
        <f>HYPERLINK("https://klasma.github.io/Logging_0115/klagomål/A 24068-2024 FSC-klagomål.docx", "A 24068-2024")</f>
        <v/>
      </c>
      <c r="AB38">
        <f>HYPERLINK("https://klasma.github.io/Logging_0115/klagomålsmail/A 24068-2024 FSC-klagomål mail.docx", "A 24068-2024")</f>
        <v/>
      </c>
      <c r="AC38">
        <f>HYPERLINK("https://klasma.github.io/Logging_0115/tillsyn/A 24068-2024 tillsynsbegäran.docx", "A 24068-2024")</f>
        <v/>
      </c>
      <c r="AD38">
        <f>HYPERLINK("https://klasma.github.io/Logging_0115/tillsynsmail/A 24068-2024 tillsynsbegäran mail.docx", "A 24068-2024")</f>
        <v/>
      </c>
    </row>
    <row r="39" ht="15" customHeight="1">
      <c r="A39" t="inlineStr">
        <is>
          <t>A 21-2022</t>
        </is>
      </c>
      <c r="B39" t="inlineStr">
        <is>
          <t>avverkningsanmälan</t>
        </is>
      </c>
      <c r="C39" t="inlineStr">
        <is>
          <t>Föryngringsavverkning</t>
        </is>
      </c>
      <c r="D39" s="1" t="n">
        <v>44560</v>
      </c>
      <c r="E39" s="1" t="n">
        <v>46326</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20914-2026</t>
        </is>
      </c>
      <c r="B40" t="inlineStr">
        <is>
          <t>avverkningsanmälan</t>
        </is>
      </c>
      <c r="C40" t="inlineStr">
        <is>
          <t>Avverkning för att bevara och utveckla /försöksver</t>
        </is>
      </c>
      <c r="D40" s="1" t="n">
        <v>46142</v>
      </c>
      <c r="E40" s="1" t="n">
        <v>46326</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t="n">
        <v>2</v>
      </c>
      <c r="V40" s="2" t="inlineStr">
        <is>
          <t>Tallticka</t>
        </is>
      </c>
      <c r="W40">
        <f>HYPERLINK("https://klasma.github.io/Logging_0115/artfynd/A 20914-2026 artfynd.xlsx", "A 20914-2026")</f>
        <v/>
      </c>
      <c r="X40">
        <f>HYPERLINK("https://klasma.github.io/Logging_0115/kartor/A 20914-2026 karta.png", "A 20914-2026")</f>
        <v/>
      </c>
      <c r="Y40">
        <f>HYPERLINK("https://klasma.github.io/Logging_0115/kartor_geotiff/A 20914-2026 georefererad karta.tif", "A 20914-2026")</f>
        <v/>
      </c>
      <c r="AA40">
        <f>HYPERLINK("https://klasma.github.io/Logging_0115/klagomål/A 20914-2026 FSC-klagomål.docx", "A 20914-2026")</f>
        <v/>
      </c>
      <c r="AB40">
        <f>HYPERLINK("https://klasma.github.io/Logging_0115/klagomålsmail/A 20914-2026 FSC-klagomål mail.docx", "A 20914-2026")</f>
        <v/>
      </c>
      <c r="AC40">
        <f>HYPERLINK("https://klasma.github.io/Logging_0115/tillsyn/A 20914-2026 tillsynsbegäran.docx", "A 20914-2026")</f>
        <v/>
      </c>
      <c r="AD40">
        <f>HYPERLINK("https://klasma.github.io/Logging_0115/tillsynsmail/A 20914-2026 tillsynsbegäran mail.docx", "A 20914-2026")</f>
        <v/>
      </c>
    </row>
    <row r="41" ht="15" customHeight="1">
      <c r="A41" t="inlineStr">
        <is>
          <t>A 17341-2025</t>
        </is>
      </c>
      <c r="B41" t="inlineStr">
        <is>
          <t>avverkningsanmälan</t>
        </is>
      </c>
      <c r="C41" t="inlineStr">
        <is>
          <t>Föryngringsavverkning</t>
        </is>
      </c>
      <c r="D41" s="1" t="n">
        <v>45756</v>
      </c>
      <c r="E41" s="1" t="n">
        <v>46326</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23009-2024</t>
        </is>
      </c>
      <c r="B42" t="inlineStr">
        <is>
          <t>avverkningsanmälan</t>
        </is>
      </c>
      <c r="C42" t="inlineStr">
        <is>
          <t>Föryngringsavverkning</t>
        </is>
      </c>
      <c r="D42" s="1" t="n">
        <v>45450</v>
      </c>
      <c r="E42" s="1" t="n">
        <v>46326</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12401-2026</t>
        </is>
      </c>
      <c r="B43" t="inlineStr">
        <is>
          <t>avverkningsanmälan</t>
        </is>
      </c>
      <c r="C43" t="inlineStr">
        <is>
          <t>Föryngringsavverkning</t>
        </is>
      </c>
      <c r="D43" s="1" t="n">
        <v>46090</v>
      </c>
      <c r="E43" s="1" t="n">
        <v>46326</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46326</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46326</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46326</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46326</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46326</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46326</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46326</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46326</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26390-2023</t>
        </is>
      </c>
      <c r="B52" t="inlineStr">
        <is>
          <t>avverkningsanmälan</t>
        </is>
      </c>
      <c r="C52" t="inlineStr">
        <is>
          <t>Föryngringsavverkning</t>
        </is>
      </c>
      <c r="D52" s="1" t="n">
        <v>45086</v>
      </c>
      <c r="E52" s="1" t="n">
        <v>46326</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61742-2022</t>
        </is>
      </c>
      <c r="B53" t="inlineStr">
        <is>
          <t>avverkningsanmälan</t>
        </is>
      </c>
      <c r="C53" t="inlineStr">
        <is>
          <t>Avverkning för annat ändamål</t>
        </is>
      </c>
      <c r="D53" s="1" t="n">
        <v>44917</v>
      </c>
      <c r="E53" s="1" t="n">
        <v>46326</v>
      </c>
      <c r="F53" t="inlineStr">
        <is>
          <t>STOCKHOLMS LÄN</t>
        </is>
      </c>
      <c r="G53" t="inlineStr">
        <is>
          <t>VALLENTUNA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414-2026</t>
        </is>
      </c>
      <c r="B54" t="inlineStr">
        <is>
          <t>avverkningsanmälan</t>
        </is>
      </c>
      <c r="C54" t="inlineStr">
        <is>
          <t>Föryngringsavverkning</t>
        </is>
      </c>
      <c r="D54" s="1" t="n">
        <v>46028</v>
      </c>
      <c r="E54" s="1" t="n">
        <v>46326</v>
      </c>
      <c r="F54" t="inlineStr">
        <is>
          <t>STOCKHOLMS LÄN</t>
        </is>
      </c>
      <c r="G54" t="inlineStr">
        <is>
          <t>VALLENTUNA</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12562-2023</t>
        </is>
      </c>
      <c r="B55" t="inlineStr">
        <is>
          <t>avverkningsanmälan</t>
        </is>
      </c>
      <c r="C55" t="inlineStr">
        <is>
          <t>Föryngringsavverkning</t>
        </is>
      </c>
      <c r="D55" s="1" t="n">
        <v>45000</v>
      </c>
      <c r="E55" s="1" t="n">
        <v>46326</v>
      </c>
      <c r="F55" t="inlineStr">
        <is>
          <t>STOCKHOLMS LÄN</t>
        </is>
      </c>
      <c r="G55" t="inlineStr">
        <is>
          <t>VALLENTUNA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46326</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17340-2025</t>
        </is>
      </c>
      <c r="B57" t="inlineStr">
        <is>
          <t>avverkningsanmälan</t>
        </is>
      </c>
      <c r="C57" t="inlineStr">
        <is>
          <t>Föryngringsavverkning</t>
        </is>
      </c>
      <c r="D57" s="1" t="n">
        <v>45756</v>
      </c>
      <c r="E57" s="1" t="n">
        <v>46326</v>
      </c>
      <c r="F57" t="inlineStr">
        <is>
          <t>STOCKHOLMS LÄN</t>
        </is>
      </c>
      <c r="G57" t="inlineStr">
        <is>
          <t>VALLENTUNA</t>
        </is>
      </c>
      <c r="H57" t="inlineStr">
        <is>
          <t>Övriga Aktiebolag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30902-2025</t>
        </is>
      </c>
      <c r="B58" t="inlineStr">
        <is>
          <t>avverkningsanmälan</t>
        </is>
      </c>
      <c r="C58" t="inlineStr">
        <is>
          <t>Föryngringsavverkning</t>
        </is>
      </c>
      <c r="D58" s="1" t="n">
        <v>45832</v>
      </c>
      <c r="E58" s="1" t="n">
        <v>46326</v>
      </c>
      <c r="F58" t="inlineStr">
        <is>
          <t>STOCKHOLMS LÄN</t>
        </is>
      </c>
      <c r="G58" t="inlineStr">
        <is>
          <t>VALLENTUNA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45496-2023</t>
        </is>
      </c>
      <c r="B59" t="inlineStr">
        <is>
          <t>avverkningsanmälan</t>
        </is>
      </c>
      <c r="C59" t="inlineStr">
        <is>
          <t>Föryngringsavverkning</t>
        </is>
      </c>
      <c r="D59" s="1" t="n">
        <v>45194</v>
      </c>
      <c r="E59" s="1" t="n">
        <v>46326</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29704-2023</t>
        </is>
      </c>
      <c r="B60" t="inlineStr">
        <is>
          <t>avverkningsanmälan</t>
        </is>
      </c>
      <c r="C60" t="inlineStr">
        <is>
          <t>Föryngringsavverkning</t>
        </is>
      </c>
      <c r="D60" s="1" t="n">
        <v>45107</v>
      </c>
      <c r="E60" s="1" t="n">
        <v>46326</v>
      </c>
      <c r="F60" t="inlineStr">
        <is>
          <t>STOCKHOLMS LÄN</t>
        </is>
      </c>
      <c r="G60" t="inlineStr">
        <is>
          <t>VALLENTUNA</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28431-2025</t>
        </is>
      </c>
      <c r="B61" t="inlineStr">
        <is>
          <t>avverkningsanmälan</t>
        </is>
      </c>
      <c r="C61" t="inlineStr">
        <is>
          <t>Föryngringsavverkning</t>
        </is>
      </c>
      <c r="D61" s="1" t="n">
        <v>45819</v>
      </c>
      <c r="E61" s="1" t="n">
        <v>46326</v>
      </c>
      <c r="F61" t="inlineStr">
        <is>
          <t>STOCKHOLMS LÄN</t>
        </is>
      </c>
      <c r="G61" t="inlineStr">
        <is>
          <t>VALLENTUNA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12609-2024</t>
        </is>
      </c>
      <c r="B62" t="inlineStr">
        <is>
          <t>avverkningsanmälan</t>
        </is>
      </c>
      <c r="C62" t="inlineStr">
        <is>
          <t>Avverkning för annat ändamål</t>
        </is>
      </c>
      <c r="D62" s="1" t="n">
        <v>45382</v>
      </c>
      <c r="E62" s="1" t="n">
        <v>46326</v>
      </c>
      <c r="F62" t="inlineStr">
        <is>
          <t>STOCKHOLMS LÄN</t>
        </is>
      </c>
      <c r="G62" t="inlineStr">
        <is>
          <t>VALLENTUNA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6298-2026</t>
        </is>
      </c>
      <c r="B63" t="inlineStr">
        <is>
          <t>avverkningsanmälan</t>
        </is>
      </c>
      <c r="C63" t="inlineStr">
        <is>
          <t>Föryngringsavverkning</t>
        </is>
      </c>
      <c r="D63" s="1" t="n">
        <v>46055</v>
      </c>
      <c r="E63" s="1" t="n">
        <v>46326</v>
      </c>
      <c r="F63" t="inlineStr">
        <is>
          <t>STOCKHOLMS LÄN</t>
        </is>
      </c>
      <c r="G63" t="inlineStr">
        <is>
          <t>VALLENTUNA</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13836-2022</t>
        </is>
      </c>
      <c r="B64" t="inlineStr">
        <is>
          <t>avverkningsanmälan</t>
        </is>
      </c>
      <c r="C64" t="inlineStr">
        <is>
          <t>Föryngringsavverkning</t>
        </is>
      </c>
      <c r="D64" s="1" t="n">
        <v>44649</v>
      </c>
      <c r="E64" s="1" t="n">
        <v>46326</v>
      </c>
      <c r="F64" t="inlineStr">
        <is>
          <t>STOCKHOLMS LÄN</t>
        </is>
      </c>
      <c r="G64" t="inlineStr">
        <is>
          <t>VALLENTUNA</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48014-2025</t>
        </is>
      </c>
      <c r="B65" t="inlineStr">
        <is>
          <t>avverkningsanmälan</t>
        </is>
      </c>
      <c r="C65" t="inlineStr">
        <is>
          <t>Föryngringsavverkning</t>
        </is>
      </c>
      <c r="D65" s="1" t="n">
        <v>45932</v>
      </c>
      <c r="E65" s="1" t="n">
        <v>46326</v>
      </c>
      <c r="F65" t="inlineStr">
        <is>
          <t>STOCKHOLMS LÄN</t>
        </is>
      </c>
      <c r="G65" t="inlineStr">
        <is>
          <t>VALLENTUNA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48038-2025</t>
        </is>
      </c>
      <c r="B66" t="inlineStr">
        <is>
          <t>avverkningsanmälan</t>
        </is>
      </c>
      <c r="C66" t="inlineStr">
        <is>
          <t>Föryngringsavverkning</t>
        </is>
      </c>
      <c r="D66" s="1" t="n">
        <v>45932</v>
      </c>
      <c r="E66" s="1" t="n">
        <v>46326</v>
      </c>
      <c r="F66" t="inlineStr">
        <is>
          <t>STOCKHOLMS LÄN</t>
        </is>
      </c>
      <c r="G66" t="inlineStr">
        <is>
          <t>VALLENTUNA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24707-2023</t>
        </is>
      </c>
      <c r="B67" t="inlineStr">
        <is>
          <t>avverkningsanmälan</t>
        </is>
      </c>
      <c r="C67" t="inlineStr">
        <is>
          <t>Föryngringsavverkning</t>
        </is>
      </c>
      <c r="D67" s="1" t="n">
        <v>45084</v>
      </c>
      <c r="E67" s="1" t="n">
        <v>46326</v>
      </c>
      <c r="F67" t="inlineStr">
        <is>
          <t>STOCKHOLMS LÄN</t>
        </is>
      </c>
      <c r="G67" t="inlineStr">
        <is>
          <t>VALLENTUNA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5910-2022</t>
        </is>
      </c>
      <c r="B68" t="inlineStr">
        <is>
          <t>avverkningsanmälan</t>
        </is>
      </c>
      <c r="C68" t="inlineStr">
        <is>
          <t>Föryngringsavverkning</t>
        </is>
      </c>
      <c r="D68" s="1" t="n">
        <v>44597</v>
      </c>
      <c r="E68" s="1" t="n">
        <v>46326</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60795-2023</t>
        </is>
      </c>
      <c r="B69" t="inlineStr">
        <is>
          <t>avverkningsanmälan</t>
        </is>
      </c>
      <c r="C69" t="inlineStr">
        <is>
          <t>Avverkning för annat ändamål</t>
        </is>
      </c>
      <c r="D69" s="1" t="n">
        <v>45260</v>
      </c>
      <c r="E69" s="1" t="n">
        <v>46326</v>
      </c>
      <c r="F69" t="inlineStr">
        <is>
          <t>STOCKHOLMS LÄN</t>
        </is>
      </c>
      <c r="G69" t="inlineStr">
        <is>
          <t>VALLENTUNA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14775-2024</t>
        </is>
      </c>
      <c r="B70" t="inlineStr">
        <is>
          <t>avverkningsanmälan</t>
        </is>
      </c>
      <c r="C70" t="inlineStr">
        <is>
          <t>Föryngringsavverkning</t>
        </is>
      </c>
      <c r="D70" s="1" t="n">
        <v>45397</v>
      </c>
      <c r="E70" s="1" t="n">
        <v>46326</v>
      </c>
      <c r="F70" t="inlineStr">
        <is>
          <t>STOCKHOLMS LÄN</t>
        </is>
      </c>
      <c r="G70" t="inlineStr">
        <is>
          <t>VALLENTUNA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8787-2024</t>
        </is>
      </c>
      <c r="B71" t="inlineStr">
        <is>
          <t>avverkningsanmälan</t>
        </is>
      </c>
      <c r="C71" t="inlineStr">
        <is>
          <t>Avverkning för annat ändamål</t>
        </is>
      </c>
      <c r="D71" s="1" t="n">
        <v>45356</v>
      </c>
      <c r="E71" s="1" t="n">
        <v>46326</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61646-2025</t>
        </is>
      </c>
      <c r="B72" t="inlineStr">
        <is>
          <t>avverkningsanmälan</t>
        </is>
      </c>
      <c r="C72" t="inlineStr">
        <is>
          <t>Föryngringsavverkning</t>
        </is>
      </c>
      <c r="D72" s="1" t="n">
        <v>46002</v>
      </c>
      <c r="E72" s="1" t="n">
        <v>46326</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14782-2024</t>
        </is>
      </c>
      <c r="B73" t="inlineStr">
        <is>
          <t>avverkningsanmälan</t>
        </is>
      </c>
      <c r="C73" t="inlineStr">
        <is>
          <t>Avverkning för att bevara och utveckla /försöksver</t>
        </is>
      </c>
      <c r="D73" s="1" t="n">
        <v>45397</v>
      </c>
      <c r="E73" s="1" t="n">
        <v>46326</v>
      </c>
      <c r="F73" t="inlineStr">
        <is>
          <t>STOCKHOLMS LÄN</t>
        </is>
      </c>
      <c r="G73" t="inlineStr">
        <is>
          <t>VALLENTUNA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52562-2023</t>
        </is>
      </c>
      <c r="B74" t="inlineStr">
        <is>
          <t>avverkningsanmälan</t>
        </is>
      </c>
      <c r="C74" t="inlineStr">
        <is>
          <t>Föryngringsavverkning</t>
        </is>
      </c>
      <c r="D74" s="1" t="n">
        <v>45225</v>
      </c>
      <c r="E74" s="1" t="n">
        <v>46326</v>
      </c>
      <c r="F74" t="inlineStr">
        <is>
          <t>STOCKHOLMS LÄN</t>
        </is>
      </c>
      <c r="G74" t="inlineStr">
        <is>
          <t>VALLENTUNA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49530-2023</t>
        </is>
      </c>
      <c r="B75" t="inlineStr">
        <is>
          <t>avverkningsanmälan</t>
        </is>
      </c>
      <c r="C75" t="inlineStr">
        <is>
          <t>Föryngringsavverkning</t>
        </is>
      </c>
      <c r="D75" s="1" t="n">
        <v>45205</v>
      </c>
      <c r="E75" s="1" t="n">
        <v>46326</v>
      </c>
      <c r="F75" t="inlineStr">
        <is>
          <t>STOCKHOLMS LÄN</t>
        </is>
      </c>
      <c r="G75" t="inlineStr">
        <is>
          <t>VALLENTUNA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52542-2023</t>
        </is>
      </c>
      <c r="B76" t="inlineStr">
        <is>
          <t>avverkningsanmälan</t>
        </is>
      </c>
      <c r="C76" t="inlineStr">
        <is>
          <t>Föryngringsavverkning</t>
        </is>
      </c>
      <c r="D76" s="1" t="n">
        <v>45225</v>
      </c>
      <c r="E76" s="1" t="n">
        <v>46326</v>
      </c>
      <c r="F76" t="inlineStr">
        <is>
          <t>STOCKHOLMS LÄN</t>
        </is>
      </c>
      <c r="G76" t="inlineStr">
        <is>
          <t>VALLENTUNA</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2318-2024</t>
        </is>
      </c>
      <c r="B77" t="inlineStr">
        <is>
          <t>avverkningsanmälan</t>
        </is>
      </c>
      <c r="C77" t="inlineStr">
        <is>
          <t>Föryngringsavverkning</t>
        </is>
      </c>
      <c r="D77" s="1" t="n">
        <v>45310</v>
      </c>
      <c r="E77" s="1" t="n">
        <v>46326</v>
      </c>
      <c r="F77" t="inlineStr">
        <is>
          <t>STOCKHOLMS LÄN</t>
        </is>
      </c>
      <c r="G77" t="inlineStr">
        <is>
          <t>VALLENTUNA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14799-2026</t>
        </is>
      </c>
      <c r="B78" t="inlineStr">
        <is>
          <t>avverkningsanmälan</t>
        </is>
      </c>
      <c r="C78" t="inlineStr">
        <is>
          <t>Föryngringsavverkning</t>
        </is>
      </c>
      <c r="D78" s="1" t="n">
        <v>46102</v>
      </c>
      <c r="E78" s="1" t="n">
        <v>46326</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21445-2023</t>
        </is>
      </c>
      <c r="B79" t="inlineStr">
        <is>
          <t>avverkningsanmälan</t>
        </is>
      </c>
      <c r="C79" t="inlineStr">
        <is>
          <t>Föryngringsavverkning</t>
        </is>
      </c>
      <c r="D79" s="1" t="n">
        <v>45063</v>
      </c>
      <c r="E79" s="1" t="n">
        <v>46326</v>
      </c>
      <c r="F79" t="inlineStr">
        <is>
          <t>STOCKHOLMS LÄN</t>
        </is>
      </c>
      <c r="G79" t="inlineStr">
        <is>
          <t>VALLENTUNA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34441-2023</t>
        </is>
      </c>
      <c r="B80" t="inlineStr">
        <is>
          <t>avverkningsanmälan</t>
        </is>
      </c>
      <c r="C80" t="inlineStr">
        <is>
          <t>Föryngringsavverkning</t>
        </is>
      </c>
      <c r="D80" s="1" t="n">
        <v>45139</v>
      </c>
      <c r="E80" s="1" t="n">
        <v>46326</v>
      </c>
      <c r="F80" t="inlineStr">
        <is>
          <t>STOCKHOLMS LÄN</t>
        </is>
      </c>
      <c r="G80" t="inlineStr">
        <is>
          <t>VALLENTUNA</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34445-2023</t>
        </is>
      </c>
      <c r="B81" t="inlineStr">
        <is>
          <t>avverkningsanmälan</t>
        </is>
      </c>
      <c r="C81" t="inlineStr">
        <is>
          <t>Föryngringsavverkning</t>
        </is>
      </c>
      <c r="D81" s="1" t="n">
        <v>45139</v>
      </c>
      <c r="E81" s="1" t="n">
        <v>46326</v>
      </c>
      <c r="F81" t="inlineStr">
        <is>
          <t>STOCKHOLMS LÄN</t>
        </is>
      </c>
      <c r="G81" t="inlineStr">
        <is>
          <t>VALLENTUNA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12585-2023</t>
        </is>
      </c>
      <c r="B82" t="inlineStr">
        <is>
          <t>avverkningsanmälan</t>
        </is>
      </c>
      <c r="C82" t="inlineStr">
        <is>
          <t>Föryngringsavverkning</t>
        </is>
      </c>
      <c r="D82" s="1" t="n">
        <v>45000</v>
      </c>
      <c r="E82" s="1" t="n">
        <v>46326</v>
      </c>
      <c r="F82" t="inlineStr">
        <is>
          <t>STOCKHOLMS LÄN</t>
        </is>
      </c>
      <c r="G82" t="inlineStr">
        <is>
          <t>VALLENTUNA</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8077-2022</t>
        </is>
      </c>
      <c r="B83" t="inlineStr">
        <is>
          <t>avverkningsanmälan</t>
        </is>
      </c>
      <c r="C83" t="inlineStr">
        <is>
          <t>Föryngringsavverkning</t>
        </is>
      </c>
      <c r="D83" s="1" t="n">
        <v>44609</v>
      </c>
      <c r="E83" s="1" t="n">
        <v>46326</v>
      </c>
      <c r="F83" t="inlineStr">
        <is>
          <t>STOCKHOLMS LÄN</t>
        </is>
      </c>
      <c r="G83" t="inlineStr">
        <is>
          <t>VALLENTUNA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47140-2024</t>
        </is>
      </c>
      <c r="B84" t="inlineStr">
        <is>
          <t>avverkningsanmälan</t>
        </is>
      </c>
      <c r="C84" t="inlineStr">
        <is>
          <t>Föryngringsavverkning</t>
        </is>
      </c>
      <c r="D84" s="1" t="n">
        <v>45586</v>
      </c>
      <c r="E84" s="1" t="n">
        <v>46326</v>
      </c>
      <c r="F84" t="inlineStr">
        <is>
          <t>STOCKHOLMS LÄN</t>
        </is>
      </c>
      <c r="G84" t="inlineStr">
        <is>
          <t>VALLENTUNA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4804-2024</t>
        </is>
      </c>
      <c r="B85" t="inlineStr">
        <is>
          <t>avverkningsanmälan</t>
        </is>
      </c>
      <c r="C85" t="inlineStr">
        <is>
          <t>Avverkning för annat ändamål</t>
        </is>
      </c>
      <c r="D85" s="1" t="n">
        <v>45328</v>
      </c>
      <c r="E85" s="1" t="n">
        <v>46326</v>
      </c>
      <c r="F85" t="inlineStr">
        <is>
          <t>STOCKHOLMS LÄN</t>
        </is>
      </c>
      <c r="G85" t="inlineStr">
        <is>
          <t>VALLENTUNA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21765-2023</t>
        </is>
      </c>
      <c r="B86" t="inlineStr">
        <is>
          <t>avverkningsanmälan</t>
        </is>
      </c>
      <c r="C86" t="inlineStr">
        <is>
          <t>Föryngringsavverkning</t>
        </is>
      </c>
      <c r="D86" s="1" t="n">
        <v>45064</v>
      </c>
      <c r="E86" s="1" t="n">
        <v>46326</v>
      </c>
      <c r="F86" t="inlineStr">
        <is>
          <t>STOCKHOLMS LÄN</t>
        </is>
      </c>
      <c r="G86" t="inlineStr">
        <is>
          <t>VALLENTUNA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21614-2022</t>
        </is>
      </c>
      <c r="B87" t="inlineStr">
        <is>
          <t>avverkningsanmälan</t>
        </is>
      </c>
      <c r="C87" t="inlineStr">
        <is>
          <t>Föryngringsavverkning</t>
        </is>
      </c>
      <c r="D87" s="1" t="n">
        <v>44706</v>
      </c>
      <c r="E87" s="1" t="n">
        <v>46326</v>
      </c>
      <c r="F87" t="inlineStr">
        <is>
          <t>STOCKHOLMS LÄN</t>
        </is>
      </c>
      <c r="G87" t="inlineStr">
        <is>
          <t>VALLENTUNA</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23986-2023</t>
        </is>
      </c>
      <c r="B88" t="inlineStr">
        <is>
          <t>avverkningsanmälan</t>
        </is>
      </c>
      <c r="C88" t="inlineStr">
        <is>
          <t>Föryngringsavverkning</t>
        </is>
      </c>
      <c r="D88" s="1" t="n">
        <v>45078</v>
      </c>
      <c r="E88" s="1" t="n">
        <v>46326</v>
      </c>
      <c r="F88" t="inlineStr">
        <is>
          <t>STOCKHOLMS LÄN</t>
        </is>
      </c>
      <c r="G88" t="inlineStr">
        <is>
          <t>VALLENTUNA</t>
        </is>
      </c>
      <c r="H88" t="inlineStr">
        <is>
          <t>Kyrkan</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3937-2022</t>
        </is>
      </c>
      <c r="B89" t="inlineStr">
        <is>
          <t>avverkningsanmälan</t>
        </is>
      </c>
      <c r="C89" t="inlineStr">
        <is>
          <t>Föryngringsavverkning</t>
        </is>
      </c>
      <c r="D89" s="1" t="n">
        <v>44587</v>
      </c>
      <c r="E89" s="1" t="n">
        <v>46326</v>
      </c>
      <c r="F89" t="inlineStr">
        <is>
          <t>STOCKHOLMS LÄN</t>
        </is>
      </c>
      <c r="G89" t="inlineStr">
        <is>
          <t>VALLENTUNA</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23013-2024</t>
        </is>
      </c>
      <c r="B90" t="inlineStr">
        <is>
          <t>avverkningsanmälan</t>
        </is>
      </c>
      <c r="C90" t="inlineStr">
        <is>
          <t>Föryngringsavverkning</t>
        </is>
      </c>
      <c r="D90" s="1" t="n">
        <v>45450</v>
      </c>
      <c r="E90" s="1" t="n">
        <v>46326</v>
      </c>
      <c r="F90" t="inlineStr">
        <is>
          <t>STOCKHOLMS LÄN</t>
        </is>
      </c>
      <c r="G90" t="inlineStr">
        <is>
          <t>VALLENTUNA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3078-2023</t>
        </is>
      </c>
      <c r="B91" t="inlineStr">
        <is>
          <t>avverkningsanmälan</t>
        </is>
      </c>
      <c r="C91" t="inlineStr">
        <is>
          <t>Föryngringsavverkning</t>
        </is>
      </c>
      <c r="D91" s="1" t="n">
        <v>44946</v>
      </c>
      <c r="E91" s="1" t="n">
        <v>46326</v>
      </c>
      <c r="F91" t="inlineStr">
        <is>
          <t>STOCKHOLMS LÄN</t>
        </is>
      </c>
      <c r="G91" t="inlineStr">
        <is>
          <t>VALLENTUNA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19503-2023</t>
        </is>
      </c>
      <c r="B92" t="inlineStr">
        <is>
          <t>avverkningsanmälan</t>
        </is>
      </c>
      <c r="C92" t="inlineStr">
        <is>
          <t>Föryngringsavverkning</t>
        </is>
      </c>
      <c r="D92" s="1" t="n">
        <v>45050</v>
      </c>
      <c r="E92" s="1" t="n">
        <v>46326</v>
      </c>
      <c r="F92" t="inlineStr">
        <is>
          <t>STOCKHOLMS LÄN</t>
        </is>
      </c>
      <c r="G92" t="inlineStr">
        <is>
          <t>VALLENTUNA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4803-2024</t>
        </is>
      </c>
      <c r="B93" t="inlineStr">
        <is>
          <t>avverkningsanmälan</t>
        </is>
      </c>
      <c r="C93" t="inlineStr">
        <is>
          <t>Avverkning för annat ändamål</t>
        </is>
      </c>
      <c r="D93" s="1" t="n">
        <v>45328</v>
      </c>
      <c r="E93" s="1" t="n">
        <v>46326</v>
      </c>
      <c r="F93" t="inlineStr">
        <is>
          <t>STOCKHOLMS LÄN</t>
        </is>
      </c>
      <c r="G93" t="inlineStr">
        <is>
          <t>VALLENTUNA</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3698-2022</t>
        </is>
      </c>
      <c r="B94" t="inlineStr">
        <is>
          <t>avverkningsanmälan</t>
        </is>
      </c>
      <c r="C94" t="inlineStr">
        <is>
          <t>Föryngringsavverkning</t>
        </is>
      </c>
      <c r="D94" s="1" t="n">
        <v>44586</v>
      </c>
      <c r="E94" s="1" t="n">
        <v>46326</v>
      </c>
      <c r="F94" t="inlineStr">
        <is>
          <t>STOCKHOLMS LÄN</t>
        </is>
      </c>
      <c r="G94" t="inlineStr">
        <is>
          <t>VALLENTUNA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38102-2024</t>
        </is>
      </c>
      <c r="B95" t="inlineStr">
        <is>
          <t>avverkningsanmälan</t>
        </is>
      </c>
      <c r="C95" t="inlineStr">
        <is>
          <t>Föryngringsavverkning</t>
        </is>
      </c>
      <c r="D95" s="1" t="n">
        <v>45545</v>
      </c>
      <c r="E95" s="1" t="n">
        <v>46326</v>
      </c>
      <c r="F95" t="inlineStr">
        <is>
          <t>STOCKHOLMS LÄN</t>
        </is>
      </c>
      <c r="G95" t="inlineStr">
        <is>
          <t>VALLENTUNA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25740-2026</t>
        </is>
      </c>
      <c r="B96" t="inlineStr">
        <is>
          <t>avverkningsanmälan</t>
        </is>
      </c>
      <c r="C96" t="inlineStr">
        <is>
          <t>Föryngringsavverkning</t>
        </is>
      </c>
      <c r="D96" s="1" t="n">
        <v>46178</v>
      </c>
      <c r="E96" s="1" t="n">
        <v>46326</v>
      </c>
      <c r="F96" t="inlineStr">
        <is>
          <t>STOCKHOLMS LÄN</t>
        </is>
      </c>
      <c r="G96" t="inlineStr">
        <is>
          <t>VALLENTUNA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25752-2026</t>
        </is>
      </c>
      <c r="B97" t="inlineStr">
        <is>
          <t>avverkningsanmälan</t>
        </is>
      </c>
      <c r="C97" t="inlineStr">
        <is>
          <t>Föryngringsavverkning</t>
        </is>
      </c>
      <c r="D97" s="1" t="n">
        <v>46178</v>
      </c>
      <c r="E97" s="1" t="n">
        <v>46326</v>
      </c>
      <c r="F97" t="inlineStr">
        <is>
          <t>STOCKHOLMS LÄN</t>
        </is>
      </c>
      <c r="G97" t="inlineStr">
        <is>
          <t>VALLENTUNA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46326</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24943-2024</t>
        </is>
      </c>
      <c r="B99" t="inlineStr">
        <is>
          <t>avverkningsanmälan</t>
        </is>
      </c>
      <c r="C99" t="inlineStr">
        <is>
          <t>Föryngringsavverkning</t>
        </is>
      </c>
      <c r="D99" s="1" t="n">
        <v>45461</v>
      </c>
      <c r="E99" s="1" t="n">
        <v>46326</v>
      </c>
      <c r="F99" t="inlineStr">
        <is>
          <t>STOCKHOLMS LÄN</t>
        </is>
      </c>
      <c r="G99" t="inlineStr">
        <is>
          <t>VALLENTUNA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12819-2026</t>
        </is>
      </c>
      <c r="B100" t="inlineStr">
        <is>
          <t>avverkningsanmälan</t>
        </is>
      </c>
      <c r="C100" t="inlineStr">
        <is>
          <t>Föryngringsavverkning</t>
        </is>
      </c>
      <c r="D100" s="1" t="n">
        <v>46092</v>
      </c>
      <c r="E100" s="1" t="n">
        <v>46326</v>
      </c>
      <c r="F100" t="inlineStr">
        <is>
          <t>STOCKHOLMS LÄN</t>
        </is>
      </c>
      <c r="G100" t="inlineStr">
        <is>
          <t>VALLENTUNA</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22683-2023</t>
        </is>
      </c>
      <c r="B101" t="inlineStr">
        <is>
          <t>avverkningsanmälan</t>
        </is>
      </c>
      <c r="C101" t="inlineStr">
        <is>
          <t>Föryngringsavverkning</t>
        </is>
      </c>
      <c r="D101" s="1" t="n">
        <v>45071</v>
      </c>
      <c r="E101" s="1" t="n">
        <v>46326</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17411-2023</t>
        </is>
      </c>
      <c r="B102" t="inlineStr">
        <is>
          <t>avverkningsanmälan</t>
        </is>
      </c>
      <c r="C102" t="inlineStr">
        <is>
          <t>Föryngringsavverkning</t>
        </is>
      </c>
      <c r="D102" s="1" t="n">
        <v>45035</v>
      </c>
      <c r="E102" s="1" t="n">
        <v>46326</v>
      </c>
      <c r="F102" t="inlineStr">
        <is>
          <t>STOCKHOLMS LÄN</t>
        </is>
      </c>
      <c r="G102" t="inlineStr">
        <is>
          <t>VALLENTUNA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1385-2024</t>
        </is>
      </c>
      <c r="B103" t="inlineStr">
        <is>
          <t>avverkningsanmälan</t>
        </is>
      </c>
      <c r="C103" t="inlineStr">
        <is>
          <t>Föryngringsavverkning</t>
        </is>
      </c>
      <c r="D103" s="1" t="n">
        <v>45303</v>
      </c>
      <c r="E103" s="1" t="n">
        <v>46326</v>
      </c>
      <c r="F103" t="inlineStr">
        <is>
          <t>STOCKHOLMS LÄN</t>
        </is>
      </c>
      <c r="G103" t="inlineStr">
        <is>
          <t>VALLENTUNA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60818-2023</t>
        </is>
      </c>
      <c r="B104" t="inlineStr">
        <is>
          <t>avverkningsanmälan</t>
        </is>
      </c>
      <c r="C104" t="inlineStr">
        <is>
          <t>Föryngringsavverkning</t>
        </is>
      </c>
      <c r="D104" s="1" t="n">
        <v>45259</v>
      </c>
      <c r="E104" s="1" t="n">
        <v>46326</v>
      </c>
      <c r="F104" t="inlineStr">
        <is>
          <t>STOCKHOLMS LÄN</t>
        </is>
      </c>
      <c r="G104" t="inlineStr">
        <is>
          <t>VALLENTUNA</t>
        </is>
      </c>
      <c r="I104" t="n">
        <v>9.4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7264-2022</t>
        </is>
      </c>
      <c r="B105" t="inlineStr">
        <is>
          <t>avverkningsanmälan</t>
        </is>
      </c>
      <c r="C105" t="inlineStr">
        <is>
          <t>Föryngringsavverkning</t>
        </is>
      </c>
      <c r="D105" s="1" t="n">
        <v>44606</v>
      </c>
      <c r="E105" s="1" t="n">
        <v>46326</v>
      </c>
      <c r="F105" t="inlineStr">
        <is>
          <t>STOCKHOLMS LÄN</t>
        </is>
      </c>
      <c r="G105" t="inlineStr">
        <is>
          <t>VALLENTUNA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39163-2026</t>
        </is>
      </c>
      <c r="B106" t="inlineStr">
        <is>
          <t>avverkningsanmälan</t>
        </is>
      </c>
      <c r="C106" t="inlineStr">
        <is>
          <t>Föryngringsavverkning</t>
        </is>
      </c>
      <c r="D106" s="1" t="n">
        <v>46287</v>
      </c>
      <c r="E106" s="1" t="n">
        <v>46326</v>
      </c>
      <c r="F106" t="inlineStr">
        <is>
          <t>STOCKHOLMS LÄN</t>
        </is>
      </c>
      <c r="G106" t="inlineStr">
        <is>
          <t>VALLENTUNA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19356-2025</t>
        </is>
      </c>
      <c r="B107" t="inlineStr">
        <is>
          <t>avverkningsanmälan</t>
        </is>
      </c>
      <c r="C107" t="inlineStr">
        <is>
          <t>Föryngringsavverkning</t>
        </is>
      </c>
      <c r="D107" s="1" t="n">
        <v>45769</v>
      </c>
      <c r="E107" s="1" t="n">
        <v>46326</v>
      </c>
      <c r="F107" t="inlineStr">
        <is>
          <t>STOCKHOLMS LÄN</t>
        </is>
      </c>
      <c r="G107" t="inlineStr">
        <is>
          <t>VALLENTUNA</t>
        </is>
      </c>
      <c r="H107" t="inlineStr">
        <is>
          <t>Övriga Aktiebolag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11950-2025</t>
        </is>
      </c>
      <c r="B108" t="inlineStr">
        <is>
          <t>avverkningsanmälan</t>
        </is>
      </c>
      <c r="C108" t="inlineStr">
        <is>
          <t>Föryngringsavverkning</t>
        </is>
      </c>
      <c r="D108" s="1" t="n">
        <v>45728</v>
      </c>
      <c r="E108" s="1" t="n">
        <v>46326</v>
      </c>
      <c r="F108" t="inlineStr">
        <is>
          <t>STOCKHOLMS LÄN</t>
        </is>
      </c>
      <c r="G108" t="inlineStr">
        <is>
          <t>VALLENTUNA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14489-2024</t>
        </is>
      </c>
      <c r="B109" t="inlineStr">
        <is>
          <t>avverkningsanmälan</t>
        </is>
      </c>
      <c r="C109" t="inlineStr">
        <is>
          <t>Föryngringsavverkning</t>
        </is>
      </c>
      <c r="D109" s="1" t="n">
        <v>45394</v>
      </c>
      <c r="E109" s="1" t="n">
        <v>46326</v>
      </c>
      <c r="F109" t="inlineStr">
        <is>
          <t>STOCKHOLMS LÄN</t>
        </is>
      </c>
      <c r="G109" t="inlineStr">
        <is>
          <t>VALLENTUNA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45499-2023</t>
        </is>
      </c>
      <c r="B110" t="inlineStr">
        <is>
          <t>avverkningsanmälan</t>
        </is>
      </c>
      <c r="C110" t="inlineStr">
        <is>
          <t>Föryngringsavverkning</t>
        </is>
      </c>
      <c r="D110" s="1" t="n">
        <v>45194</v>
      </c>
      <c r="E110" s="1" t="n">
        <v>46326</v>
      </c>
      <c r="F110" t="inlineStr">
        <is>
          <t>STOCKHOLMS LÄN</t>
        </is>
      </c>
      <c r="G110" t="inlineStr">
        <is>
          <t>VALLENTUNA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10073-2024</t>
        </is>
      </c>
      <c r="B111" t="inlineStr">
        <is>
          <t>avverkningsanmälan</t>
        </is>
      </c>
      <c r="C111" t="inlineStr">
        <is>
          <t>Föryngringsavverkning</t>
        </is>
      </c>
      <c r="D111" s="1" t="n">
        <v>45364</v>
      </c>
      <c r="E111" s="1" t="n">
        <v>46326</v>
      </c>
      <c r="F111" t="inlineStr">
        <is>
          <t>STOCKHOLMS LÄN</t>
        </is>
      </c>
      <c r="G111" t="inlineStr">
        <is>
          <t>VALLENTUNA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12621-2024</t>
        </is>
      </c>
      <c r="B112" t="inlineStr">
        <is>
          <t>avverkningsanmälan</t>
        </is>
      </c>
      <c r="C112" t="inlineStr">
        <is>
          <t>Föryngringsavverkning</t>
        </is>
      </c>
      <c r="D112" s="1" t="n">
        <v>45383</v>
      </c>
      <c r="E112" s="1" t="n">
        <v>46326</v>
      </c>
      <c r="F112" t="inlineStr">
        <is>
          <t>STOCKHOLMS LÄN</t>
        </is>
      </c>
      <c r="G112" t="inlineStr">
        <is>
          <t>VALLENTUNA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46381-2023</t>
        </is>
      </c>
      <c r="B113" t="inlineStr">
        <is>
          <t>avverkningsanmälan</t>
        </is>
      </c>
      <c r="C113" t="inlineStr">
        <is>
          <t>Föryngringsavverkning</t>
        </is>
      </c>
      <c r="D113" s="1" t="n">
        <v>45193</v>
      </c>
      <c r="E113" s="1" t="n">
        <v>46326</v>
      </c>
      <c r="F113" t="inlineStr">
        <is>
          <t>STOCKHOLMS LÄN</t>
        </is>
      </c>
      <c r="G113" t="inlineStr">
        <is>
          <t>VALLENTUNA</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61027-2023</t>
        </is>
      </c>
      <c r="B114" t="inlineStr">
        <is>
          <t>avverkningsanmälan</t>
        </is>
      </c>
      <c r="C114" t="inlineStr">
        <is>
          <t>Föryngringsavverkning</t>
        </is>
      </c>
      <c r="D114" s="1" t="n">
        <v>45261</v>
      </c>
      <c r="E114" s="1" t="n">
        <v>46326</v>
      </c>
      <c r="F114" t="inlineStr">
        <is>
          <t>STOCKHOLMS LÄN</t>
        </is>
      </c>
      <c r="G114" t="inlineStr">
        <is>
          <t>VALLENTUNA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40566-2026</t>
        </is>
      </c>
      <c r="B115" t="inlineStr">
        <is>
          <t>avverkningsanmälan</t>
        </is>
      </c>
      <c r="C115" t="inlineStr">
        <is>
          <t>Föryngringsavverkning</t>
        </is>
      </c>
      <c r="D115" s="1" t="n">
        <v>46295</v>
      </c>
      <c r="E115" s="1" t="n">
        <v>46326</v>
      </c>
      <c r="F115" t="inlineStr">
        <is>
          <t>STOCKHOLMS LÄN</t>
        </is>
      </c>
      <c r="G115" t="inlineStr">
        <is>
          <t>VALLENTUNA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34750-2026</t>
        </is>
      </c>
      <c r="B116" t="inlineStr">
        <is>
          <t>avverkningsanmälan</t>
        </is>
      </c>
      <c r="C116" t="inlineStr">
        <is>
          <t>Föryngringsavverkning</t>
        </is>
      </c>
      <c r="D116" s="1" t="n">
        <v>46258</v>
      </c>
      <c r="E116" s="1" t="n">
        <v>46326</v>
      </c>
      <c r="F116" t="inlineStr">
        <is>
          <t>STOCKHOLMS LÄN</t>
        </is>
      </c>
      <c r="G116" t="inlineStr">
        <is>
          <t>VALLENTUNA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46326</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34720-2026</t>
        </is>
      </c>
      <c r="B118" t="inlineStr">
        <is>
          <t>avverkningsanmälan</t>
        </is>
      </c>
      <c r="C118" t="inlineStr">
        <is>
          <t>Föryngringsavverkning</t>
        </is>
      </c>
      <c r="D118" s="1" t="n">
        <v>46258</v>
      </c>
      <c r="E118" s="1" t="n">
        <v>46326</v>
      </c>
      <c r="F118" t="inlineStr">
        <is>
          <t>STOCKHOLMS LÄN</t>
        </is>
      </c>
      <c r="G118" t="inlineStr">
        <is>
          <t>VALLENTUNA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41582-2026</t>
        </is>
      </c>
      <c r="B119" t="inlineStr">
        <is>
          <t>avverkningsanmälan</t>
        </is>
      </c>
      <c r="C119" t="inlineStr">
        <is>
          <t>Föryngringsavverkning</t>
        </is>
      </c>
      <c r="D119" s="1" t="n">
        <v>46301</v>
      </c>
      <c r="E119" s="1" t="n">
        <v>46326</v>
      </c>
      <c r="F119" t="inlineStr">
        <is>
          <t>STOCKHOLMS LÄN</t>
        </is>
      </c>
      <c r="G119" t="inlineStr">
        <is>
          <t>VALLENTUNA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24740-2026</t>
        </is>
      </c>
      <c r="B120" t="inlineStr">
        <is>
          <t>avverkningsanmälan</t>
        </is>
      </c>
      <c r="C120" t="inlineStr">
        <is>
          <t>Föryngringsavverkning</t>
        </is>
      </c>
      <c r="D120" s="1" t="n">
        <v>46171</v>
      </c>
      <c r="E120" s="1" t="n">
        <v>46326</v>
      </c>
      <c r="F120" t="inlineStr">
        <is>
          <t>STOCKHOLMS LÄN</t>
        </is>
      </c>
      <c r="G120" t="inlineStr">
        <is>
          <t>VALLENTUNA</t>
        </is>
      </c>
      <c r="H120" t="inlineStr">
        <is>
          <t>Övriga Aktiebolag</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44634-2026</t>
        </is>
      </c>
      <c r="B121" t="inlineStr">
        <is>
          <t>avverkningsanmälan</t>
        </is>
      </c>
      <c r="C121" t="inlineStr">
        <is>
          <t>Föryngringsavverkning</t>
        </is>
      </c>
      <c r="D121" s="1" t="n">
        <v>46322</v>
      </c>
      <c r="E121" s="1" t="n">
        <v>46326</v>
      </c>
      <c r="F121" t="inlineStr">
        <is>
          <t>STOCKHOLMS LÄN</t>
        </is>
      </c>
      <c r="G121" t="inlineStr">
        <is>
          <t>VALLENTUNA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44630-2026</t>
        </is>
      </c>
      <c r="B122" t="inlineStr">
        <is>
          <t>avverkningsanmälan</t>
        </is>
      </c>
      <c r="C122" t="inlineStr">
        <is>
          <t>Föryngringsavverkning</t>
        </is>
      </c>
      <c r="D122" s="1" t="n">
        <v>46322</v>
      </c>
      <c r="E122" s="1" t="n">
        <v>46326</v>
      </c>
      <c r="F122" t="inlineStr">
        <is>
          <t>STOCKHOLMS LÄN</t>
        </is>
      </c>
      <c r="G122" t="inlineStr">
        <is>
          <t>VALLENTUNA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44628-2026</t>
        </is>
      </c>
      <c r="B123" t="inlineStr">
        <is>
          <t>avverkningsanmälan</t>
        </is>
      </c>
      <c r="C123" t="inlineStr">
        <is>
          <t>Föryngringsavverkning</t>
        </is>
      </c>
      <c r="D123" s="1" t="n">
        <v>46322</v>
      </c>
      <c r="E123" s="1" t="n">
        <v>46326</v>
      </c>
      <c r="F123" t="inlineStr">
        <is>
          <t>STOCKHOLMS LÄN</t>
        </is>
      </c>
      <c r="G123" t="inlineStr">
        <is>
          <t>VALLENTUNA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S 6321-2022</t>
        </is>
      </c>
      <c r="B124" t="inlineStr">
        <is>
          <t>samrådsanmälan</t>
        </is>
      </c>
      <c r="C124" t="inlineStr">
        <is>
          <t>Annan skogsbruksåtgärd</t>
        </is>
      </c>
      <c r="D124" s="1" t="n">
        <v>44872</v>
      </c>
      <c r="E124" s="1" t="n">
        <v>46326</v>
      </c>
      <c r="F124" t="inlineStr">
        <is>
          <t>STOCKHOLMS LÄN</t>
        </is>
      </c>
      <c r="G124" t="inlineStr">
        <is>
          <t>VALLENTUNA</t>
        </is>
      </c>
      <c r="I124" t="n">
        <v>0.1</v>
      </c>
      <c r="J124" t="n">
        <v>0</v>
      </c>
      <c r="K124" t="n">
        <v>0</v>
      </c>
      <c r="L124" t="n">
        <v>0</v>
      </c>
      <c r="M124" t="n">
        <v>0</v>
      </c>
      <c r="N124" t="n">
        <v>0</v>
      </c>
      <c r="O124" t="n">
        <v>0</v>
      </c>
      <c r="P124" t="n">
        <v>0</v>
      </c>
      <c r="Q124" t="n">
        <v>0</v>
      </c>
      <c r="R124" t="n">
        <v>0</v>
      </c>
      <c r="S124" t="n">
        <v>0</v>
      </c>
      <c r="T124" t="n">
        <v>0</v>
      </c>
      <c r="U124" t="n">
        <v>0</v>
      </c>
      <c r="V124" s="2" t="inlineStr"/>
    </row>
    <row r="125">
      <c r="A125" t="inlineStr">
        <is>
          <t>S 2547-2025</t>
        </is>
      </c>
      <c r="B125" t="inlineStr">
        <is>
          <t>samrådsanmälan</t>
        </is>
      </c>
      <c r="C125" t="inlineStr">
        <is>
          <t>Annan skogsbruksåtgärd</t>
        </is>
      </c>
      <c r="D125" s="1" t="n">
        <v>45911</v>
      </c>
      <c r="E125" s="1" t="n">
        <v>46326</v>
      </c>
      <c r="F125" t="inlineStr">
        <is>
          <t>STOCKHOLMS LÄN</t>
        </is>
      </c>
      <c r="G125" t="inlineStr">
        <is>
          <t>VALLENTUNA</t>
        </is>
      </c>
      <c r="I125" t="n">
        <v>1.9</v>
      </c>
      <c r="J125" t="n">
        <v>0</v>
      </c>
      <c r="K125" t="n">
        <v>0</v>
      </c>
      <c r="L125" t="n">
        <v>0</v>
      </c>
      <c r="M125" t="n">
        <v>0</v>
      </c>
      <c r="N125" t="n">
        <v>0</v>
      </c>
      <c r="O125" t="n">
        <v>0</v>
      </c>
      <c r="P125" t="n">
        <v>0</v>
      </c>
      <c r="Q125" t="n">
        <v>0</v>
      </c>
      <c r="R125" t="n">
        <v>0</v>
      </c>
      <c r="S125" t="n">
        <v>0</v>
      </c>
      <c r="T125" t="n">
        <v>0</v>
      </c>
      <c r="U125" t="n">
        <v>0</v>
      </c>
      <c r="V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2026-10-31T03:25:24Z</dcterms:created>
  <dcterms:modified xmlns:dcterms="http://purl.org/dc/terms/" xmlns:xsi="http://www.w3.org/2001/XMLSchema-instance" xsi:type="dcterms:W3CDTF">2026-10-31T03:25:24Z</dcterms:modified>
</cp:coreProperties>
</file>