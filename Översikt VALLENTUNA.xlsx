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46070</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46070</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46070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46070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46070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46070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46070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46070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46070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46070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46070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46070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46070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46070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46070</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63539-2025</t>
        </is>
      </c>
      <c r="B29" s="1" t="n">
        <v>46013.58824074074</v>
      </c>
      <c r="C29" s="1" t="n">
        <v>46070</v>
      </c>
      <c r="D29" t="inlineStr">
        <is>
          <t>STOCKHOLMS LÄN</t>
        </is>
      </c>
      <c r="E29" t="inlineStr">
        <is>
          <t>VALLENTUNA</t>
        </is>
      </c>
      <c r="G29" t="n">
        <v>1.1</v>
      </c>
      <c r="H29" t="n">
        <v>0</v>
      </c>
      <c r="I29" t="n">
        <v>1</v>
      </c>
      <c r="J29" t="n">
        <v>0</v>
      </c>
      <c r="K29" t="n">
        <v>0</v>
      </c>
      <c r="L29" t="n">
        <v>0</v>
      </c>
      <c r="M29" t="n">
        <v>0</v>
      </c>
      <c r="N29" t="n">
        <v>0</v>
      </c>
      <c r="O29" t="n">
        <v>0</v>
      </c>
      <c r="P29" t="n">
        <v>0</v>
      </c>
      <c r="Q29" t="n">
        <v>1</v>
      </c>
      <c r="R29" s="2" t="inlineStr">
        <is>
          <t>Vårärt</t>
        </is>
      </c>
      <c r="S29">
        <f>HYPERLINK("https://klasma.github.io/Logging_0115/artfynd/A 63539-2025 artfynd.xlsx", "A 63539-2025")</f>
        <v/>
      </c>
      <c r="T29">
        <f>HYPERLINK("https://klasma.github.io/Logging_0115/kartor/A 63539-2025 karta.png", "A 63539-2025")</f>
        <v/>
      </c>
      <c r="V29">
        <f>HYPERLINK("https://klasma.github.io/Logging_0115/klagomål/A 63539-2025 FSC-klagomål.docx", "A 63539-2025")</f>
        <v/>
      </c>
      <c r="W29">
        <f>HYPERLINK("https://klasma.github.io/Logging_0115/klagomålsmail/A 63539-2025 FSC-klagomål mail.docx", "A 63539-2025")</f>
        <v/>
      </c>
      <c r="X29">
        <f>HYPERLINK("https://klasma.github.io/Logging_0115/tillsyn/A 63539-2025 tillsynsbegäran.docx", "A 63539-2025")</f>
        <v/>
      </c>
      <c r="Y29">
        <f>HYPERLINK("https://klasma.github.io/Logging_0115/tillsynsmail/A 63539-2025 tillsynsbegäran mail.docx", "A 63539-2025")</f>
        <v/>
      </c>
    </row>
    <row r="30" ht="15" customHeight="1">
      <c r="A30" t="inlineStr">
        <is>
          <t>A 63543-2025</t>
        </is>
      </c>
      <c r="B30" s="1" t="n">
        <v>46013.59207175926</v>
      </c>
      <c r="C30" s="1" t="n">
        <v>46070</v>
      </c>
      <c r="D30" t="inlineStr">
        <is>
          <t>STOCKHOLMS LÄN</t>
        </is>
      </c>
      <c r="E30" t="inlineStr">
        <is>
          <t>VALLENTUNA</t>
        </is>
      </c>
      <c r="G30" t="n">
        <v>3.4</v>
      </c>
      <c r="H30" t="n">
        <v>0</v>
      </c>
      <c r="I30" t="n">
        <v>0</v>
      </c>
      <c r="J30" t="n">
        <v>1</v>
      </c>
      <c r="K30" t="n">
        <v>0</v>
      </c>
      <c r="L30" t="n">
        <v>0</v>
      </c>
      <c r="M30" t="n">
        <v>0</v>
      </c>
      <c r="N30" t="n">
        <v>0</v>
      </c>
      <c r="O30" t="n">
        <v>1</v>
      </c>
      <c r="P30" t="n">
        <v>0</v>
      </c>
      <c r="Q30" t="n">
        <v>1</v>
      </c>
      <c r="R30" s="2" t="inlineStr">
        <is>
          <t>Tallticka</t>
        </is>
      </c>
      <c r="S30">
        <f>HYPERLINK("https://klasma.github.io/Logging_0115/artfynd/A 63543-2025 artfynd.xlsx", "A 63543-2025")</f>
        <v/>
      </c>
      <c r="T30">
        <f>HYPERLINK("https://klasma.github.io/Logging_0115/kartor/A 63543-2025 karta.png", "A 63543-2025")</f>
        <v/>
      </c>
      <c r="V30">
        <f>HYPERLINK("https://klasma.github.io/Logging_0115/klagomål/A 63543-2025 FSC-klagomål.docx", "A 63543-2025")</f>
        <v/>
      </c>
      <c r="W30">
        <f>HYPERLINK("https://klasma.github.io/Logging_0115/klagomålsmail/A 63543-2025 FSC-klagomål mail.docx", "A 63543-2025")</f>
        <v/>
      </c>
      <c r="X30">
        <f>HYPERLINK("https://klasma.github.io/Logging_0115/tillsyn/A 63543-2025 tillsynsbegäran.docx", "A 63543-2025")</f>
        <v/>
      </c>
      <c r="Y30">
        <f>HYPERLINK("https://klasma.github.io/Logging_0115/tillsynsmail/A 63543-2025 tillsynsbegäran mail.docx", "A 63543-2025")</f>
        <v/>
      </c>
    </row>
    <row r="31" ht="15" customHeight="1">
      <c r="A31" t="inlineStr">
        <is>
          <t>A 7890-2023</t>
        </is>
      </c>
      <c r="B31" s="1" t="n">
        <v>44973</v>
      </c>
      <c r="C31" s="1" t="n">
        <v>46070</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46070</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22830-2024</t>
        </is>
      </c>
      <c r="B33" s="1" t="n">
        <v>45448.56583333333</v>
      </c>
      <c r="C33" s="1" t="n">
        <v>46070</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34460-2023</t>
        </is>
      </c>
      <c r="B34" s="1" t="n">
        <v>45139</v>
      </c>
      <c r="C34" s="1" t="n">
        <v>46070</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46070</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46070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46070</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46070</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46070</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46070</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46070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46070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46070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46070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46070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46070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46070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46070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46070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46070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46070</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46070</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61646-2025</t>
        </is>
      </c>
      <c r="B64" s="1" t="n">
        <v>46002</v>
      </c>
      <c r="C64" s="1" t="n">
        <v>46070</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15300-2023</t>
        </is>
      </c>
      <c r="B65" s="1" t="n">
        <v>45019</v>
      </c>
      <c r="C65" s="1" t="n">
        <v>46070</v>
      </c>
      <c r="D65" t="inlineStr">
        <is>
          <t>STOCKHOLMS LÄN</t>
        </is>
      </c>
      <c r="E65" t="inlineStr">
        <is>
          <t>VALLENTUNA</t>
        </is>
      </c>
      <c r="G65" t="n">
        <v>1.7</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46070</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41206-2025</t>
        </is>
      </c>
      <c r="B67" s="1" t="n">
        <v>45898</v>
      </c>
      <c r="C67" s="1" t="n">
        <v>46070</v>
      </c>
      <c r="D67" t="inlineStr">
        <is>
          <t>STOCKHOLMS LÄN</t>
        </is>
      </c>
      <c r="E67" t="inlineStr">
        <is>
          <t>VALLENTUNA</t>
        </is>
      </c>
      <c r="G67" t="n">
        <v>10</v>
      </c>
      <c r="H67" t="n">
        <v>0</v>
      </c>
      <c r="I67" t="n">
        <v>0</v>
      </c>
      <c r="J67" t="n">
        <v>0</v>
      </c>
      <c r="K67" t="n">
        <v>0</v>
      </c>
      <c r="L67" t="n">
        <v>0</v>
      </c>
      <c r="M67" t="n">
        <v>0</v>
      </c>
      <c r="N67" t="n">
        <v>0</v>
      </c>
      <c r="O67" t="n">
        <v>0</v>
      </c>
      <c r="P67" t="n">
        <v>0</v>
      </c>
      <c r="Q67" t="n">
        <v>0</v>
      </c>
      <c r="R67" s="2" t="inlineStr"/>
    </row>
    <row r="68" ht="15" customHeight="1">
      <c r="A68" t="inlineStr">
        <is>
          <t>A 61742-2022</t>
        </is>
      </c>
      <c r="B68" s="1" t="n">
        <v>44917</v>
      </c>
      <c r="C68" s="1" t="n">
        <v>46070</v>
      </c>
      <c r="D68" t="inlineStr">
        <is>
          <t>STOCKHOLMS LÄN</t>
        </is>
      </c>
      <c r="E68" t="inlineStr">
        <is>
          <t>VALLENTUNA</t>
        </is>
      </c>
      <c r="G68" t="n">
        <v>0.5</v>
      </c>
      <c r="H68" t="n">
        <v>0</v>
      </c>
      <c r="I68" t="n">
        <v>0</v>
      </c>
      <c r="J68" t="n">
        <v>0</v>
      </c>
      <c r="K68" t="n">
        <v>0</v>
      </c>
      <c r="L68" t="n">
        <v>0</v>
      </c>
      <c r="M68" t="n">
        <v>0</v>
      </c>
      <c r="N68" t="n">
        <v>0</v>
      </c>
      <c r="O68" t="n">
        <v>0</v>
      </c>
      <c r="P68" t="n">
        <v>0</v>
      </c>
      <c r="Q68" t="n">
        <v>0</v>
      </c>
      <c r="R68" s="2" t="inlineStr"/>
    </row>
    <row r="69" ht="15" customHeight="1">
      <c r="A69" t="inlineStr">
        <is>
          <t>A 30902-2025</t>
        </is>
      </c>
      <c r="B69" s="1" t="n">
        <v>45832.36104166666</v>
      </c>
      <c r="C69" s="1" t="n">
        <v>46070</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46070</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14480-2024</t>
        </is>
      </c>
      <c r="B71" s="1" t="n">
        <v>45394.56777777777</v>
      </c>
      <c r="C71" s="1" t="n">
        <v>46070</v>
      </c>
      <c r="D71" t="inlineStr">
        <is>
          <t>STOCKHOLMS LÄN</t>
        </is>
      </c>
      <c r="E71" t="inlineStr">
        <is>
          <t>VALLENTUNA</t>
        </is>
      </c>
      <c r="G71" t="n">
        <v>1.8</v>
      </c>
      <c r="H71" t="n">
        <v>0</v>
      </c>
      <c r="I71" t="n">
        <v>0</v>
      </c>
      <c r="J71" t="n">
        <v>0</v>
      </c>
      <c r="K71" t="n">
        <v>0</v>
      </c>
      <c r="L71" t="n">
        <v>0</v>
      </c>
      <c r="M71" t="n">
        <v>0</v>
      </c>
      <c r="N71" t="n">
        <v>0</v>
      </c>
      <c r="O71" t="n">
        <v>0</v>
      </c>
      <c r="P71" t="n">
        <v>0</v>
      </c>
      <c r="Q71" t="n">
        <v>0</v>
      </c>
      <c r="R71" s="2" t="inlineStr"/>
    </row>
    <row r="72" ht="15" customHeight="1">
      <c r="A72" t="inlineStr">
        <is>
          <t>A 44988-2025</t>
        </is>
      </c>
      <c r="B72" s="1" t="n">
        <v>45918.65505787037</v>
      </c>
      <c r="C72" s="1" t="n">
        <v>46070</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17340-2025</t>
        </is>
      </c>
      <c r="B73" s="1" t="n">
        <v>45756</v>
      </c>
      <c r="C73" s="1" t="n">
        <v>46070</v>
      </c>
      <c r="D73" t="inlineStr">
        <is>
          <t>STOCKHOLMS LÄN</t>
        </is>
      </c>
      <c r="E73" t="inlineStr">
        <is>
          <t>VALLENTUNA</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46070</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46070</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29704-2023</t>
        </is>
      </c>
      <c r="B76" s="1" t="n">
        <v>45107</v>
      </c>
      <c r="C76" s="1" t="n">
        <v>46070</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6298-2026</t>
        </is>
      </c>
      <c r="B77" s="1" t="n">
        <v>46055.5656712963</v>
      </c>
      <c r="C77" s="1" t="n">
        <v>46070</v>
      </c>
      <c r="D77" t="inlineStr">
        <is>
          <t>STOCKHOLMS LÄN</t>
        </is>
      </c>
      <c r="E77" t="inlineStr">
        <is>
          <t>VALLENTUNA</t>
        </is>
      </c>
      <c r="G77" t="n">
        <v>3.3</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46070</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46070</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46070</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12609-2024</t>
        </is>
      </c>
      <c r="B81" s="1" t="n">
        <v>45382.8109375</v>
      </c>
      <c r="C81" s="1" t="n">
        <v>46070</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13836-2022</t>
        </is>
      </c>
      <c r="B82" s="1" t="n">
        <v>44649</v>
      </c>
      <c r="C82" s="1" t="n">
        <v>46070</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46070</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4804-2024</t>
        </is>
      </c>
      <c r="B84" s="1" t="n">
        <v>45328</v>
      </c>
      <c r="C84" s="1" t="n">
        <v>46070</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46070</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46070</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46070</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46070</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46070</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46070</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24994-2021</t>
        </is>
      </c>
      <c r="B91" s="1" t="n">
        <v>44341</v>
      </c>
      <c r="C91" s="1" t="n">
        <v>46070</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414-2026</t>
        </is>
      </c>
      <c r="B92" s="1" t="n">
        <v>46028.76050925926</v>
      </c>
      <c r="C92" s="1" t="n">
        <v>46070</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60795-2023</t>
        </is>
      </c>
      <c r="B93" s="1" t="n">
        <v>45260</v>
      </c>
      <c r="C93" s="1" t="n">
        <v>46070</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60997-2022</t>
        </is>
      </c>
      <c r="B94" s="1" t="n">
        <v>44914.70746527778</v>
      </c>
      <c r="C94" s="1" t="n">
        <v>46070</v>
      </c>
      <c r="D94" t="inlineStr">
        <is>
          <t>STOCKHOLMS LÄN</t>
        </is>
      </c>
      <c r="E94" t="inlineStr">
        <is>
          <t>VALLENTUNA</t>
        </is>
      </c>
      <c r="G94" t="n">
        <v>1.8</v>
      </c>
      <c r="H94" t="n">
        <v>0</v>
      </c>
      <c r="I94" t="n">
        <v>0</v>
      </c>
      <c r="J94" t="n">
        <v>0</v>
      </c>
      <c r="K94" t="n">
        <v>0</v>
      </c>
      <c r="L94" t="n">
        <v>0</v>
      </c>
      <c r="M94" t="n">
        <v>0</v>
      </c>
      <c r="N94" t="n">
        <v>0</v>
      </c>
      <c r="O94" t="n">
        <v>0</v>
      </c>
      <c r="P94" t="n">
        <v>0</v>
      </c>
      <c r="Q94" t="n">
        <v>0</v>
      </c>
      <c r="R94" s="2" t="inlineStr"/>
    </row>
    <row r="95" ht="15" customHeight="1">
      <c r="A95" t="inlineStr">
        <is>
          <t>A 27870-2025</t>
        </is>
      </c>
      <c r="B95" s="1" t="n">
        <v>45817</v>
      </c>
      <c r="C95" s="1" t="n">
        <v>46070</v>
      </c>
      <c r="D95" t="inlineStr">
        <is>
          <t>STOCKHOLMS LÄN</t>
        </is>
      </c>
      <c r="E95" t="inlineStr">
        <is>
          <t>VALLENTUNA</t>
        </is>
      </c>
      <c r="G95" t="n">
        <v>2.3</v>
      </c>
      <c r="H95" t="n">
        <v>0</v>
      </c>
      <c r="I95" t="n">
        <v>0</v>
      </c>
      <c r="J95" t="n">
        <v>0</v>
      </c>
      <c r="K95" t="n">
        <v>0</v>
      </c>
      <c r="L95" t="n">
        <v>0</v>
      </c>
      <c r="M95" t="n">
        <v>0</v>
      </c>
      <c r="N95" t="n">
        <v>0</v>
      </c>
      <c r="O95" t="n">
        <v>0</v>
      </c>
      <c r="P95" t="n">
        <v>0</v>
      </c>
      <c r="Q95" t="n">
        <v>0</v>
      </c>
      <c r="R95" s="2" t="inlineStr"/>
    </row>
    <row r="96" ht="15" customHeight="1">
      <c r="A96" t="inlineStr">
        <is>
          <t>A 14775-2024</t>
        </is>
      </c>
      <c r="B96" s="1" t="n">
        <v>45397.73675925926</v>
      </c>
      <c r="C96" s="1" t="n">
        <v>46070</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8565-2025</t>
        </is>
      </c>
      <c r="B97" s="1" t="n">
        <v>45709</v>
      </c>
      <c r="C97" s="1" t="n">
        <v>46070</v>
      </c>
      <c r="D97" t="inlineStr">
        <is>
          <t>STOCKHOLMS LÄN</t>
        </is>
      </c>
      <c r="E97" t="inlineStr">
        <is>
          <t>VALLENTUNA</t>
        </is>
      </c>
      <c r="F97" t="inlineStr">
        <is>
          <t>Kommuner</t>
        </is>
      </c>
      <c r="G97" t="n">
        <v>4.2</v>
      </c>
      <c r="H97" t="n">
        <v>0</v>
      </c>
      <c r="I97" t="n">
        <v>0</v>
      </c>
      <c r="J97" t="n">
        <v>0</v>
      </c>
      <c r="K97" t="n">
        <v>0</v>
      </c>
      <c r="L97" t="n">
        <v>0</v>
      </c>
      <c r="M97" t="n">
        <v>0</v>
      </c>
      <c r="N97" t="n">
        <v>0</v>
      </c>
      <c r="O97" t="n">
        <v>0</v>
      </c>
      <c r="P97" t="n">
        <v>0</v>
      </c>
      <c r="Q97" t="n">
        <v>0</v>
      </c>
      <c r="R97" s="2" t="inlineStr"/>
    </row>
    <row r="98" ht="15" customHeight="1">
      <c r="A98" t="inlineStr">
        <is>
          <t>A 8787-2024</t>
        </is>
      </c>
      <c r="B98" s="1" t="n">
        <v>45356</v>
      </c>
      <c r="C98" s="1" t="n">
        <v>46070</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14782-2024</t>
        </is>
      </c>
      <c r="B99" s="1" t="n">
        <v>45397.74266203704</v>
      </c>
      <c r="C99" s="1" t="n">
        <v>46070</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46070</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49530-2023</t>
        </is>
      </c>
      <c r="B101" s="1" t="n">
        <v>45205</v>
      </c>
      <c r="C101" s="1" t="n">
        <v>46070</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46070</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46070</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46070</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21445-2023</t>
        </is>
      </c>
      <c r="B105" s="1" t="n">
        <v>45063</v>
      </c>
      <c r="C105" s="1" t="n">
        <v>46070</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34441-2023</t>
        </is>
      </c>
      <c r="B106" s="1" t="n">
        <v>45139</v>
      </c>
      <c r="C106" s="1" t="n">
        <v>46070</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34445-2023</t>
        </is>
      </c>
      <c r="B107" s="1" t="n">
        <v>45139</v>
      </c>
      <c r="C107" s="1" t="n">
        <v>46070</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735-2024</t>
        </is>
      </c>
      <c r="B108" s="1" t="n">
        <v>45300</v>
      </c>
      <c r="C108" s="1" t="n">
        <v>46070</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46070</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46070</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46070</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46070</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46070</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46070</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46070</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46070</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46070</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46070</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46070</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46070</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46070</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46070</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46070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46070</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46070</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46070</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46070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46070</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46070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46070</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46070</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46070</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46070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46070</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46070</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46070</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46070</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46070</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46070</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46070</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46070</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46070</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46070</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2026-02-17T11:40:00Z</dcterms:created>
  <dcterms:modified xmlns:dcterms="http://purl.org/dc/terms/" xmlns:xsi="http://www.w3.org/2001/XMLSchema-instance" xsi:type="dcterms:W3CDTF">2026-02-17T11:40:00Z</dcterms:modified>
</cp:coreProperties>
</file>