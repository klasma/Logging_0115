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46180</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46180</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46180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46180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46180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46180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46180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46180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46180</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42613-2025</t>
        </is>
      </c>
      <c r="B11" s="1" t="n">
        <v>45905.70616898148</v>
      </c>
      <c r="C11" s="1" t="n">
        <v>46180</v>
      </c>
      <c r="D11" t="inlineStr">
        <is>
          <t>STOCKHOLMS LÄN</t>
        </is>
      </c>
      <c r="E11" t="inlineStr">
        <is>
          <t>VALLENTUNA</t>
        </is>
      </c>
      <c r="G11" t="n">
        <v>2.9</v>
      </c>
      <c r="H11" t="n">
        <v>2</v>
      </c>
      <c r="I11" t="n">
        <v>3</v>
      </c>
      <c r="J11" t="n">
        <v>1</v>
      </c>
      <c r="K11" t="n">
        <v>0</v>
      </c>
      <c r="L11" t="n">
        <v>0</v>
      </c>
      <c r="M11" t="n">
        <v>0</v>
      </c>
      <c r="N11" t="n">
        <v>0</v>
      </c>
      <c r="O11" t="n">
        <v>1</v>
      </c>
      <c r="P11" t="n">
        <v>0</v>
      </c>
      <c r="Q11" t="n">
        <v>5</v>
      </c>
      <c r="R11" s="2" t="inlineStr">
        <is>
          <t>Spillkråka
Fjällig taggsvamp s.str.
Kattfotslav
Mindre märgborre
Kungsfågel</t>
        </is>
      </c>
      <c r="S11">
        <f>HYPERLINK("https://klasma.github.io/Logging_0115/artfynd/A 42613-2025 artfynd.xlsx", "A 42613-2025")</f>
        <v/>
      </c>
      <c r="T11">
        <f>HYPERLINK("https://klasma.github.io/Logging_0115/kartor/A 42613-2025 karta.png", "A 42613-2025")</f>
        <v/>
      </c>
      <c r="V11">
        <f>HYPERLINK("https://klasma.github.io/Logging_0115/klagomål/A 42613-2025 FSC-klagomål.docx", "A 42613-2025")</f>
        <v/>
      </c>
      <c r="W11">
        <f>HYPERLINK("https://klasma.github.io/Logging_0115/klagomålsmail/A 42613-2025 FSC-klagomål mail.docx", "A 42613-2025")</f>
        <v/>
      </c>
      <c r="X11">
        <f>HYPERLINK("https://klasma.github.io/Logging_0115/tillsyn/A 42613-2025 tillsynsbegäran.docx", "A 42613-2025")</f>
        <v/>
      </c>
      <c r="Y11">
        <f>HYPERLINK("https://klasma.github.io/Logging_0115/tillsynsmail/A 42613-2025 tillsynsbegäran mail.docx", "A 42613-2025")</f>
        <v/>
      </c>
      <c r="Z11">
        <f>HYPERLINK("https://klasma.github.io/Logging_0115/fåglar/A 42613-2025 prioriterade fågelarter.docx", "A 42613-2025")</f>
        <v/>
      </c>
    </row>
    <row r="12" ht="15" customHeight="1">
      <c r="A12" t="inlineStr">
        <is>
          <t>A 8500-2022</t>
        </is>
      </c>
      <c r="B12" s="1" t="n">
        <v>44613</v>
      </c>
      <c r="C12" s="1" t="n">
        <v>46180</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61763-2025</t>
        </is>
      </c>
      <c r="B13" s="1" t="n">
        <v>46002.62600694445</v>
      </c>
      <c r="C13" s="1" t="n">
        <v>46180</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48717-2024</t>
        </is>
      </c>
      <c r="B14" s="1" t="n">
        <v>45593</v>
      </c>
      <c r="C14" s="1" t="n">
        <v>46180</v>
      </c>
      <c r="D14" t="inlineStr">
        <is>
          <t>STOCKHOLMS LÄN</t>
        </is>
      </c>
      <c r="E14" t="inlineStr">
        <is>
          <t>VALLENTUNA</t>
        </is>
      </c>
      <c r="G14" t="n">
        <v>6.2</v>
      </c>
      <c r="H14" t="n">
        <v>1</v>
      </c>
      <c r="I14" t="n">
        <v>0</v>
      </c>
      <c r="J14" t="n">
        <v>2</v>
      </c>
      <c r="K14" t="n">
        <v>0</v>
      </c>
      <c r="L14" t="n">
        <v>0</v>
      </c>
      <c r="M14" t="n">
        <v>0</v>
      </c>
      <c r="N14" t="n">
        <v>0</v>
      </c>
      <c r="O14" t="n">
        <v>2</v>
      </c>
      <c r="P14" t="n">
        <v>0</v>
      </c>
      <c r="Q14" t="n">
        <v>3</v>
      </c>
      <c r="R14" s="2" t="inlineStr">
        <is>
          <t>Granticka
Ullticka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9807-2026</t>
        </is>
      </c>
      <c r="B15" s="1" t="n">
        <v>46072</v>
      </c>
      <c r="C15" s="1" t="n">
        <v>46180</v>
      </c>
      <c r="D15" t="inlineStr">
        <is>
          <t>STOCKHOLMS LÄN</t>
        </is>
      </c>
      <c r="E15" t="inlineStr">
        <is>
          <t>VALLENTUNA</t>
        </is>
      </c>
      <c r="G15" t="n">
        <v>2.1</v>
      </c>
      <c r="H15" t="n">
        <v>3</v>
      </c>
      <c r="I15" t="n">
        <v>0</v>
      </c>
      <c r="J15" t="n">
        <v>0</v>
      </c>
      <c r="K15" t="n">
        <v>0</v>
      </c>
      <c r="L15" t="n">
        <v>0</v>
      </c>
      <c r="M15" t="n">
        <v>0</v>
      </c>
      <c r="N15" t="n">
        <v>0</v>
      </c>
      <c r="O15" t="n">
        <v>0</v>
      </c>
      <c r="P15" t="n">
        <v>0</v>
      </c>
      <c r="Q15" t="n">
        <v>3</v>
      </c>
      <c r="R15" s="2" t="inlineStr">
        <is>
          <t>Grönsiska
Järnsparv
Kungsfågel</t>
        </is>
      </c>
      <c r="S15">
        <f>HYPERLINK("https://klasma.github.io/Logging_0115/artfynd/A 9807-2026 artfynd.xlsx", "A 9807-2026")</f>
        <v/>
      </c>
      <c r="T15">
        <f>HYPERLINK("https://klasma.github.io/Logging_0115/kartor/A 9807-2026 karta.png", "A 9807-2026")</f>
        <v/>
      </c>
      <c r="V15">
        <f>HYPERLINK("https://klasma.github.io/Logging_0115/klagomål/A 9807-2026 FSC-klagomål.docx", "A 9807-2026")</f>
        <v/>
      </c>
      <c r="W15">
        <f>HYPERLINK("https://klasma.github.io/Logging_0115/klagomålsmail/A 9807-2026 FSC-klagomål mail.docx", "A 9807-2026")</f>
        <v/>
      </c>
      <c r="X15">
        <f>HYPERLINK("https://klasma.github.io/Logging_0115/tillsyn/A 9807-2026 tillsynsbegäran.docx", "A 9807-2026")</f>
        <v/>
      </c>
      <c r="Y15">
        <f>HYPERLINK("https://klasma.github.io/Logging_0115/tillsynsmail/A 9807-2026 tillsynsbegäran mail.docx", "A 9807-2026")</f>
        <v/>
      </c>
      <c r="Z15">
        <f>HYPERLINK("https://klasma.github.io/Logging_0115/fåglar/A 9807-2026 prioriterade fågelarter.docx", "A 9807-2026")</f>
        <v/>
      </c>
    </row>
    <row r="16" ht="15" customHeight="1">
      <c r="A16" t="inlineStr">
        <is>
          <t>A 17342-2025</t>
        </is>
      </c>
      <c r="B16" s="1" t="n">
        <v>45756</v>
      </c>
      <c r="C16" s="1" t="n">
        <v>46180</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46180</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46180</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46180</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46180</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46180</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754-2024</t>
        </is>
      </c>
      <c r="B22" s="1" t="n">
        <v>45300</v>
      </c>
      <c r="C22" s="1" t="n">
        <v>46180</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41021-2023</t>
        </is>
      </c>
      <c r="B23" s="1" t="n">
        <v>45173</v>
      </c>
      <c r="C23" s="1" t="n">
        <v>46180</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9745-2022</t>
        </is>
      </c>
      <c r="B24" s="1" t="n">
        <v>44618</v>
      </c>
      <c r="C24" s="1" t="n">
        <v>46180</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62402-2022</t>
        </is>
      </c>
      <c r="B25" s="1" t="n">
        <v>44923</v>
      </c>
      <c r="C25" s="1" t="n">
        <v>46180</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8817-2025</t>
        </is>
      </c>
      <c r="B26" s="1" t="n">
        <v>45712.70987268518</v>
      </c>
      <c r="C26" s="1" t="n">
        <v>46180</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17348-2025</t>
        </is>
      </c>
      <c r="B27" s="1" t="n">
        <v>45756</v>
      </c>
      <c r="C27" s="1" t="n">
        <v>46180</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14508-2024</t>
        </is>
      </c>
      <c r="B28" s="1" t="n">
        <v>45394.61583333334</v>
      </c>
      <c r="C28" s="1" t="n">
        <v>46180</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22830-2024</t>
        </is>
      </c>
      <c r="B29" s="1" t="n">
        <v>45448.56583333333</v>
      </c>
      <c r="C29" s="1" t="n">
        <v>46180</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7890-2023</t>
        </is>
      </c>
      <c r="B30" s="1" t="n">
        <v>44973</v>
      </c>
      <c r="C30" s="1" t="n">
        <v>46180</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54481-2025</t>
        </is>
      </c>
      <c r="B31" s="1" t="n">
        <v>45965.58837962963</v>
      </c>
      <c r="C31" s="1" t="n">
        <v>46180</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12396-2026</t>
        </is>
      </c>
      <c r="B32" s="1" t="n">
        <v>46090.38930555555</v>
      </c>
      <c r="C32" s="1" t="n">
        <v>46180</v>
      </c>
      <c r="D32" t="inlineStr">
        <is>
          <t>STOCKHOLMS LÄN</t>
        </is>
      </c>
      <c r="E32" t="inlineStr">
        <is>
          <t>VALLENTUNA</t>
        </is>
      </c>
      <c r="G32" t="n">
        <v>3</v>
      </c>
      <c r="H32" t="n">
        <v>1</v>
      </c>
      <c r="I32" t="n">
        <v>0</v>
      </c>
      <c r="J32" t="n">
        <v>1</v>
      </c>
      <c r="K32" t="n">
        <v>0</v>
      </c>
      <c r="L32" t="n">
        <v>0</v>
      </c>
      <c r="M32" t="n">
        <v>0</v>
      </c>
      <c r="N32" t="n">
        <v>0</v>
      </c>
      <c r="O32" t="n">
        <v>1</v>
      </c>
      <c r="P32" t="n">
        <v>0</v>
      </c>
      <c r="Q32" t="n">
        <v>1</v>
      </c>
      <c r="R32" s="2" t="inlineStr">
        <is>
          <t>Spillkråka</t>
        </is>
      </c>
      <c r="S32">
        <f>HYPERLINK("https://klasma.github.io/Logging_0115/artfynd/A 12396-2026 artfynd.xlsx", "A 12396-2026")</f>
        <v/>
      </c>
      <c r="T32">
        <f>HYPERLINK("https://klasma.github.io/Logging_0115/kartor/A 12396-2026 karta.png", "A 12396-2026")</f>
        <v/>
      </c>
      <c r="V32">
        <f>HYPERLINK("https://klasma.github.io/Logging_0115/klagomål/A 12396-2026 FSC-klagomål.docx", "A 12396-2026")</f>
        <v/>
      </c>
      <c r="W32">
        <f>HYPERLINK("https://klasma.github.io/Logging_0115/klagomålsmail/A 12396-2026 FSC-klagomål mail.docx", "A 12396-2026")</f>
        <v/>
      </c>
      <c r="X32">
        <f>HYPERLINK("https://klasma.github.io/Logging_0115/tillsyn/A 12396-2026 tillsynsbegäran.docx", "A 12396-2026")</f>
        <v/>
      </c>
      <c r="Y32">
        <f>HYPERLINK("https://klasma.github.io/Logging_0115/tillsynsmail/A 12396-2026 tillsynsbegäran mail.docx", "A 12396-2026")</f>
        <v/>
      </c>
      <c r="Z32">
        <f>HYPERLINK("https://klasma.github.io/Logging_0115/fåglar/A 12396-2026 prioriterade fågelarter.docx", "A 12396-2026")</f>
        <v/>
      </c>
    </row>
    <row r="33" ht="15" customHeight="1">
      <c r="A33" t="inlineStr">
        <is>
          <t>A 12401-2026</t>
        </is>
      </c>
      <c r="B33" s="1" t="n">
        <v>46090</v>
      </c>
      <c r="C33" s="1" t="n">
        <v>46180</v>
      </c>
      <c r="D33" t="inlineStr">
        <is>
          <t>STOCKHOLMS LÄN</t>
        </is>
      </c>
      <c r="E33" t="inlineStr">
        <is>
          <t>VALLENTUNA</t>
        </is>
      </c>
      <c r="G33" t="n">
        <v>5.9</v>
      </c>
      <c r="H33" t="n">
        <v>1</v>
      </c>
      <c r="I33" t="n">
        <v>0</v>
      </c>
      <c r="J33" t="n">
        <v>1</v>
      </c>
      <c r="K33" t="n">
        <v>0</v>
      </c>
      <c r="L33" t="n">
        <v>0</v>
      </c>
      <c r="M33" t="n">
        <v>0</v>
      </c>
      <c r="N33" t="n">
        <v>0</v>
      </c>
      <c r="O33" t="n">
        <v>1</v>
      </c>
      <c r="P33" t="n">
        <v>0</v>
      </c>
      <c r="Q33" t="n">
        <v>1</v>
      </c>
      <c r="R33" s="2" t="inlineStr">
        <is>
          <t>Spillkråka</t>
        </is>
      </c>
      <c r="S33">
        <f>HYPERLINK("https://klasma.github.io/Logging_0115/artfynd/A 12401-2026 artfynd.xlsx", "A 12401-2026")</f>
        <v/>
      </c>
      <c r="T33">
        <f>HYPERLINK("https://klasma.github.io/Logging_0115/kartor/A 12401-2026 karta.png", "A 12401-2026")</f>
        <v/>
      </c>
      <c r="V33">
        <f>HYPERLINK("https://klasma.github.io/Logging_0115/klagomål/A 12401-2026 FSC-klagomål.docx", "A 12401-2026")</f>
        <v/>
      </c>
      <c r="W33">
        <f>HYPERLINK("https://klasma.github.io/Logging_0115/klagomålsmail/A 12401-2026 FSC-klagomål mail.docx", "A 12401-2026")</f>
        <v/>
      </c>
      <c r="X33">
        <f>HYPERLINK("https://klasma.github.io/Logging_0115/tillsyn/A 12401-2026 tillsynsbegäran.docx", "A 12401-2026")</f>
        <v/>
      </c>
      <c r="Y33">
        <f>HYPERLINK("https://klasma.github.io/Logging_0115/tillsynsmail/A 12401-2026 tillsynsbegäran mail.docx", "A 12401-2026")</f>
        <v/>
      </c>
      <c r="Z33">
        <f>HYPERLINK("https://klasma.github.io/Logging_0115/fåglar/A 12401-2026 prioriterade fågelarter.docx", "A 12401-2026")</f>
        <v/>
      </c>
    </row>
    <row r="34" ht="15" customHeight="1">
      <c r="A34" t="inlineStr">
        <is>
          <t>A 63543-2025</t>
        </is>
      </c>
      <c r="B34" s="1" t="n">
        <v>46013.59207175926</v>
      </c>
      <c r="C34" s="1" t="n">
        <v>46180</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63539-2025</t>
        </is>
      </c>
      <c r="B35" s="1" t="n">
        <v>46013.58824074074</v>
      </c>
      <c r="C35" s="1" t="n">
        <v>46180</v>
      </c>
      <c r="D35" t="inlineStr">
        <is>
          <t>STOCKHOLMS LÄN</t>
        </is>
      </c>
      <c r="E35" t="inlineStr">
        <is>
          <t>VALLENTUNA</t>
        </is>
      </c>
      <c r="G35" t="n">
        <v>1.1</v>
      </c>
      <c r="H35" t="n">
        <v>0</v>
      </c>
      <c r="I35" t="n">
        <v>1</v>
      </c>
      <c r="J35" t="n">
        <v>0</v>
      </c>
      <c r="K35" t="n">
        <v>0</v>
      </c>
      <c r="L35" t="n">
        <v>0</v>
      </c>
      <c r="M35" t="n">
        <v>0</v>
      </c>
      <c r="N35" t="n">
        <v>0</v>
      </c>
      <c r="O35" t="n">
        <v>0</v>
      </c>
      <c r="P35" t="n">
        <v>0</v>
      </c>
      <c r="Q35" t="n">
        <v>1</v>
      </c>
      <c r="R35" s="2" t="inlineStr">
        <is>
          <t>Vårärt</t>
        </is>
      </c>
      <c r="S35">
        <f>HYPERLINK("https://klasma.github.io/Logging_0115/artfynd/A 63539-2025 artfynd.xlsx", "A 63539-2025")</f>
        <v/>
      </c>
      <c r="T35">
        <f>HYPERLINK("https://klasma.github.io/Logging_0115/kartor/A 63539-2025 karta.png", "A 63539-2025")</f>
        <v/>
      </c>
      <c r="V35">
        <f>HYPERLINK("https://klasma.github.io/Logging_0115/klagomål/A 63539-2025 FSC-klagomål.docx", "A 63539-2025")</f>
        <v/>
      </c>
      <c r="W35">
        <f>HYPERLINK("https://klasma.github.io/Logging_0115/klagomålsmail/A 63539-2025 FSC-klagomål mail.docx", "A 63539-2025")</f>
        <v/>
      </c>
      <c r="X35">
        <f>HYPERLINK("https://klasma.github.io/Logging_0115/tillsyn/A 63539-2025 tillsynsbegäran.docx", "A 63539-2025")</f>
        <v/>
      </c>
      <c r="Y35">
        <f>HYPERLINK("https://klasma.github.io/Logging_0115/tillsynsmail/A 63539-2025 tillsynsbegäran mail.docx", "A 63539-2025")</f>
        <v/>
      </c>
    </row>
    <row r="36" ht="15" customHeight="1">
      <c r="A36" t="inlineStr">
        <is>
          <t>A 21-2022</t>
        </is>
      </c>
      <c r="B36" s="1" t="n">
        <v>44560</v>
      </c>
      <c r="C36" s="1" t="n">
        <v>46180</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46180</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46180</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34460-2023</t>
        </is>
      </c>
      <c r="B39" s="1" t="n">
        <v>45139</v>
      </c>
      <c r="C39" s="1" t="n">
        <v>46180</v>
      </c>
      <c r="D39" t="inlineStr">
        <is>
          <t>STOCKHOLMS LÄN</t>
        </is>
      </c>
      <c r="E39" t="inlineStr">
        <is>
          <t>VALLENTUNA</t>
        </is>
      </c>
      <c r="G39" t="n">
        <v>1.7</v>
      </c>
      <c r="H39" t="n">
        <v>0</v>
      </c>
      <c r="I39" t="n">
        <v>0</v>
      </c>
      <c r="J39" t="n">
        <v>1</v>
      </c>
      <c r="K39" t="n">
        <v>0</v>
      </c>
      <c r="L39" t="n">
        <v>0</v>
      </c>
      <c r="M39" t="n">
        <v>0</v>
      </c>
      <c r="N39" t="n">
        <v>0</v>
      </c>
      <c r="O39" t="n">
        <v>1</v>
      </c>
      <c r="P39" t="n">
        <v>0</v>
      </c>
      <c r="Q39" t="n">
        <v>1</v>
      </c>
      <c r="R39" s="2" t="inlineStr">
        <is>
          <t>Orange taggsvamp</t>
        </is>
      </c>
      <c r="S39">
        <f>HYPERLINK("https://klasma.github.io/Logging_0115/artfynd/A 34460-2023 artfynd.xlsx", "A 34460-2023")</f>
        <v/>
      </c>
      <c r="T39">
        <f>HYPERLINK("https://klasma.github.io/Logging_0115/kartor/A 34460-2023 karta.png", "A 34460-2023")</f>
        <v/>
      </c>
      <c r="V39">
        <f>HYPERLINK("https://klasma.github.io/Logging_0115/klagomål/A 34460-2023 FSC-klagomål.docx", "A 34460-2023")</f>
        <v/>
      </c>
      <c r="W39">
        <f>HYPERLINK("https://klasma.github.io/Logging_0115/klagomålsmail/A 34460-2023 FSC-klagomål mail.docx", "A 34460-2023")</f>
        <v/>
      </c>
      <c r="X39">
        <f>HYPERLINK("https://klasma.github.io/Logging_0115/tillsyn/A 34460-2023 tillsynsbegäran.docx", "A 34460-2023")</f>
        <v/>
      </c>
      <c r="Y39">
        <f>HYPERLINK("https://klasma.github.io/Logging_0115/tillsynsmail/A 34460-2023 tillsynsbegäran mail.docx", "A 34460-2023")</f>
        <v/>
      </c>
    </row>
    <row r="40" ht="15" customHeight="1">
      <c r="A40" t="inlineStr">
        <is>
          <t>A 21439-2025</t>
        </is>
      </c>
      <c r="B40" s="1" t="n">
        <v>45782.52939814814</v>
      </c>
      <c r="C40" s="1" t="n">
        <v>46180</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8089-2022</t>
        </is>
      </c>
      <c r="B41" s="1" t="n">
        <v>44609.53716435185</v>
      </c>
      <c r="C41" s="1" t="n">
        <v>46180</v>
      </c>
      <c r="D41" t="inlineStr">
        <is>
          <t>STOCKHOLMS LÄN</t>
        </is>
      </c>
      <c r="E41" t="inlineStr">
        <is>
          <t>VALLENTUNA</t>
        </is>
      </c>
      <c r="G41" t="n">
        <v>3.3</v>
      </c>
      <c r="H41" t="n">
        <v>0</v>
      </c>
      <c r="I41" t="n">
        <v>0</v>
      </c>
      <c r="J41" t="n">
        <v>0</v>
      </c>
      <c r="K41" t="n">
        <v>0</v>
      </c>
      <c r="L41" t="n">
        <v>0</v>
      </c>
      <c r="M41" t="n">
        <v>0</v>
      </c>
      <c r="N41" t="n">
        <v>0</v>
      </c>
      <c r="O41" t="n">
        <v>0</v>
      </c>
      <c r="P41" t="n">
        <v>0</v>
      </c>
      <c r="Q41" t="n">
        <v>0</v>
      </c>
      <c r="R41" s="2" t="inlineStr"/>
    </row>
    <row r="42" ht="15" customHeight="1">
      <c r="A42" t="inlineStr">
        <is>
          <t>A 9442-2022</t>
        </is>
      </c>
      <c r="B42" s="1" t="n">
        <v>44616</v>
      </c>
      <c r="C42" s="1" t="n">
        <v>46180</v>
      </c>
      <c r="D42" t="inlineStr">
        <is>
          <t>STOCKHOLMS LÄN</t>
        </is>
      </c>
      <c r="E42" t="inlineStr">
        <is>
          <t>VALLENTUNA</t>
        </is>
      </c>
      <c r="G42" t="n">
        <v>3</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46180</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242-2022</t>
        </is>
      </c>
      <c r="B44" s="1" t="n">
        <v>44560</v>
      </c>
      <c r="C44" s="1" t="n">
        <v>46180</v>
      </c>
      <c r="D44" t="inlineStr">
        <is>
          <t>STOCKHOLMS LÄN</t>
        </is>
      </c>
      <c r="E44" t="inlineStr">
        <is>
          <t>VALLENTUNA</t>
        </is>
      </c>
      <c r="F44" t="inlineStr">
        <is>
          <t>Övriga Aktiebolag</t>
        </is>
      </c>
      <c r="G44" t="n">
        <v>1</v>
      </c>
      <c r="H44" t="n">
        <v>0</v>
      </c>
      <c r="I44" t="n">
        <v>0</v>
      </c>
      <c r="J44" t="n">
        <v>0</v>
      </c>
      <c r="K44" t="n">
        <v>0</v>
      </c>
      <c r="L44" t="n">
        <v>0</v>
      </c>
      <c r="M44" t="n">
        <v>0</v>
      </c>
      <c r="N44" t="n">
        <v>0</v>
      </c>
      <c r="O44" t="n">
        <v>0</v>
      </c>
      <c r="P44" t="n">
        <v>0</v>
      </c>
      <c r="Q44" t="n">
        <v>0</v>
      </c>
      <c r="R44" s="2" t="inlineStr"/>
    </row>
    <row r="45" ht="15" customHeight="1">
      <c r="A45" t="inlineStr">
        <is>
          <t>A 2867-2022</t>
        </is>
      </c>
      <c r="B45" s="1" t="n">
        <v>44581</v>
      </c>
      <c r="C45" s="1" t="n">
        <v>46180</v>
      </c>
      <c r="D45" t="inlineStr">
        <is>
          <t>STOCKHOLMS LÄN</t>
        </is>
      </c>
      <c r="E45" t="inlineStr">
        <is>
          <t>VALLENTUNA</t>
        </is>
      </c>
      <c r="G45" t="n">
        <v>1.6</v>
      </c>
      <c r="H45" t="n">
        <v>0</v>
      </c>
      <c r="I45" t="n">
        <v>0</v>
      </c>
      <c r="J45" t="n">
        <v>0</v>
      </c>
      <c r="K45" t="n">
        <v>0</v>
      </c>
      <c r="L45" t="n">
        <v>0</v>
      </c>
      <c r="M45" t="n">
        <v>0</v>
      </c>
      <c r="N45" t="n">
        <v>0</v>
      </c>
      <c r="O45" t="n">
        <v>0</v>
      </c>
      <c r="P45" t="n">
        <v>0</v>
      </c>
      <c r="Q45" t="n">
        <v>0</v>
      </c>
      <c r="R45" s="2" t="inlineStr"/>
    </row>
    <row r="46" ht="15" customHeight="1">
      <c r="A46" t="inlineStr">
        <is>
          <t>A 7276-2022</t>
        </is>
      </c>
      <c r="B46" s="1" t="n">
        <v>44606</v>
      </c>
      <c r="C46" s="1" t="n">
        <v>46180</v>
      </c>
      <c r="D46" t="inlineStr">
        <is>
          <t>STOCKHOLMS LÄN</t>
        </is>
      </c>
      <c r="E46" t="inlineStr">
        <is>
          <t>VALLENTUNA</t>
        </is>
      </c>
      <c r="G46" t="n">
        <v>1.7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46180</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46180</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37657-2021</t>
        </is>
      </c>
      <c r="B49" s="1" t="n">
        <v>44400</v>
      </c>
      <c r="C49" s="1" t="n">
        <v>46180</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48078-2021</t>
        </is>
      </c>
      <c r="B50" s="1" t="n">
        <v>44449.42578703703</v>
      </c>
      <c r="C50" s="1" t="n">
        <v>46180</v>
      </c>
      <c r="D50" t="inlineStr">
        <is>
          <t>STOCKHOLMS LÄN</t>
        </is>
      </c>
      <c r="E50" t="inlineStr">
        <is>
          <t>VALLENTUNA</t>
        </is>
      </c>
      <c r="G50" t="n">
        <v>0.7</v>
      </c>
      <c r="H50" t="n">
        <v>0</v>
      </c>
      <c r="I50" t="n">
        <v>0</v>
      </c>
      <c r="J50" t="n">
        <v>0</v>
      </c>
      <c r="K50" t="n">
        <v>0</v>
      </c>
      <c r="L50" t="n">
        <v>0</v>
      </c>
      <c r="M50" t="n">
        <v>0</v>
      </c>
      <c r="N50" t="n">
        <v>0</v>
      </c>
      <c r="O50" t="n">
        <v>0</v>
      </c>
      <c r="P50" t="n">
        <v>0</v>
      </c>
      <c r="Q50" t="n">
        <v>0</v>
      </c>
      <c r="R50" s="2" t="inlineStr"/>
    </row>
    <row r="51" ht="15" customHeight="1">
      <c r="A51" t="inlineStr">
        <is>
          <t>A 42624-2021</t>
        </is>
      </c>
      <c r="B51" s="1" t="n">
        <v>44428</v>
      </c>
      <c r="C51" s="1" t="n">
        <v>46180</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14725-2022</t>
        </is>
      </c>
      <c r="B52" s="1" t="n">
        <v>44655</v>
      </c>
      <c r="C52" s="1" t="n">
        <v>46180</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7085-2022</t>
        </is>
      </c>
      <c r="B53" s="1" t="n">
        <v>44603</v>
      </c>
      <c r="C53" s="1" t="n">
        <v>46180</v>
      </c>
      <c r="D53" t="inlineStr">
        <is>
          <t>STOCKHOLMS LÄN</t>
        </is>
      </c>
      <c r="E53" t="inlineStr">
        <is>
          <t>VALLENTUNA</t>
        </is>
      </c>
      <c r="G53" t="n">
        <v>1.6</v>
      </c>
      <c r="H53" t="n">
        <v>0</v>
      </c>
      <c r="I53" t="n">
        <v>0</v>
      </c>
      <c r="J53" t="n">
        <v>0</v>
      </c>
      <c r="K53" t="n">
        <v>0</v>
      </c>
      <c r="L53" t="n">
        <v>0</v>
      </c>
      <c r="M53" t="n">
        <v>0</v>
      </c>
      <c r="N53" t="n">
        <v>0</v>
      </c>
      <c r="O53" t="n">
        <v>0</v>
      </c>
      <c r="P53" t="n">
        <v>0</v>
      </c>
      <c r="Q53" t="n">
        <v>0</v>
      </c>
      <c r="R53" s="2" t="inlineStr"/>
    </row>
    <row r="54" ht="15" customHeight="1">
      <c r="A54" t="inlineStr">
        <is>
          <t>A 52989-2023</t>
        </is>
      </c>
      <c r="B54" s="1" t="n">
        <v>45226</v>
      </c>
      <c r="C54" s="1" t="n">
        <v>46180</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3078-2023</t>
        </is>
      </c>
      <c r="B55" s="1" t="n">
        <v>44946.41527777778</v>
      </c>
      <c r="C55" s="1" t="n">
        <v>46180</v>
      </c>
      <c r="D55" t="inlineStr">
        <is>
          <t>STOCKHOLMS LÄN</t>
        </is>
      </c>
      <c r="E55" t="inlineStr">
        <is>
          <t>VALLENTUNA</t>
        </is>
      </c>
      <c r="G55" t="n">
        <v>3.9</v>
      </c>
      <c r="H55" t="n">
        <v>0</v>
      </c>
      <c r="I55" t="n">
        <v>0</v>
      </c>
      <c r="J55" t="n">
        <v>0</v>
      </c>
      <c r="K55" t="n">
        <v>0</v>
      </c>
      <c r="L55" t="n">
        <v>0</v>
      </c>
      <c r="M55" t="n">
        <v>0</v>
      </c>
      <c r="N55" t="n">
        <v>0</v>
      </c>
      <c r="O55" t="n">
        <v>0</v>
      </c>
      <c r="P55" t="n">
        <v>0</v>
      </c>
      <c r="Q55" t="n">
        <v>0</v>
      </c>
      <c r="R55" s="2" t="inlineStr"/>
    </row>
    <row r="56" ht="15" customHeight="1">
      <c r="A56" t="inlineStr">
        <is>
          <t>A 60795-2023</t>
        </is>
      </c>
      <c r="B56" s="1" t="n">
        <v>45260</v>
      </c>
      <c r="C56" s="1" t="n">
        <v>46180</v>
      </c>
      <c r="D56" t="inlineStr">
        <is>
          <t>STOCKHOLMS LÄN</t>
        </is>
      </c>
      <c r="E56" t="inlineStr">
        <is>
          <t>VALLENTUNA</t>
        </is>
      </c>
      <c r="G56" t="n">
        <v>2.2</v>
      </c>
      <c r="H56" t="n">
        <v>0</v>
      </c>
      <c r="I56" t="n">
        <v>0</v>
      </c>
      <c r="J56" t="n">
        <v>0</v>
      </c>
      <c r="K56" t="n">
        <v>0</v>
      </c>
      <c r="L56" t="n">
        <v>0</v>
      </c>
      <c r="M56" t="n">
        <v>0</v>
      </c>
      <c r="N56" t="n">
        <v>0</v>
      </c>
      <c r="O56" t="n">
        <v>0</v>
      </c>
      <c r="P56" t="n">
        <v>0</v>
      </c>
      <c r="Q56" t="n">
        <v>0</v>
      </c>
      <c r="R56" s="2" t="inlineStr"/>
    </row>
    <row r="57" ht="15" customHeight="1">
      <c r="A57" t="inlineStr">
        <is>
          <t>A 14480-2024</t>
        </is>
      </c>
      <c r="B57" s="1" t="n">
        <v>45394.56777777777</v>
      </c>
      <c r="C57" s="1" t="n">
        <v>46180</v>
      </c>
      <c r="D57" t="inlineStr">
        <is>
          <t>STOCKHOLMS LÄN</t>
        </is>
      </c>
      <c r="E57" t="inlineStr">
        <is>
          <t>VALLENTUNA</t>
        </is>
      </c>
      <c r="G57" t="n">
        <v>1.8</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46180</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23923-2025</t>
        </is>
      </c>
      <c r="B59" s="1" t="n">
        <v>45795.39648148148</v>
      </c>
      <c r="C59" s="1" t="n">
        <v>46180</v>
      </c>
      <c r="D59" t="inlineStr">
        <is>
          <t>STOCKHOLMS LÄN</t>
        </is>
      </c>
      <c r="E59" t="inlineStr">
        <is>
          <t>VALLENTUNA</t>
        </is>
      </c>
      <c r="G59" t="n">
        <v>2.3</v>
      </c>
      <c r="H59" t="n">
        <v>0</v>
      </c>
      <c r="I59" t="n">
        <v>0</v>
      </c>
      <c r="J59" t="n">
        <v>0</v>
      </c>
      <c r="K59" t="n">
        <v>0</v>
      </c>
      <c r="L59" t="n">
        <v>0</v>
      </c>
      <c r="M59" t="n">
        <v>0</v>
      </c>
      <c r="N59" t="n">
        <v>0</v>
      </c>
      <c r="O59" t="n">
        <v>0</v>
      </c>
      <c r="P59" t="n">
        <v>0</v>
      </c>
      <c r="Q59" t="n">
        <v>0</v>
      </c>
      <c r="R59" s="2" t="inlineStr"/>
    </row>
    <row r="60" ht="15" customHeight="1">
      <c r="A60" t="inlineStr">
        <is>
          <t>A 414-2026</t>
        </is>
      </c>
      <c r="B60" s="1" t="n">
        <v>46028.76050925926</v>
      </c>
      <c r="C60" s="1" t="n">
        <v>46180</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30913-2021</t>
        </is>
      </c>
      <c r="B61" s="1" t="n">
        <v>44365</v>
      </c>
      <c r="C61" s="1" t="n">
        <v>46180</v>
      </c>
      <c r="D61" t="inlineStr">
        <is>
          <t>STOCKHOLMS LÄN</t>
        </is>
      </c>
      <c r="E61" t="inlineStr">
        <is>
          <t>VALLENTUNA</t>
        </is>
      </c>
      <c r="F61" t="inlineStr">
        <is>
          <t>Övriga Aktiebolag</t>
        </is>
      </c>
      <c r="G61" t="n">
        <v>3.3</v>
      </c>
      <c r="H61" t="n">
        <v>0</v>
      </c>
      <c r="I61" t="n">
        <v>0</v>
      </c>
      <c r="J61" t="n">
        <v>0</v>
      </c>
      <c r="K61" t="n">
        <v>0</v>
      </c>
      <c r="L61" t="n">
        <v>0</v>
      </c>
      <c r="M61" t="n">
        <v>0</v>
      </c>
      <c r="N61" t="n">
        <v>0</v>
      </c>
      <c r="O61" t="n">
        <v>0</v>
      </c>
      <c r="P61" t="n">
        <v>0</v>
      </c>
      <c r="Q61" t="n">
        <v>0</v>
      </c>
      <c r="R61" s="2" t="inlineStr"/>
    </row>
    <row r="62" ht="15" customHeight="1">
      <c r="A62" t="inlineStr">
        <is>
          <t>A 25984-2025</t>
        </is>
      </c>
      <c r="B62" s="1" t="n">
        <v>45804.64016203704</v>
      </c>
      <c r="C62" s="1" t="n">
        <v>46180</v>
      </c>
      <c r="D62" t="inlineStr">
        <is>
          <t>STOCKHOLMS LÄN</t>
        </is>
      </c>
      <c r="E62" t="inlineStr">
        <is>
          <t>VALLENTUNA</t>
        </is>
      </c>
      <c r="G62" t="n">
        <v>2.5</v>
      </c>
      <c r="H62" t="n">
        <v>0</v>
      </c>
      <c r="I62" t="n">
        <v>0</v>
      </c>
      <c r="J62" t="n">
        <v>0</v>
      </c>
      <c r="K62" t="n">
        <v>0</v>
      </c>
      <c r="L62" t="n">
        <v>0</v>
      </c>
      <c r="M62" t="n">
        <v>0</v>
      </c>
      <c r="N62" t="n">
        <v>0</v>
      </c>
      <c r="O62" t="n">
        <v>0</v>
      </c>
      <c r="P62" t="n">
        <v>0</v>
      </c>
      <c r="Q62" t="n">
        <v>0</v>
      </c>
      <c r="R62" s="2" t="inlineStr"/>
    </row>
    <row r="63" ht="15" customHeight="1">
      <c r="A63" t="inlineStr">
        <is>
          <t>A 48068-2021</t>
        </is>
      </c>
      <c r="B63" s="1" t="n">
        <v>44449.42270833333</v>
      </c>
      <c r="C63" s="1" t="n">
        <v>46180</v>
      </c>
      <c r="D63" t="inlineStr">
        <is>
          <t>STOCKHOLMS LÄN</t>
        </is>
      </c>
      <c r="E63" t="inlineStr">
        <is>
          <t>VALLENTUNA</t>
        </is>
      </c>
      <c r="G63" t="n">
        <v>1.3</v>
      </c>
      <c r="H63" t="n">
        <v>0</v>
      </c>
      <c r="I63" t="n">
        <v>0</v>
      </c>
      <c r="J63" t="n">
        <v>0</v>
      </c>
      <c r="K63" t="n">
        <v>0</v>
      </c>
      <c r="L63" t="n">
        <v>0</v>
      </c>
      <c r="M63" t="n">
        <v>0</v>
      </c>
      <c r="N63" t="n">
        <v>0</v>
      </c>
      <c r="O63" t="n">
        <v>0</v>
      </c>
      <c r="P63" t="n">
        <v>0</v>
      </c>
      <c r="Q63" t="n">
        <v>0</v>
      </c>
      <c r="R63" s="2" t="inlineStr"/>
    </row>
    <row r="64" ht="15" customHeight="1">
      <c r="A64" t="inlineStr">
        <is>
          <t>A 3937-2022</t>
        </is>
      </c>
      <c r="B64" s="1" t="n">
        <v>44587</v>
      </c>
      <c r="C64" s="1" t="n">
        <v>46180</v>
      </c>
      <c r="D64" t="inlineStr">
        <is>
          <t>STOCKHOLMS LÄN</t>
        </is>
      </c>
      <c r="E64" t="inlineStr">
        <is>
          <t>VALLENTUNA</t>
        </is>
      </c>
      <c r="G64" t="n">
        <v>6.6</v>
      </c>
      <c r="H64" t="n">
        <v>0</v>
      </c>
      <c r="I64" t="n">
        <v>0</v>
      </c>
      <c r="J64" t="n">
        <v>0</v>
      </c>
      <c r="K64" t="n">
        <v>0</v>
      </c>
      <c r="L64" t="n">
        <v>0</v>
      </c>
      <c r="M64" t="n">
        <v>0</v>
      </c>
      <c r="N64" t="n">
        <v>0</v>
      </c>
      <c r="O64" t="n">
        <v>0</v>
      </c>
      <c r="P64" t="n">
        <v>0</v>
      </c>
      <c r="Q64" t="n">
        <v>0</v>
      </c>
      <c r="R64" s="2" t="inlineStr"/>
    </row>
    <row r="65" ht="15" customHeight="1">
      <c r="A65" t="inlineStr">
        <is>
          <t>A 60818-2023</t>
        </is>
      </c>
      <c r="B65" s="1" t="n">
        <v>45259</v>
      </c>
      <c r="C65" s="1" t="n">
        <v>46180</v>
      </c>
      <c r="D65" t="inlineStr">
        <is>
          <t>STOCKHOLMS LÄN</t>
        </is>
      </c>
      <c r="E65" t="inlineStr">
        <is>
          <t>VALLENTUNA</t>
        </is>
      </c>
      <c r="G65" t="n">
        <v>9.4</v>
      </c>
      <c r="H65" t="n">
        <v>0</v>
      </c>
      <c r="I65" t="n">
        <v>0</v>
      </c>
      <c r="J65" t="n">
        <v>0</v>
      </c>
      <c r="K65" t="n">
        <v>0</v>
      </c>
      <c r="L65" t="n">
        <v>0</v>
      </c>
      <c r="M65" t="n">
        <v>0</v>
      </c>
      <c r="N65" t="n">
        <v>0</v>
      </c>
      <c r="O65" t="n">
        <v>0</v>
      </c>
      <c r="P65" t="n">
        <v>0</v>
      </c>
      <c r="Q65" t="n">
        <v>0</v>
      </c>
      <c r="R65" s="2" t="inlineStr"/>
    </row>
    <row r="66" ht="15" customHeight="1">
      <c r="A66" t="inlineStr">
        <is>
          <t>A 7264-2022</t>
        </is>
      </c>
      <c r="B66" s="1" t="n">
        <v>44606</v>
      </c>
      <c r="C66" s="1" t="n">
        <v>46180</v>
      </c>
      <c r="D66" t="inlineStr">
        <is>
          <t>STOCKHOLMS LÄN</t>
        </is>
      </c>
      <c r="E66" t="inlineStr">
        <is>
          <t>VALLENTUNA</t>
        </is>
      </c>
      <c r="G66" t="n">
        <v>2.4</v>
      </c>
      <c r="H66" t="n">
        <v>0</v>
      </c>
      <c r="I66" t="n">
        <v>0</v>
      </c>
      <c r="J66" t="n">
        <v>0</v>
      </c>
      <c r="K66" t="n">
        <v>0</v>
      </c>
      <c r="L66" t="n">
        <v>0</v>
      </c>
      <c r="M66" t="n">
        <v>0</v>
      </c>
      <c r="N66" t="n">
        <v>0</v>
      </c>
      <c r="O66" t="n">
        <v>0</v>
      </c>
      <c r="P66" t="n">
        <v>0</v>
      </c>
      <c r="Q66" t="n">
        <v>0</v>
      </c>
      <c r="R66" s="2" t="inlineStr"/>
    </row>
    <row r="67" ht="15" customHeight="1">
      <c r="A67" t="inlineStr">
        <is>
          <t>A 30902-2025</t>
        </is>
      </c>
      <c r="B67" s="1" t="n">
        <v>45832.36104166666</v>
      </c>
      <c r="C67" s="1" t="n">
        <v>46180</v>
      </c>
      <c r="D67" t="inlineStr">
        <is>
          <t>STOCKHOLMS LÄN</t>
        </is>
      </c>
      <c r="E67" t="inlineStr">
        <is>
          <t>VALLENTUNA</t>
        </is>
      </c>
      <c r="G67" t="n">
        <v>8.199999999999999</v>
      </c>
      <c r="H67" t="n">
        <v>0</v>
      </c>
      <c r="I67" t="n">
        <v>0</v>
      </c>
      <c r="J67" t="n">
        <v>0</v>
      </c>
      <c r="K67" t="n">
        <v>0</v>
      </c>
      <c r="L67" t="n">
        <v>0</v>
      </c>
      <c r="M67" t="n">
        <v>0</v>
      </c>
      <c r="N67" t="n">
        <v>0</v>
      </c>
      <c r="O67" t="n">
        <v>0</v>
      </c>
      <c r="P67" t="n">
        <v>0</v>
      </c>
      <c r="Q67" t="n">
        <v>0</v>
      </c>
      <c r="R67" s="2" t="inlineStr"/>
    </row>
    <row r="68" ht="15" customHeight="1">
      <c r="A68" t="inlineStr">
        <is>
          <t>A 19356-2025</t>
        </is>
      </c>
      <c r="B68" s="1" t="n">
        <v>45769.62061342593</v>
      </c>
      <c r="C68" s="1" t="n">
        <v>46180</v>
      </c>
      <c r="D68" t="inlineStr">
        <is>
          <t>STOCKHOLMS LÄN</t>
        </is>
      </c>
      <c r="E68" t="inlineStr">
        <is>
          <t>VALLENTUNA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12562-2023</t>
        </is>
      </c>
      <c r="B69" s="1" t="n">
        <v>45000</v>
      </c>
      <c r="C69" s="1" t="n">
        <v>46180</v>
      </c>
      <c r="D69" t="inlineStr">
        <is>
          <t>STOCKHOLMS LÄN</t>
        </is>
      </c>
      <c r="E69" t="inlineStr">
        <is>
          <t>VALLENTUNA</t>
        </is>
      </c>
      <c r="G69" t="n">
        <v>2.1</v>
      </c>
      <c r="H69" t="n">
        <v>0</v>
      </c>
      <c r="I69" t="n">
        <v>0</v>
      </c>
      <c r="J69" t="n">
        <v>0</v>
      </c>
      <c r="K69" t="n">
        <v>0</v>
      </c>
      <c r="L69" t="n">
        <v>0</v>
      </c>
      <c r="M69" t="n">
        <v>0</v>
      </c>
      <c r="N69" t="n">
        <v>0</v>
      </c>
      <c r="O69" t="n">
        <v>0</v>
      </c>
      <c r="P69" t="n">
        <v>0</v>
      </c>
      <c r="Q69" t="n">
        <v>0</v>
      </c>
      <c r="R69" s="2" t="inlineStr"/>
    </row>
    <row r="70" ht="15" customHeight="1">
      <c r="A70" t="inlineStr">
        <is>
          <t>A 48014-2025</t>
        </is>
      </c>
      <c r="B70" s="1" t="n">
        <v>45932.64520833334</v>
      </c>
      <c r="C70" s="1" t="n">
        <v>46180</v>
      </c>
      <c r="D70" t="inlineStr">
        <is>
          <t>STOCKHOLMS LÄN</t>
        </is>
      </c>
      <c r="E70" t="inlineStr">
        <is>
          <t>VALLENTUNA</t>
        </is>
      </c>
      <c r="G70" t="n">
        <v>0.6</v>
      </c>
      <c r="H70" t="n">
        <v>0</v>
      </c>
      <c r="I70" t="n">
        <v>0</v>
      </c>
      <c r="J70" t="n">
        <v>0</v>
      </c>
      <c r="K70" t="n">
        <v>0</v>
      </c>
      <c r="L70" t="n">
        <v>0</v>
      </c>
      <c r="M70" t="n">
        <v>0</v>
      </c>
      <c r="N70" t="n">
        <v>0</v>
      </c>
      <c r="O70" t="n">
        <v>0</v>
      </c>
      <c r="P70" t="n">
        <v>0</v>
      </c>
      <c r="Q70" t="n">
        <v>0</v>
      </c>
      <c r="R70" s="2" t="inlineStr"/>
    </row>
    <row r="71" ht="15" customHeight="1">
      <c r="A71" t="inlineStr">
        <is>
          <t>A 48038-2025</t>
        </is>
      </c>
      <c r="B71" s="1" t="n">
        <v>45932.66008101852</v>
      </c>
      <c r="C71" s="1" t="n">
        <v>46180</v>
      </c>
      <c r="D71" t="inlineStr">
        <is>
          <t>STOCKHOLMS LÄN</t>
        </is>
      </c>
      <c r="E71" t="inlineStr">
        <is>
          <t>VALLENTUNA</t>
        </is>
      </c>
      <c r="G71" t="n">
        <v>0.5</v>
      </c>
      <c r="H71" t="n">
        <v>0</v>
      </c>
      <c r="I71" t="n">
        <v>0</v>
      </c>
      <c r="J71" t="n">
        <v>0</v>
      </c>
      <c r="K71" t="n">
        <v>0</v>
      </c>
      <c r="L71" t="n">
        <v>0</v>
      </c>
      <c r="M71" t="n">
        <v>0</v>
      </c>
      <c r="N71" t="n">
        <v>0</v>
      </c>
      <c r="O71" t="n">
        <v>0</v>
      </c>
      <c r="P71" t="n">
        <v>0</v>
      </c>
      <c r="Q71" t="n">
        <v>0</v>
      </c>
      <c r="R71" s="2" t="inlineStr"/>
    </row>
    <row r="72" ht="15" customHeight="1">
      <c r="A72" t="inlineStr">
        <is>
          <t>A 24068-2024</t>
        </is>
      </c>
      <c r="B72" s="1" t="n">
        <v>45456</v>
      </c>
      <c r="C72" s="1" t="n">
        <v>46180</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28431-2025</t>
        </is>
      </c>
      <c r="B73" s="1" t="n">
        <v>45819.38072916667</v>
      </c>
      <c r="C73" s="1" t="n">
        <v>46180</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6298-2026</t>
        </is>
      </c>
      <c r="B74" s="1" t="n">
        <v>46055.5656712963</v>
      </c>
      <c r="C74" s="1" t="n">
        <v>46180</v>
      </c>
      <c r="D74" t="inlineStr">
        <is>
          <t>STOCKHOLMS LÄN</t>
        </is>
      </c>
      <c r="E74" t="inlineStr">
        <is>
          <t>VALLENTUNA</t>
        </is>
      </c>
      <c r="G74" t="n">
        <v>3.3</v>
      </c>
      <c r="H74" t="n">
        <v>0</v>
      </c>
      <c r="I74" t="n">
        <v>0</v>
      </c>
      <c r="J74" t="n">
        <v>0</v>
      </c>
      <c r="K74" t="n">
        <v>0</v>
      </c>
      <c r="L74" t="n">
        <v>0</v>
      </c>
      <c r="M74" t="n">
        <v>0</v>
      </c>
      <c r="N74" t="n">
        <v>0</v>
      </c>
      <c r="O74" t="n">
        <v>0</v>
      </c>
      <c r="P74" t="n">
        <v>0</v>
      </c>
      <c r="Q74" t="n">
        <v>0</v>
      </c>
      <c r="R74" s="2" t="inlineStr"/>
    </row>
    <row r="75" ht="15" customHeight="1">
      <c r="A75" t="inlineStr">
        <is>
          <t>A 61442-2024</t>
        </is>
      </c>
      <c r="B75" s="1" t="n">
        <v>45646.47003472222</v>
      </c>
      <c r="C75" s="1" t="n">
        <v>46180</v>
      </c>
      <c r="D75" t="inlineStr">
        <is>
          <t>STOCKHOLMS LÄN</t>
        </is>
      </c>
      <c r="E75" t="inlineStr">
        <is>
          <t>VALLENTUNA</t>
        </is>
      </c>
      <c r="G75" t="n">
        <v>4.6</v>
      </c>
      <c r="H75" t="n">
        <v>0</v>
      </c>
      <c r="I75" t="n">
        <v>0</v>
      </c>
      <c r="J75" t="n">
        <v>0</v>
      </c>
      <c r="K75" t="n">
        <v>0</v>
      </c>
      <c r="L75" t="n">
        <v>0</v>
      </c>
      <c r="M75" t="n">
        <v>0</v>
      </c>
      <c r="N75" t="n">
        <v>0</v>
      </c>
      <c r="O75" t="n">
        <v>0</v>
      </c>
      <c r="P75" t="n">
        <v>0</v>
      </c>
      <c r="Q75" t="n">
        <v>0</v>
      </c>
      <c r="R75" s="2" t="inlineStr"/>
    </row>
    <row r="76" ht="15" customHeight="1">
      <c r="A76" t="inlineStr">
        <is>
          <t>A 50784-2025</t>
        </is>
      </c>
      <c r="B76" s="1" t="n">
        <v>45946</v>
      </c>
      <c r="C76" s="1" t="n">
        <v>46180</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44346-2021</t>
        </is>
      </c>
      <c r="B77" s="1" t="n">
        <v>44434</v>
      </c>
      <c r="C77" s="1" t="n">
        <v>46180</v>
      </c>
      <c r="D77" t="inlineStr">
        <is>
          <t>STOCKHOLMS LÄN</t>
        </is>
      </c>
      <c r="E77" t="inlineStr">
        <is>
          <t>VALLENTUNA</t>
        </is>
      </c>
      <c r="G77" t="n">
        <v>3</v>
      </c>
      <c r="H77" t="n">
        <v>0</v>
      </c>
      <c r="I77" t="n">
        <v>0</v>
      </c>
      <c r="J77" t="n">
        <v>0</v>
      </c>
      <c r="K77" t="n">
        <v>0</v>
      </c>
      <c r="L77" t="n">
        <v>0</v>
      </c>
      <c r="M77" t="n">
        <v>0</v>
      </c>
      <c r="N77" t="n">
        <v>0</v>
      </c>
      <c r="O77" t="n">
        <v>0</v>
      </c>
      <c r="P77" t="n">
        <v>0</v>
      </c>
      <c r="Q77" t="n">
        <v>0</v>
      </c>
      <c r="R77" s="2" t="inlineStr"/>
    </row>
    <row r="78" ht="15" customHeight="1">
      <c r="A78" t="inlineStr">
        <is>
          <t>A 27868-2025</t>
        </is>
      </c>
      <c r="B78" s="1" t="n">
        <v>45817</v>
      </c>
      <c r="C78" s="1" t="n">
        <v>46180</v>
      </c>
      <c r="D78" t="inlineStr">
        <is>
          <t>STOCKHOLMS LÄN</t>
        </is>
      </c>
      <c r="E78" t="inlineStr">
        <is>
          <t>VALLENTUNA</t>
        </is>
      </c>
      <c r="G78" t="n">
        <v>2.1</v>
      </c>
      <c r="H78" t="n">
        <v>0</v>
      </c>
      <c r="I78" t="n">
        <v>0</v>
      </c>
      <c r="J78" t="n">
        <v>0</v>
      </c>
      <c r="K78" t="n">
        <v>0</v>
      </c>
      <c r="L78" t="n">
        <v>0</v>
      </c>
      <c r="M78" t="n">
        <v>0</v>
      </c>
      <c r="N78" t="n">
        <v>0</v>
      </c>
      <c r="O78" t="n">
        <v>0</v>
      </c>
      <c r="P78" t="n">
        <v>0</v>
      </c>
      <c r="Q78" t="n">
        <v>0</v>
      </c>
      <c r="R78" s="2" t="inlineStr"/>
    </row>
    <row r="79" ht="15" customHeight="1">
      <c r="A79" t="inlineStr">
        <is>
          <t>A 54466-2025</t>
        </is>
      </c>
      <c r="B79" s="1" t="n">
        <v>45965.56984953704</v>
      </c>
      <c r="C79" s="1" t="n">
        <v>46180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54460-2025</t>
        </is>
      </c>
      <c r="B80" s="1" t="n">
        <v>45965.56219907408</v>
      </c>
      <c r="C80" s="1" t="n">
        <v>46180</v>
      </c>
      <c r="D80" t="inlineStr">
        <is>
          <t>STOCKHOLMS LÄN</t>
        </is>
      </c>
      <c r="E80" t="inlineStr">
        <is>
          <t>VALLENTUNA</t>
        </is>
      </c>
      <c r="G80" t="n">
        <v>22.9</v>
      </c>
      <c r="H80" t="n">
        <v>0</v>
      </c>
      <c r="I80" t="n">
        <v>0</v>
      </c>
      <c r="J80" t="n">
        <v>0</v>
      </c>
      <c r="K80" t="n">
        <v>0</v>
      </c>
      <c r="L80" t="n">
        <v>0</v>
      </c>
      <c r="M80" t="n">
        <v>0</v>
      </c>
      <c r="N80" t="n">
        <v>0</v>
      </c>
      <c r="O80" t="n">
        <v>0</v>
      </c>
      <c r="P80" t="n">
        <v>0</v>
      </c>
      <c r="Q80" t="n">
        <v>0</v>
      </c>
      <c r="R80" s="2" t="inlineStr"/>
    </row>
    <row r="81" ht="15" customHeight="1">
      <c r="A81" t="inlineStr">
        <is>
          <t>A 19503-2023</t>
        </is>
      </c>
      <c r="B81" s="1" t="n">
        <v>45050.47333333334</v>
      </c>
      <c r="C81" s="1" t="n">
        <v>46180</v>
      </c>
      <c r="D81" t="inlineStr">
        <is>
          <t>STOCKHOLMS LÄN</t>
        </is>
      </c>
      <c r="E81" t="inlineStr">
        <is>
          <t>VALLENTUNA</t>
        </is>
      </c>
      <c r="G81" t="n">
        <v>0.7</v>
      </c>
      <c r="H81" t="n">
        <v>0</v>
      </c>
      <c r="I81" t="n">
        <v>0</v>
      </c>
      <c r="J81" t="n">
        <v>0</v>
      </c>
      <c r="K81" t="n">
        <v>0</v>
      </c>
      <c r="L81" t="n">
        <v>0</v>
      </c>
      <c r="M81" t="n">
        <v>0</v>
      </c>
      <c r="N81" t="n">
        <v>0</v>
      </c>
      <c r="O81" t="n">
        <v>0</v>
      </c>
      <c r="P81" t="n">
        <v>0</v>
      </c>
      <c r="Q81" t="n">
        <v>0</v>
      </c>
      <c r="R81" s="2" t="inlineStr"/>
    </row>
    <row r="82" ht="15" customHeight="1">
      <c r="A82" t="inlineStr">
        <is>
          <t>A 12400-2026</t>
        </is>
      </c>
      <c r="B82" s="1" t="n">
        <v>46090.39423611111</v>
      </c>
      <c r="C82" s="1" t="n">
        <v>46180</v>
      </c>
      <c r="D82" t="inlineStr">
        <is>
          <t>STOCKHOLMS LÄN</t>
        </is>
      </c>
      <c r="E82" t="inlineStr">
        <is>
          <t>VALLENTUNA</t>
        </is>
      </c>
      <c r="G82" t="n">
        <v>1.9</v>
      </c>
      <c r="H82" t="n">
        <v>0</v>
      </c>
      <c r="I82" t="n">
        <v>0</v>
      </c>
      <c r="J82" t="n">
        <v>0</v>
      </c>
      <c r="K82" t="n">
        <v>0</v>
      </c>
      <c r="L82" t="n">
        <v>0</v>
      </c>
      <c r="M82" t="n">
        <v>0</v>
      </c>
      <c r="N82" t="n">
        <v>0</v>
      </c>
      <c r="O82" t="n">
        <v>0</v>
      </c>
      <c r="P82" t="n">
        <v>0</v>
      </c>
      <c r="Q82" t="n">
        <v>0</v>
      </c>
      <c r="R82" s="2" t="inlineStr"/>
    </row>
    <row r="83" ht="15" customHeight="1">
      <c r="A83" t="inlineStr">
        <is>
          <t>A 12819-2026</t>
        </is>
      </c>
      <c r="B83" s="1" t="n">
        <v>46092.40896990741</v>
      </c>
      <c r="C83" s="1" t="n">
        <v>46180</v>
      </c>
      <c r="D83" t="inlineStr">
        <is>
          <t>STOCKHOLMS LÄN</t>
        </is>
      </c>
      <c r="E83" t="inlineStr">
        <is>
          <t>VALLENTUNA</t>
        </is>
      </c>
      <c r="G83" t="n">
        <v>3.5</v>
      </c>
      <c r="H83" t="n">
        <v>0</v>
      </c>
      <c r="I83" t="n">
        <v>0</v>
      </c>
      <c r="J83" t="n">
        <v>0</v>
      </c>
      <c r="K83" t="n">
        <v>0</v>
      </c>
      <c r="L83" t="n">
        <v>0</v>
      </c>
      <c r="M83" t="n">
        <v>0</v>
      </c>
      <c r="N83" t="n">
        <v>0</v>
      </c>
      <c r="O83" t="n">
        <v>0</v>
      </c>
      <c r="P83" t="n">
        <v>0</v>
      </c>
      <c r="Q83" t="n">
        <v>0</v>
      </c>
      <c r="R83" s="2" t="inlineStr"/>
    </row>
    <row r="84" ht="15" customHeight="1">
      <c r="A84" t="inlineStr">
        <is>
          <t>A 12830-2026</t>
        </is>
      </c>
      <c r="B84" s="1" t="n">
        <v>46092.42290509259</v>
      </c>
      <c r="C84" s="1" t="n">
        <v>46180</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12822-2026</t>
        </is>
      </c>
      <c r="B85" s="1" t="n">
        <v>46092.41358796296</v>
      </c>
      <c r="C85" s="1" t="n">
        <v>46180</v>
      </c>
      <c r="D85" t="inlineStr">
        <is>
          <t>STOCKHOLMS LÄN</t>
        </is>
      </c>
      <c r="E85" t="inlineStr">
        <is>
          <t>VALLENTUNA</t>
        </is>
      </c>
      <c r="G85" t="n">
        <v>2.7</v>
      </c>
      <c r="H85" t="n">
        <v>0</v>
      </c>
      <c r="I85" t="n">
        <v>0</v>
      </c>
      <c r="J85" t="n">
        <v>0</v>
      </c>
      <c r="K85" t="n">
        <v>0</v>
      </c>
      <c r="L85" t="n">
        <v>0</v>
      </c>
      <c r="M85" t="n">
        <v>0</v>
      </c>
      <c r="N85" t="n">
        <v>0</v>
      </c>
      <c r="O85" t="n">
        <v>0</v>
      </c>
      <c r="P85" t="n">
        <v>0</v>
      </c>
      <c r="Q85" t="n">
        <v>0</v>
      </c>
      <c r="R85" s="2" t="inlineStr"/>
    </row>
    <row r="86" ht="15" customHeight="1">
      <c r="A86" t="inlineStr">
        <is>
          <t>A 12828-2026</t>
        </is>
      </c>
      <c r="B86" s="1" t="n">
        <v>46092.41760416667</v>
      </c>
      <c r="C86" s="1" t="n">
        <v>46180</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21445-2023</t>
        </is>
      </c>
      <c r="B87" s="1" t="n">
        <v>45063</v>
      </c>
      <c r="C87" s="1" t="n">
        <v>46180</v>
      </c>
      <c r="D87" t="inlineStr">
        <is>
          <t>STOCKHOLMS LÄN</t>
        </is>
      </c>
      <c r="E87" t="inlineStr">
        <is>
          <t>VALLENTUNA</t>
        </is>
      </c>
      <c r="G87" t="n">
        <v>3.1</v>
      </c>
      <c r="H87" t="n">
        <v>0</v>
      </c>
      <c r="I87" t="n">
        <v>0</v>
      </c>
      <c r="J87" t="n">
        <v>0</v>
      </c>
      <c r="K87" t="n">
        <v>0</v>
      </c>
      <c r="L87" t="n">
        <v>0</v>
      </c>
      <c r="M87" t="n">
        <v>0</v>
      </c>
      <c r="N87" t="n">
        <v>0</v>
      </c>
      <c r="O87" t="n">
        <v>0</v>
      </c>
      <c r="P87" t="n">
        <v>0</v>
      </c>
      <c r="Q87" t="n">
        <v>0</v>
      </c>
      <c r="R87" s="2" t="inlineStr"/>
    </row>
    <row r="88" ht="15" customHeight="1">
      <c r="A88" t="inlineStr">
        <is>
          <t>A 22683-2023</t>
        </is>
      </c>
      <c r="B88" s="1" t="n">
        <v>45071</v>
      </c>
      <c r="C88" s="1" t="n">
        <v>46180</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24943-2024</t>
        </is>
      </c>
      <c r="B89" s="1" t="n">
        <v>45461.62585648148</v>
      </c>
      <c r="C89" s="1" t="n">
        <v>46180</v>
      </c>
      <c r="D89" t="inlineStr">
        <is>
          <t>STOCKHOLMS LÄN</t>
        </is>
      </c>
      <c r="E89" t="inlineStr">
        <is>
          <t>VALLENTUNA</t>
        </is>
      </c>
      <c r="G89" t="n">
        <v>2</v>
      </c>
      <c r="H89" t="n">
        <v>0</v>
      </c>
      <c r="I89" t="n">
        <v>0</v>
      </c>
      <c r="J89" t="n">
        <v>0</v>
      </c>
      <c r="K89" t="n">
        <v>0</v>
      </c>
      <c r="L89" t="n">
        <v>0</v>
      </c>
      <c r="M89" t="n">
        <v>0</v>
      </c>
      <c r="N89" t="n">
        <v>0</v>
      </c>
      <c r="O89" t="n">
        <v>0</v>
      </c>
      <c r="P89" t="n">
        <v>0</v>
      </c>
      <c r="Q89" t="n">
        <v>0</v>
      </c>
      <c r="R89" s="2" t="inlineStr"/>
    </row>
    <row r="90" ht="15" customHeight="1">
      <c r="A90" t="inlineStr">
        <is>
          <t>A 5910-2022</t>
        </is>
      </c>
      <c r="B90" s="1" t="n">
        <v>44597</v>
      </c>
      <c r="C90" s="1" t="n">
        <v>46180</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27870-2025</t>
        </is>
      </c>
      <c r="B91" s="1" t="n">
        <v>45817</v>
      </c>
      <c r="C91" s="1" t="n">
        <v>46180</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20910-2026</t>
        </is>
      </c>
      <c r="B92" s="1" t="n">
        <v>46142.46608796297</v>
      </c>
      <c r="C92" s="1" t="n">
        <v>46180</v>
      </c>
      <c r="D92" t="inlineStr">
        <is>
          <t>STOCKHOLMS LÄN</t>
        </is>
      </c>
      <c r="E92" t="inlineStr">
        <is>
          <t>VALLENTUNA</t>
        </is>
      </c>
      <c r="G92" t="n">
        <v>1.8</v>
      </c>
      <c r="H92" t="n">
        <v>0</v>
      </c>
      <c r="I92" t="n">
        <v>0</v>
      </c>
      <c r="J92" t="n">
        <v>0</v>
      </c>
      <c r="K92" t="n">
        <v>0</v>
      </c>
      <c r="L92" t="n">
        <v>0</v>
      </c>
      <c r="M92" t="n">
        <v>0</v>
      </c>
      <c r="N92" t="n">
        <v>0</v>
      </c>
      <c r="O92" t="n">
        <v>0</v>
      </c>
      <c r="P92" t="n">
        <v>0</v>
      </c>
      <c r="Q92" t="n">
        <v>0</v>
      </c>
      <c r="R92" s="2" t="inlineStr"/>
    </row>
    <row r="93" ht="15" customHeight="1">
      <c r="A93" t="inlineStr">
        <is>
          <t>A 61646-2025</t>
        </is>
      </c>
      <c r="B93" s="1" t="n">
        <v>46002</v>
      </c>
      <c r="C93" s="1" t="n">
        <v>46180</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26390-2023</t>
        </is>
      </c>
      <c r="B94" s="1" t="n">
        <v>45086</v>
      </c>
      <c r="C94" s="1" t="n">
        <v>46180</v>
      </c>
      <c r="D94" t="inlineStr">
        <is>
          <t>STOCKHOLMS LÄN</t>
        </is>
      </c>
      <c r="E94" t="inlineStr">
        <is>
          <t>VALLENTUNA</t>
        </is>
      </c>
      <c r="G94" t="n">
        <v>1.6</v>
      </c>
      <c r="H94" t="n">
        <v>0</v>
      </c>
      <c r="I94" t="n">
        <v>0</v>
      </c>
      <c r="J94" t="n">
        <v>0</v>
      </c>
      <c r="K94" t="n">
        <v>0</v>
      </c>
      <c r="L94" t="n">
        <v>0</v>
      </c>
      <c r="M94" t="n">
        <v>0</v>
      </c>
      <c r="N94" t="n">
        <v>0</v>
      </c>
      <c r="O94" t="n">
        <v>0</v>
      </c>
      <c r="P94" t="n">
        <v>0</v>
      </c>
      <c r="Q94" t="n">
        <v>0</v>
      </c>
      <c r="R94" s="2" t="inlineStr"/>
    </row>
    <row r="95" ht="15" customHeight="1">
      <c r="A95" t="inlineStr">
        <is>
          <t>A 14799-2026</t>
        </is>
      </c>
      <c r="B95" s="1" t="n">
        <v>46102.82101851852</v>
      </c>
      <c r="C95" s="1" t="n">
        <v>46180</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24707-2023</t>
        </is>
      </c>
      <c r="B96" s="1" t="n">
        <v>45084</v>
      </c>
      <c r="C96" s="1" t="n">
        <v>46180</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12609-2024</t>
        </is>
      </c>
      <c r="B97" s="1" t="n">
        <v>45382.8109375</v>
      </c>
      <c r="C97" s="1" t="n">
        <v>46180</v>
      </c>
      <c r="D97" t="inlineStr">
        <is>
          <t>STOCKHOLMS LÄN</t>
        </is>
      </c>
      <c r="E97" t="inlineStr">
        <is>
          <t>VALLENTUNA</t>
        </is>
      </c>
      <c r="G97" t="n">
        <v>0.9</v>
      </c>
      <c r="H97" t="n">
        <v>0</v>
      </c>
      <c r="I97" t="n">
        <v>0</v>
      </c>
      <c r="J97" t="n">
        <v>0</v>
      </c>
      <c r="K97" t="n">
        <v>0</v>
      </c>
      <c r="L97" t="n">
        <v>0</v>
      </c>
      <c r="M97" t="n">
        <v>0</v>
      </c>
      <c r="N97" t="n">
        <v>0</v>
      </c>
      <c r="O97" t="n">
        <v>0</v>
      </c>
      <c r="P97" t="n">
        <v>0</v>
      </c>
      <c r="Q97" t="n">
        <v>0</v>
      </c>
      <c r="R97" s="2" t="inlineStr"/>
    </row>
    <row r="98" ht="15" customHeight="1">
      <c r="A98" t="inlineStr">
        <is>
          <t>A 47140-2024</t>
        </is>
      </c>
      <c r="B98" s="1" t="n">
        <v>45586.58753472222</v>
      </c>
      <c r="C98" s="1" t="n">
        <v>46180</v>
      </c>
      <c r="D98" t="inlineStr">
        <is>
          <t>STOCKHOLMS LÄN</t>
        </is>
      </c>
      <c r="E98" t="inlineStr">
        <is>
          <t>VALLENTUNA</t>
        </is>
      </c>
      <c r="G98" t="n">
        <v>1</v>
      </c>
      <c r="H98" t="n">
        <v>0</v>
      </c>
      <c r="I98" t="n">
        <v>0</v>
      </c>
      <c r="J98" t="n">
        <v>0</v>
      </c>
      <c r="K98" t="n">
        <v>0</v>
      </c>
      <c r="L98" t="n">
        <v>0</v>
      </c>
      <c r="M98" t="n">
        <v>0</v>
      </c>
      <c r="N98" t="n">
        <v>0</v>
      </c>
      <c r="O98" t="n">
        <v>0</v>
      </c>
      <c r="P98" t="n">
        <v>0</v>
      </c>
      <c r="Q98" t="n">
        <v>0</v>
      </c>
      <c r="R98" s="2" t="inlineStr"/>
    </row>
    <row r="99" ht="15" customHeight="1">
      <c r="A99" t="inlineStr">
        <is>
          <t>A 8565-2025</t>
        </is>
      </c>
      <c r="B99" s="1" t="n">
        <v>45709</v>
      </c>
      <c r="C99" s="1" t="n">
        <v>46180</v>
      </c>
      <c r="D99" t="inlineStr">
        <is>
          <t>STOCKHOLMS LÄN</t>
        </is>
      </c>
      <c r="E99" t="inlineStr">
        <is>
          <t>VALLENTUNA</t>
        </is>
      </c>
      <c r="F99" t="inlineStr">
        <is>
          <t>Kommuner</t>
        </is>
      </c>
      <c r="G99" t="n">
        <v>4.2</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46180</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4803-2024</t>
        </is>
      </c>
      <c r="B101" s="1" t="n">
        <v>45328</v>
      </c>
      <c r="C101" s="1" t="n">
        <v>46180</v>
      </c>
      <c r="D101" t="inlineStr">
        <is>
          <t>STOCKHOLMS LÄN</t>
        </is>
      </c>
      <c r="E101" t="inlineStr">
        <is>
          <t>VALLENTUNA</t>
        </is>
      </c>
      <c r="G101" t="n">
        <v>4.6</v>
      </c>
      <c r="H101" t="n">
        <v>0</v>
      </c>
      <c r="I101" t="n">
        <v>0</v>
      </c>
      <c r="J101" t="n">
        <v>0</v>
      </c>
      <c r="K101" t="n">
        <v>0</v>
      </c>
      <c r="L101" t="n">
        <v>0</v>
      </c>
      <c r="M101" t="n">
        <v>0</v>
      </c>
      <c r="N101" t="n">
        <v>0</v>
      </c>
      <c r="O101" t="n">
        <v>0</v>
      </c>
      <c r="P101" t="n">
        <v>0</v>
      </c>
      <c r="Q101" t="n">
        <v>0</v>
      </c>
      <c r="R101" s="2" t="inlineStr"/>
    </row>
    <row r="102" ht="15" customHeight="1">
      <c r="A102" t="inlineStr">
        <is>
          <t>A 52542-2023</t>
        </is>
      </c>
      <c r="B102" s="1" t="n">
        <v>45225</v>
      </c>
      <c r="C102" s="1" t="n">
        <v>46180</v>
      </c>
      <c r="D102" t="inlineStr">
        <is>
          <t>STOCKHOLMS LÄN</t>
        </is>
      </c>
      <c r="E102" t="inlineStr">
        <is>
          <t>VALLENTUNA</t>
        </is>
      </c>
      <c r="G102" t="n">
        <v>3.8</v>
      </c>
      <c r="H102" t="n">
        <v>0</v>
      </c>
      <c r="I102" t="n">
        <v>0</v>
      </c>
      <c r="J102" t="n">
        <v>0</v>
      </c>
      <c r="K102" t="n">
        <v>0</v>
      </c>
      <c r="L102" t="n">
        <v>0</v>
      </c>
      <c r="M102" t="n">
        <v>0</v>
      </c>
      <c r="N102" t="n">
        <v>0</v>
      </c>
      <c r="O102" t="n">
        <v>0</v>
      </c>
      <c r="P102" t="n">
        <v>0</v>
      </c>
      <c r="Q102" t="n">
        <v>0</v>
      </c>
      <c r="R102" s="2" t="inlineStr"/>
    </row>
    <row r="103" ht="15" customHeight="1">
      <c r="A103" t="inlineStr">
        <is>
          <t>A 11950-2025</t>
        </is>
      </c>
      <c r="B103" s="1" t="n">
        <v>45728.55622685186</v>
      </c>
      <c r="C103" s="1" t="n">
        <v>46180</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14489-2024</t>
        </is>
      </c>
      <c r="B104" s="1" t="n">
        <v>45394.58053240741</v>
      </c>
      <c r="C104" s="1" t="n">
        <v>46180</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52562-2023</t>
        </is>
      </c>
      <c r="B105" s="1" t="n">
        <v>45225</v>
      </c>
      <c r="C105" s="1" t="n">
        <v>46180</v>
      </c>
      <c r="D105" t="inlineStr">
        <is>
          <t>STOCKHOLMS LÄN</t>
        </is>
      </c>
      <c r="E105" t="inlineStr">
        <is>
          <t>VALLENTUNA</t>
        </is>
      </c>
      <c r="G105" t="n">
        <v>3.4</v>
      </c>
      <c r="H105" t="n">
        <v>0</v>
      </c>
      <c r="I105" t="n">
        <v>0</v>
      </c>
      <c r="J105" t="n">
        <v>0</v>
      </c>
      <c r="K105" t="n">
        <v>0</v>
      </c>
      <c r="L105" t="n">
        <v>0</v>
      </c>
      <c r="M105" t="n">
        <v>0</v>
      </c>
      <c r="N105" t="n">
        <v>0</v>
      </c>
      <c r="O105" t="n">
        <v>0</v>
      </c>
      <c r="P105" t="n">
        <v>0</v>
      </c>
      <c r="Q105" t="n">
        <v>0</v>
      </c>
      <c r="R105" s="2" t="inlineStr"/>
    </row>
    <row r="106" ht="15" customHeight="1">
      <c r="A106" t="inlineStr">
        <is>
          <t>A 23013-2024</t>
        </is>
      </c>
      <c r="B106" s="1" t="n">
        <v>45450.35116898148</v>
      </c>
      <c r="C106" s="1" t="n">
        <v>46180</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2318-2024</t>
        </is>
      </c>
      <c r="B107" s="1" t="n">
        <v>45310</v>
      </c>
      <c r="C107" s="1" t="n">
        <v>46180</v>
      </c>
      <c r="D107" t="inlineStr">
        <is>
          <t>STOCKHOLMS LÄN</t>
        </is>
      </c>
      <c r="E107" t="inlineStr">
        <is>
          <t>VALLENTUNA</t>
        </is>
      </c>
      <c r="G107" t="n">
        <v>2.2</v>
      </c>
      <c r="H107" t="n">
        <v>0</v>
      </c>
      <c r="I107" t="n">
        <v>0</v>
      </c>
      <c r="J107" t="n">
        <v>0</v>
      </c>
      <c r="K107" t="n">
        <v>0</v>
      </c>
      <c r="L107" t="n">
        <v>0</v>
      </c>
      <c r="M107" t="n">
        <v>0</v>
      </c>
      <c r="N107" t="n">
        <v>0</v>
      </c>
      <c r="O107" t="n">
        <v>0</v>
      </c>
      <c r="P107" t="n">
        <v>0</v>
      </c>
      <c r="Q107" t="n">
        <v>0</v>
      </c>
      <c r="R107" s="2" t="inlineStr"/>
    </row>
    <row r="108" ht="15" customHeight="1">
      <c r="A108" t="inlineStr">
        <is>
          <t>A 17389-2026</t>
        </is>
      </c>
      <c r="B108" s="1" t="n">
        <v>46119.80603009259</v>
      </c>
      <c r="C108" s="1" t="n">
        <v>46180</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61742-2022</t>
        </is>
      </c>
      <c r="B109" s="1" t="n">
        <v>44917</v>
      </c>
      <c r="C109" s="1" t="n">
        <v>46180</v>
      </c>
      <c r="D109" t="inlineStr">
        <is>
          <t>STOCKHOLMS LÄN</t>
        </is>
      </c>
      <c r="E109" t="inlineStr">
        <is>
          <t>VALLENTUNA</t>
        </is>
      </c>
      <c r="G109" t="n">
        <v>0.5</v>
      </c>
      <c r="H109" t="n">
        <v>0</v>
      </c>
      <c r="I109" t="n">
        <v>0</v>
      </c>
      <c r="J109" t="n">
        <v>0</v>
      </c>
      <c r="K109" t="n">
        <v>0</v>
      </c>
      <c r="L109" t="n">
        <v>0</v>
      </c>
      <c r="M109" t="n">
        <v>0</v>
      </c>
      <c r="N109" t="n">
        <v>0</v>
      </c>
      <c r="O109" t="n">
        <v>0</v>
      </c>
      <c r="P109" t="n">
        <v>0</v>
      </c>
      <c r="Q109" t="n">
        <v>0</v>
      </c>
      <c r="R109" s="2" t="inlineStr"/>
    </row>
    <row r="110" ht="15" customHeight="1">
      <c r="A110" t="inlineStr">
        <is>
          <t>A 17387-2026</t>
        </is>
      </c>
      <c r="B110" s="1" t="n">
        <v>46119.79578703704</v>
      </c>
      <c r="C110" s="1" t="n">
        <v>46180</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46180</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12234-2022</t>
        </is>
      </c>
      <c r="B112" s="1" t="n">
        <v>44637</v>
      </c>
      <c r="C112" s="1" t="n">
        <v>46180</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46180</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12585-2023</t>
        </is>
      </c>
      <c r="B114" s="1" t="n">
        <v>45000.41373842592</v>
      </c>
      <c r="C114" s="1" t="n">
        <v>46180</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8787-2024</t>
        </is>
      </c>
      <c r="B115" s="1" t="n">
        <v>45356</v>
      </c>
      <c r="C115" s="1" t="n">
        <v>46180</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34441-2023</t>
        </is>
      </c>
      <c r="B116" s="1" t="n">
        <v>45139</v>
      </c>
      <c r="C116" s="1" t="n">
        <v>46180</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34445-2023</t>
        </is>
      </c>
      <c r="B117" s="1" t="n">
        <v>45139</v>
      </c>
      <c r="C117" s="1" t="n">
        <v>46180</v>
      </c>
      <c r="D117" t="inlineStr">
        <is>
          <t>STOCKHOLMS LÄN</t>
        </is>
      </c>
      <c r="E117" t="inlineStr">
        <is>
          <t>VALLENTUNA</t>
        </is>
      </c>
      <c r="G117" t="n">
        <v>0.9</v>
      </c>
      <c r="H117" t="n">
        <v>0</v>
      </c>
      <c r="I117" t="n">
        <v>0</v>
      </c>
      <c r="J117" t="n">
        <v>0</v>
      </c>
      <c r="K117" t="n">
        <v>0</v>
      </c>
      <c r="L117" t="n">
        <v>0</v>
      </c>
      <c r="M117" t="n">
        <v>0</v>
      </c>
      <c r="N117" t="n">
        <v>0</v>
      </c>
      <c r="O117" t="n">
        <v>0</v>
      </c>
      <c r="P117" t="n">
        <v>0</v>
      </c>
      <c r="Q117" t="n">
        <v>0</v>
      </c>
      <c r="R117" s="2" t="inlineStr"/>
    </row>
    <row r="118" ht="15" customHeight="1">
      <c r="A118" t="inlineStr">
        <is>
          <t>A 23986-2023</t>
        </is>
      </c>
      <c r="B118" s="1" t="n">
        <v>45078</v>
      </c>
      <c r="C118" s="1" t="n">
        <v>46180</v>
      </c>
      <c r="D118" t="inlineStr">
        <is>
          <t>STOCKHOLMS LÄN</t>
        </is>
      </c>
      <c r="E118" t="inlineStr">
        <is>
          <t>VALLENTUNA</t>
        </is>
      </c>
      <c r="F118" t="inlineStr">
        <is>
          <t>Kyrkan</t>
        </is>
      </c>
      <c r="G118" t="n">
        <v>5.7</v>
      </c>
      <c r="H118" t="n">
        <v>0</v>
      </c>
      <c r="I118" t="n">
        <v>0</v>
      </c>
      <c r="J118" t="n">
        <v>0</v>
      </c>
      <c r="K118" t="n">
        <v>0</v>
      </c>
      <c r="L118" t="n">
        <v>0</v>
      </c>
      <c r="M118" t="n">
        <v>0</v>
      </c>
      <c r="N118" t="n">
        <v>0</v>
      </c>
      <c r="O118" t="n">
        <v>0</v>
      </c>
      <c r="P118" t="n">
        <v>0</v>
      </c>
      <c r="Q118" t="n">
        <v>0</v>
      </c>
      <c r="R118" s="2" t="inlineStr"/>
    </row>
    <row r="119" ht="15" customHeight="1">
      <c r="A119" t="inlineStr">
        <is>
          <t>A 15300-2023</t>
        </is>
      </c>
      <c r="B119" s="1" t="n">
        <v>45019</v>
      </c>
      <c r="C119" s="1" t="n">
        <v>46180</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46180</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46180</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29704-2023</t>
        </is>
      </c>
      <c r="B122" s="1" t="n">
        <v>45107</v>
      </c>
      <c r="C122" s="1" t="n">
        <v>46180</v>
      </c>
      <c r="D122" t="inlineStr">
        <is>
          <t>STOCKHOLMS LÄN</t>
        </is>
      </c>
      <c r="E122" t="inlineStr">
        <is>
          <t>VALLENTUNA</t>
        </is>
      </c>
      <c r="G122" t="n">
        <v>3.7</v>
      </c>
      <c r="H122" t="n">
        <v>0</v>
      </c>
      <c r="I122" t="n">
        <v>0</v>
      </c>
      <c r="J122" t="n">
        <v>0</v>
      </c>
      <c r="K122" t="n">
        <v>0</v>
      </c>
      <c r="L122" t="n">
        <v>0</v>
      </c>
      <c r="M122" t="n">
        <v>0</v>
      </c>
      <c r="N122" t="n">
        <v>0</v>
      </c>
      <c r="O122" t="n">
        <v>0</v>
      </c>
      <c r="P122" t="n">
        <v>0</v>
      </c>
      <c r="Q122" t="n">
        <v>0</v>
      </c>
      <c r="R122" s="2" t="inlineStr"/>
    </row>
    <row r="123" ht="15" customHeight="1">
      <c r="A123" t="inlineStr">
        <is>
          <t>A 21765-2023</t>
        </is>
      </c>
      <c r="B123" s="1" t="n">
        <v>45064</v>
      </c>
      <c r="C123" s="1" t="n">
        <v>46180</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45496-2023</t>
        </is>
      </c>
      <c r="B124" s="1" t="n">
        <v>45194</v>
      </c>
      <c r="C124" s="1" t="n">
        <v>46180</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45499-2023</t>
        </is>
      </c>
      <c r="B125" s="1" t="n">
        <v>45194</v>
      </c>
      <c r="C125" s="1" t="n">
        <v>46180</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14782-2024</t>
        </is>
      </c>
      <c r="B126" s="1" t="n">
        <v>45397.74266203704</v>
      </c>
      <c r="C126" s="1" t="n">
        <v>46180</v>
      </c>
      <c r="D126" t="inlineStr">
        <is>
          <t>STOCKHOLMS LÄN</t>
        </is>
      </c>
      <c r="E126" t="inlineStr">
        <is>
          <t>VALLENTUNA</t>
        </is>
      </c>
      <c r="G126" t="n">
        <v>3.1</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46180</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14775-2024</t>
        </is>
      </c>
      <c r="B128" s="1" t="n">
        <v>45397.73675925926</v>
      </c>
      <c r="C128" s="1" t="n">
        <v>46180</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735-2024</t>
        </is>
      </c>
      <c r="B129" s="1" t="n">
        <v>45300</v>
      </c>
      <c r="C129" s="1" t="n">
        <v>46180</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17411-2023</t>
        </is>
      </c>
      <c r="B130" s="1" t="n">
        <v>45035.82512731481</v>
      </c>
      <c r="C130" s="1" t="n">
        <v>46180</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4804-2024</t>
        </is>
      </c>
      <c r="B131" s="1" t="n">
        <v>45328</v>
      </c>
      <c r="C131" s="1" t="n">
        <v>46180</v>
      </c>
      <c r="D131" t="inlineStr">
        <is>
          <t>STOCKHOLMS LÄN</t>
        </is>
      </c>
      <c r="E131" t="inlineStr">
        <is>
          <t>VALLENTUNA</t>
        </is>
      </c>
      <c r="G131" t="n">
        <v>3</v>
      </c>
      <c r="H131" t="n">
        <v>0</v>
      </c>
      <c r="I131" t="n">
        <v>0</v>
      </c>
      <c r="J131" t="n">
        <v>0</v>
      </c>
      <c r="K131" t="n">
        <v>0</v>
      </c>
      <c r="L131" t="n">
        <v>0</v>
      </c>
      <c r="M131" t="n">
        <v>0</v>
      </c>
      <c r="N131" t="n">
        <v>0</v>
      </c>
      <c r="O131" t="n">
        <v>0</v>
      </c>
      <c r="P131" t="n">
        <v>0</v>
      </c>
      <c r="Q131" t="n">
        <v>0</v>
      </c>
      <c r="R131" s="2" t="inlineStr"/>
    </row>
    <row r="132" ht="15" customHeight="1">
      <c r="A132" t="inlineStr">
        <is>
          <t>A 24740-2026</t>
        </is>
      </c>
      <c r="B132" s="1" t="n">
        <v>46171</v>
      </c>
      <c r="C132" s="1" t="n">
        <v>46180</v>
      </c>
      <c r="D132" t="inlineStr">
        <is>
          <t>STOCKHOLMS LÄN</t>
        </is>
      </c>
      <c r="E132" t="inlineStr">
        <is>
          <t>VALLENTUNA</t>
        </is>
      </c>
      <c r="F132" t="inlineStr">
        <is>
          <t>Övriga Aktiebolag</t>
        </is>
      </c>
      <c r="G132" t="n">
        <v>5.7</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46180</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38102-2024</t>
        </is>
      </c>
      <c r="B134" s="1" t="n">
        <v>45545.36349537037</v>
      </c>
      <c r="C134" s="1" t="n">
        <v>46180</v>
      </c>
      <c r="D134" t="inlineStr">
        <is>
          <t>STOCKHOLMS LÄN</t>
        </is>
      </c>
      <c r="E134" t="inlineStr">
        <is>
          <t>VALLENTUNA</t>
        </is>
      </c>
      <c r="G134" t="n">
        <v>3.2</v>
      </c>
      <c r="H134" t="n">
        <v>0</v>
      </c>
      <c r="I134" t="n">
        <v>0</v>
      </c>
      <c r="J134" t="n">
        <v>0</v>
      </c>
      <c r="K134" t="n">
        <v>0</v>
      </c>
      <c r="L134" t="n">
        <v>0</v>
      </c>
      <c r="M134" t="n">
        <v>0</v>
      </c>
      <c r="N134" t="n">
        <v>0</v>
      </c>
      <c r="O134" t="n">
        <v>0</v>
      </c>
      <c r="P134" t="n">
        <v>0</v>
      </c>
      <c r="Q134" t="n">
        <v>0</v>
      </c>
      <c r="R134" s="2" t="inlineStr"/>
    </row>
    <row r="135" ht="15" customHeight="1">
      <c r="A135" t="inlineStr">
        <is>
          <t>A 25740-2026</t>
        </is>
      </c>
      <c r="B135" s="1" t="n">
        <v>46178.42768518518</v>
      </c>
      <c r="C135" s="1" t="n">
        <v>46180</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17340-2025</t>
        </is>
      </c>
      <c r="B136" s="1" t="n">
        <v>45756</v>
      </c>
      <c r="C136" s="1" t="n">
        <v>46180</v>
      </c>
      <c r="D136" t="inlineStr">
        <is>
          <t>STOCKHOLMS LÄN</t>
        </is>
      </c>
      <c r="E136" t="inlineStr">
        <is>
          <t>VALLENTUNA</t>
        </is>
      </c>
      <c r="F136" t="inlineStr">
        <is>
          <t>Övriga Aktiebolag</t>
        </is>
      </c>
      <c r="G136" t="n">
        <v>2.6</v>
      </c>
      <c r="H136" t="n">
        <v>0</v>
      </c>
      <c r="I136" t="n">
        <v>0</v>
      </c>
      <c r="J136" t="n">
        <v>0</v>
      </c>
      <c r="K136" t="n">
        <v>0</v>
      </c>
      <c r="L136" t="n">
        <v>0</v>
      </c>
      <c r="M136" t="n">
        <v>0</v>
      </c>
      <c r="N136" t="n">
        <v>0</v>
      </c>
      <c r="O136" t="n">
        <v>0</v>
      </c>
      <c r="P136" t="n">
        <v>0</v>
      </c>
      <c r="Q136" t="n">
        <v>0</v>
      </c>
      <c r="R136" s="2" t="inlineStr"/>
    </row>
    <row r="137" ht="15" customHeight="1">
      <c r="A137" t="inlineStr">
        <is>
          <t>A 20791-2025</t>
        </is>
      </c>
      <c r="B137" s="1" t="n">
        <v>45776.62738425926</v>
      </c>
      <c r="C137" s="1" t="n">
        <v>46180</v>
      </c>
      <c r="D137" t="inlineStr">
        <is>
          <t>STOCKHOLMS LÄN</t>
        </is>
      </c>
      <c r="E137" t="inlineStr">
        <is>
          <t>VALLENTUNA</t>
        </is>
      </c>
      <c r="G137" t="n">
        <v>1.5</v>
      </c>
      <c r="H137" t="n">
        <v>0</v>
      </c>
      <c r="I137" t="n">
        <v>0</v>
      </c>
      <c r="J137" t="n">
        <v>0</v>
      </c>
      <c r="K137" t="n">
        <v>0</v>
      </c>
      <c r="L137" t="n">
        <v>0</v>
      </c>
      <c r="M137" t="n">
        <v>0</v>
      </c>
      <c r="N137" t="n">
        <v>0</v>
      </c>
      <c r="O137" t="n">
        <v>0</v>
      </c>
      <c r="P137" t="n">
        <v>0</v>
      </c>
      <c r="Q137" t="n">
        <v>0</v>
      </c>
      <c r="R137" s="2" t="inlineStr"/>
    </row>
    <row r="138" ht="15" customHeight="1">
      <c r="A138" t="inlineStr">
        <is>
          <t>A 10073-2024</t>
        </is>
      </c>
      <c r="B138" s="1" t="n">
        <v>45364.40821759259</v>
      </c>
      <c r="C138" s="1" t="n">
        <v>46180</v>
      </c>
      <c r="D138" t="inlineStr">
        <is>
          <t>STOCKHOLMS LÄN</t>
        </is>
      </c>
      <c r="E138" t="inlineStr">
        <is>
          <t>VALLENTUNA</t>
        </is>
      </c>
      <c r="G138" t="n">
        <v>1.1</v>
      </c>
      <c r="H138" t="n">
        <v>0</v>
      </c>
      <c r="I138" t="n">
        <v>0</v>
      </c>
      <c r="J138" t="n">
        <v>0</v>
      </c>
      <c r="K138" t="n">
        <v>0</v>
      </c>
      <c r="L138" t="n">
        <v>0</v>
      </c>
      <c r="M138" t="n">
        <v>0</v>
      </c>
      <c r="N138" t="n">
        <v>0</v>
      </c>
      <c r="O138" t="n">
        <v>0</v>
      </c>
      <c r="P138" t="n">
        <v>0</v>
      </c>
      <c r="Q138" t="n">
        <v>0</v>
      </c>
      <c r="R138" s="2" t="inlineStr"/>
    </row>
    <row r="139" ht="15" customHeight="1">
      <c r="A139" t="inlineStr">
        <is>
          <t>A 34452-2021</t>
        </is>
      </c>
      <c r="B139" s="1" t="n">
        <v>44381</v>
      </c>
      <c r="C139" s="1" t="n">
        <v>46180</v>
      </c>
      <c r="D139" t="inlineStr">
        <is>
          <t>STOCKHOLMS LÄN</t>
        </is>
      </c>
      <c r="E139" t="inlineStr">
        <is>
          <t>VALLENTUNA</t>
        </is>
      </c>
      <c r="G139" t="n">
        <v>14.7</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46180</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46180</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61027-2023</t>
        </is>
      </c>
      <c r="B142" s="1" t="n">
        <v>45261</v>
      </c>
      <c r="C142" s="1" t="n">
        <v>46180</v>
      </c>
      <c r="D142" t="inlineStr">
        <is>
          <t>STOCKHOLMS LÄN</t>
        </is>
      </c>
      <c r="E142" t="inlineStr">
        <is>
          <t>VALLENTUNA</t>
        </is>
      </c>
      <c r="G142" t="n">
        <v>7.1</v>
      </c>
      <c r="H142" t="n">
        <v>0</v>
      </c>
      <c r="I142" t="n">
        <v>0</v>
      </c>
      <c r="J142" t="n">
        <v>0</v>
      </c>
      <c r="K142" t="n">
        <v>0</v>
      </c>
      <c r="L142" t="n">
        <v>0</v>
      </c>
      <c r="M142" t="n">
        <v>0</v>
      </c>
      <c r="N142" t="n">
        <v>0</v>
      </c>
      <c r="O142" t="n">
        <v>0</v>
      </c>
      <c r="P142" t="n">
        <v>0</v>
      </c>
      <c r="Q142" t="n">
        <v>0</v>
      </c>
      <c r="R142" s="2" t="inlineStr"/>
    </row>
    <row r="143" ht="15" customHeight="1">
      <c r="A143" t="inlineStr">
        <is>
          <t>A 23009-2024</t>
        </is>
      </c>
      <c r="B143" s="1" t="n">
        <v>45450.34506944445</v>
      </c>
      <c r="C143" s="1" t="n">
        <v>46180</v>
      </c>
      <c r="D143" t="inlineStr">
        <is>
          <t>STOCKHOLMS LÄN</t>
        </is>
      </c>
      <c r="E143" t="inlineStr">
        <is>
          <t>VALLENTUNA</t>
        </is>
      </c>
      <c r="G143" t="n">
        <v>1.4</v>
      </c>
      <c r="H143" t="n">
        <v>0</v>
      </c>
      <c r="I143" t="n">
        <v>0</v>
      </c>
      <c r="J143" t="n">
        <v>0</v>
      </c>
      <c r="K143" t="n">
        <v>0</v>
      </c>
      <c r="L143" t="n">
        <v>0</v>
      </c>
      <c r="M143" t="n">
        <v>0</v>
      </c>
      <c r="N143" t="n">
        <v>0</v>
      </c>
      <c r="O143" t="n">
        <v>0</v>
      </c>
      <c r="P143" t="n">
        <v>0</v>
      </c>
      <c r="Q143" t="n">
        <v>0</v>
      </c>
      <c r="R143" s="2" t="inlineStr"/>
    </row>
    <row r="144" ht="15" customHeight="1">
      <c r="A144" t="inlineStr">
        <is>
          <t>A 25752-2026</t>
        </is>
      </c>
      <c r="B144" s="1" t="n">
        <v>46178.43386574074</v>
      </c>
      <c r="C144" s="1" t="n">
        <v>46180</v>
      </c>
      <c r="D144" t="inlineStr">
        <is>
          <t>STOCKHOLMS LÄN</t>
        </is>
      </c>
      <c r="E144" t="inlineStr">
        <is>
          <t>VALLENTUNA</t>
        </is>
      </c>
      <c r="G144" t="n">
        <v>2.6</v>
      </c>
      <c r="H144" t="n">
        <v>0</v>
      </c>
      <c r="I144" t="n">
        <v>0</v>
      </c>
      <c r="J144" t="n">
        <v>0</v>
      </c>
      <c r="K144" t="n">
        <v>0</v>
      </c>
      <c r="L144" t="n">
        <v>0</v>
      </c>
      <c r="M144" t="n">
        <v>0</v>
      </c>
      <c r="N144" t="n">
        <v>0</v>
      </c>
      <c r="O144" t="n">
        <v>0</v>
      </c>
      <c r="P144" t="n">
        <v>0</v>
      </c>
      <c r="Q144" t="n">
        <v>0</v>
      </c>
      <c r="R144" s="2" t="inlineStr"/>
    </row>
    <row r="145">
      <c r="A145" t="inlineStr">
        <is>
          <t>A 20914-2026</t>
        </is>
      </c>
      <c r="B145" s="1" t="n">
        <v>46142</v>
      </c>
      <c r="C145" s="1" t="n">
        <v>46180</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2026-06-07T10:33:53Z</dcterms:created>
  <dcterms:modified xmlns:dcterms="http://purl.org/dc/terms/" xmlns:xsi="http://www.w3.org/2001/XMLSchema-instance" xsi:type="dcterms:W3CDTF">2026-06-07T10:33:54Z</dcterms:modified>
</cp:coreProperties>
</file>