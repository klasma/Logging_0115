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46260</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46260</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46260</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46260</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46260</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46260</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46260</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46260</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46260</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46260</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46260</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46260</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46260</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46260</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48717-2024</t>
        </is>
      </c>
      <c r="B16" t="inlineStr">
        <is>
          <t>avverkningsanmälan</t>
        </is>
      </c>
      <c r="C16" t="inlineStr">
        <is>
          <t>Föryngringsavverkning</t>
        </is>
      </c>
      <c r="D16" s="1" t="n">
        <v>45593</v>
      </c>
      <c r="E16" s="1" t="n">
        <v>46260</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t="n">
        <v>2</v>
      </c>
      <c r="V16" s="2" t="inlineStr">
        <is>
          <t>Ullticka
Tjäder
Kungsfågel</t>
        </is>
      </c>
      <c r="W16">
        <f>HYPERLINK("https://klasma.github.io/Logging_0115/artfynd/A 48717-2024 artfynd.xlsx", "A 48717-2024")</f>
        <v/>
      </c>
      <c r="X16">
        <f>HYPERLINK("https://klasma.github.io/Logging_0115/kartor/A 48717-2024 karta.png", "A 48717-2024")</f>
        <v/>
      </c>
      <c r="Y16">
        <f>HYPERLINK("https://klasma.github.io/Logging_0115/kartor_geotiff/A 48717-2024 georefererad karta.tif", "A 48717-2024")</f>
        <v/>
      </c>
      <c r="AA16">
        <f>HYPERLINK("https://klasma.github.io/Logging_0115/klagomål/A 48717-2024 FSC-klagomål.docx", "A 48717-2024")</f>
        <v/>
      </c>
      <c r="AB16">
        <f>HYPERLINK("https://klasma.github.io/Logging_0115/klagomålsmail/A 48717-2024 FSC-klagomål mail.docx", "A 48717-2024")</f>
        <v/>
      </c>
      <c r="AC16">
        <f>HYPERLINK("https://klasma.github.io/Logging_0115/tillsyn/A 48717-2024 tillsynsbegäran.docx", "A 48717-2024")</f>
        <v/>
      </c>
      <c r="AD16">
        <f>HYPERLINK("https://klasma.github.io/Logging_0115/tillsynsmail/A 48717-2024 tillsynsbegäran mail.docx", "A 48717-2024")</f>
        <v/>
      </c>
      <c r="AE16">
        <f>HYPERLINK("https://klasma.github.io/Logging_0115/fåglar/A 48717-2024 prioriterade fågelarter.docx", "A 48717-2024")</f>
        <v/>
      </c>
    </row>
    <row r="17" ht="15" customHeight="1">
      <c r="A17" t="inlineStr">
        <is>
          <t>A 9807-2026</t>
        </is>
      </c>
      <c r="B17" t="inlineStr">
        <is>
          <t>avverkningsanmälan</t>
        </is>
      </c>
      <c r="C17" t="inlineStr">
        <is>
          <t>Avverkning för annat ändamål</t>
        </is>
      </c>
      <c r="D17" s="1" t="n">
        <v>46072</v>
      </c>
      <c r="E17" s="1" t="n">
        <v>46260</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9745-2022</t>
        </is>
      </c>
      <c r="B18" t="inlineStr">
        <is>
          <t>avverkningsanmälan</t>
        </is>
      </c>
      <c r="C18" t="inlineStr">
        <is>
          <t>Föryngringsavverkning</t>
        </is>
      </c>
      <c r="D18" s="1" t="n">
        <v>44618</v>
      </c>
      <c r="E18" s="1" t="n">
        <v>46260</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46260</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46260</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46260</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46260</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46260</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46260</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46260</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46260</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46260</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12401-2026</t>
        </is>
      </c>
      <c r="B28" t="inlineStr">
        <is>
          <t>avverkningsanmälan</t>
        </is>
      </c>
      <c r="C28" t="inlineStr">
        <is>
          <t>Föryngringsavverkning</t>
        </is>
      </c>
      <c r="D28" s="1" t="n">
        <v>46090</v>
      </c>
      <c r="E28" s="1" t="n">
        <v>46260</v>
      </c>
      <c r="F28" t="inlineStr">
        <is>
          <t>STOCKHOLMS LÄN</t>
        </is>
      </c>
      <c r="G28" t="inlineStr">
        <is>
          <t>VALLENTUNA</t>
        </is>
      </c>
      <c r="I28" t="n">
        <v>5.9</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HYPERLINK("https://klasma.github.io/Logging_0115/artfynd/A 12401-2026 artfynd.xlsx", "A 12401-2026")</f>
        <v/>
      </c>
      <c r="X28">
        <f>HYPERLINK("https://klasma.github.io/Logging_0115/kartor/A 12401-2026 karta.png", "A 12401-2026")</f>
        <v/>
      </c>
      <c r="Y28">
        <f>HYPERLINK("https://klasma.github.io/Logging_0115/kartor_geotiff/A 12401-2026 georefererad karta.tif", "A 12401-2026")</f>
        <v/>
      </c>
      <c r="AA28">
        <f>HYPERLINK("https://klasma.github.io/Logging_0115/klagomål/A 12401-2026 FSC-klagomål.docx", "A 12401-2026")</f>
        <v/>
      </c>
      <c r="AB28">
        <f>HYPERLINK("https://klasma.github.io/Logging_0115/klagomålsmail/A 12401-2026 FSC-klagomål mail.docx", "A 12401-2026")</f>
        <v/>
      </c>
      <c r="AC28">
        <f>HYPERLINK("https://klasma.github.io/Logging_0115/tillsyn/A 12401-2026 tillsynsbegäran.docx", "A 12401-2026")</f>
        <v/>
      </c>
      <c r="AD28">
        <f>HYPERLINK("https://klasma.github.io/Logging_0115/tillsynsmail/A 12401-2026 tillsynsbegäran mail.docx", "A 12401-2026")</f>
        <v/>
      </c>
      <c r="AE28">
        <f>HYPERLINK("https://klasma.github.io/Logging_0115/fåglar/A 12401-2026 prioriterade fågelarter.docx", "A 12401-2026")</f>
        <v/>
      </c>
    </row>
    <row r="29" ht="15" customHeight="1">
      <c r="A29" t="inlineStr">
        <is>
          <t>A 12396-2026</t>
        </is>
      </c>
      <c r="B29" t="inlineStr">
        <is>
          <t>avverkningsanmälan</t>
        </is>
      </c>
      <c r="C29" t="inlineStr">
        <is>
          <t>Föryngringsavverkning</t>
        </is>
      </c>
      <c r="D29" s="1" t="n">
        <v>46090</v>
      </c>
      <c r="E29" s="1" t="n">
        <v>46260</v>
      </c>
      <c r="F29" t="inlineStr">
        <is>
          <t>STOCKHOLMS LÄN</t>
        </is>
      </c>
      <c r="G29" t="inlineStr">
        <is>
          <t>VALLENTUNA</t>
        </is>
      </c>
      <c r="I29" t="n">
        <v>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HYPERLINK("https://klasma.github.io/Logging_0115/artfynd/A 12396-2026 artfynd.xlsx", "A 12396-2026")</f>
        <v/>
      </c>
      <c r="X29">
        <f>HYPERLINK("https://klasma.github.io/Logging_0115/kartor/A 12396-2026 karta.png", "A 12396-2026")</f>
        <v/>
      </c>
      <c r="Y29">
        <f>HYPERLINK("https://klasma.github.io/Logging_0115/kartor_geotiff/A 12396-2026 georefererad karta.tif", "A 12396-2026")</f>
        <v/>
      </c>
      <c r="AA29">
        <f>HYPERLINK("https://klasma.github.io/Logging_0115/klagomål/A 12396-2026 FSC-klagomål.docx", "A 12396-2026")</f>
        <v/>
      </c>
      <c r="AB29">
        <f>HYPERLINK("https://klasma.github.io/Logging_0115/klagomålsmail/A 12396-2026 FSC-klagomål mail.docx", "A 12396-2026")</f>
        <v/>
      </c>
      <c r="AC29">
        <f>HYPERLINK("https://klasma.github.io/Logging_0115/tillsyn/A 12396-2026 tillsynsbegäran.docx", "A 12396-2026")</f>
        <v/>
      </c>
      <c r="AD29">
        <f>HYPERLINK("https://klasma.github.io/Logging_0115/tillsynsmail/A 12396-2026 tillsynsbegäran mail.docx", "A 12396-2026")</f>
        <v/>
      </c>
      <c r="AE29">
        <f>HYPERLINK("https://klasma.github.io/Logging_0115/fåglar/A 12396-2026 prioriterade fågelarter.docx", "A 12396-2026")</f>
        <v/>
      </c>
    </row>
    <row r="30" ht="15" customHeight="1">
      <c r="A30" t="inlineStr">
        <is>
          <t>A 7890-2023</t>
        </is>
      </c>
      <c r="B30" t="inlineStr">
        <is>
          <t>avverkningsanmälan</t>
        </is>
      </c>
      <c r="C30" t="inlineStr">
        <is>
          <t>Föryngringsavverkning</t>
        </is>
      </c>
      <c r="D30" s="1" t="n">
        <v>44973</v>
      </c>
      <c r="E30" s="1" t="n">
        <v>46260</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54460-2025</t>
        </is>
      </c>
      <c r="B31" t="inlineStr">
        <is>
          <t>avverkningsanmälan</t>
        </is>
      </c>
      <c r="C31" t="inlineStr">
        <is>
          <t>Föryngringsavverkning</t>
        </is>
      </c>
      <c r="D31" s="1" t="n">
        <v>45965</v>
      </c>
      <c r="E31" s="1" t="n">
        <v>46260</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46260</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22830-2024</t>
        </is>
      </c>
      <c r="B33" t="inlineStr">
        <is>
          <t>avverkningsanmälan</t>
        </is>
      </c>
      <c r="C33" t="inlineStr">
        <is>
          <t>Föryngringsavverkning</t>
        </is>
      </c>
      <c r="D33" s="1" t="n">
        <v>45448</v>
      </c>
      <c r="E33" s="1" t="n">
        <v>46260</v>
      </c>
      <c r="F33" t="inlineStr">
        <is>
          <t>STOCKHOLMS LÄN</t>
        </is>
      </c>
      <c r="G33" t="inlineStr">
        <is>
          <t>VALLENTUNA</t>
        </is>
      </c>
      <c r="I33" t="n">
        <v>0.3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HYPERLINK("https://klasma.github.io/Logging_0115/artfynd/A 22830-2024 artfynd.xlsx", "A 22830-2024")</f>
        <v/>
      </c>
      <c r="X33">
        <f>HYPERLINK("https://klasma.github.io/Logging_0115/kartor/A 22830-2024 karta.png", "A 22830-2024")</f>
        <v/>
      </c>
      <c r="Y33">
        <f>HYPERLINK("https://klasma.github.io/Logging_0115/kartor_geotiff/A 22830-2024 georefererad karta.tif", "A 22830-2024")</f>
        <v/>
      </c>
      <c r="AA33">
        <f>HYPERLINK("https://klasma.github.io/Logging_0115/klagomål/A 22830-2024 FSC-klagomål.docx", "A 22830-2024")</f>
        <v/>
      </c>
      <c r="AB33">
        <f>HYPERLINK("https://klasma.github.io/Logging_0115/klagomålsmail/A 22830-2024 FSC-klagomål mail.docx", "A 22830-2024")</f>
        <v/>
      </c>
      <c r="AC33">
        <f>HYPERLINK("https://klasma.github.io/Logging_0115/tillsyn/A 22830-2024 tillsynsbegäran.docx", "A 22830-2024")</f>
        <v/>
      </c>
      <c r="AD33">
        <f>HYPERLINK("https://klasma.github.io/Logging_0115/tillsynsmail/A 22830-2024 tillsynsbegäran mail.docx", "A 22830-2024")</f>
        <v/>
      </c>
    </row>
    <row r="34" ht="15" customHeight="1">
      <c r="A34" t="inlineStr">
        <is>
          <t>A 20910-2026</t>
        </is>
      </c>
      <c r="B34" t="inlineStr">
        <is>
          <t>avverkningsanmälan</t>
        </is>
      </c>
      <c r="C34" t="inlineStr">
        <is>
          <t>Föryngringsavverkning</t>
        </is>
      </c>
      <c r="D34" s="1" t="n">
        <v>46142</v>
      </c>
      <c r="E34" s="1" t="n">
        <v>46260</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17348-2025</t>
        </is>
      </c>
      <c r="B35" t="inlineStr">
        <is>
          <t>avverkningsanmälan</t>
        </is>
      </c>
      <c r="C35" t="inlineStr">
        <is>
          <t>Föryngringsavverkning</t>
        </is>
      </c>
      <c r="D35" s="1" t="n">
        <v>45756</v>
      </c>
      <c r="E35" s="1" t="n">
        <v>46260</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20914-2026</t>
        </is>
      </c>
      <c r="B36" t="inlineStr">
        <is>
          <t>avverkningsanmälan</t>
        </is>
      </c>
      <c r="C36" t="inlineStr">
        <is>
          <t>Avverkning för att bevara och utveckla /försöksver</t>
        </is>
      </c>
      <c r="D36" s="1" t="n">
        <v>46142</v>
      </c>
      <c r="E36" s="1" t="n">
        <v>46260</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34458-2023</t>
        </is>
      </c>
      <c r="B37" t="inlineStr">
        <is>
          <t>avverkningsanmälan</t>
        </is>
      </c>
      <c r="C37" t="inlineStr">
        <is>
          <t>Föryngringsavverkning</t>
        </is>
      </c>
      <c r="D37" s="1" t="n">
        <v>45139</v>
      </c>
      <c r="E37" s="1" t="n">
        <v>46260</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46260</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21-2022</t>
        </is>
      </c>
      <c r="B39" t="inlineStr">
        <is>
          <t>avverkningsanmälan</t>
        </is>
      </c>
      <c r="C39" t="inlineStr">
        <is>
          <t>Föryngringsavverkning</t>
        </is>
      </c>
      <c r="D39" s="1" t="n">
        <v>44560</v>
      </c>
      <c r="E39" s="1" t="n">
        <v>46260</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46260</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46260</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46260</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46260</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46260</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46260</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46260</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46260</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46260</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46260</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46260</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46260</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46260</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46260</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61742-2022</t>
        </is>
      </c>
      <c r="B54" t="inlineStr">
        <is>
          <t>avverkningsanmälan</t>
        </is>
      </c>
      <c r="C54" t="inlineStr">
        <is>
          <t>Avverkning för annat ändamål</t>
        </is>
      </c>
      <c r="D54" s="1" t="n">
        <v>44917</v>
      </c>
      <c r="E54" s="1" t="n">
        <v>46260</v>
      </c>
      <c r="F54" t="inlineStr">
        <is>
          <t>STOCKHOLMS LÄN</t>
        </is>
      </c>
      <c r="G54" t="inlineStr">
        <is>
          <t>VALLENTUNA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12562-2023</t>
        </is>
      </c>
      <c r="B55" t="inlineStr">
        <is>
          <t>avverkningsanmälan</t>
        </is>
      </c>
      <c r="C55" t="inlineStr">
        <is>
          <t>Föryngringsavverkning</t>
        </is>
      </c>
      <c r="D55" s="1" t="n">
        <v>45000</v>
      </c>
      <c r="E55" s="1" t="n">
        <v>46260</v>
      </c>
      <c r="F55" t="inlineStr">
        <is>
          <t>STOCKHOLMS LÄN</t>
        </is>
      </c>
      <c r="G55" t="inlineStr">
        <is>
          <t>VALLENTUNA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6298-2026</t>
        </is>
      </c>
      <c r="B56" t="inlineStr">
        <is>
          <t>avverkningsanmälan</t>
        </is>
      </c>
      <c r="C56" t="inlineStr">
        <is>
          <t>Föryngringsavverkning</t>
        </is>
      </c>
      <c r="D56" s="1" t="n">
        <v>46055</v>
      </c>
      <c r="E56" s="1" t="n">
        <v>46260</v>
      </c>
      <c r="F56" t="inlineStr">
        <is>
          <t>STOCKHOLMS LÄN</t>
        </is>
      </c>
      <c r="G56" t="inlineStr">
        <is>
          <t>VALLENTUNA</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46260</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17340-2025</t>
        </is>
      </c>
      <c r="B58" t="inlineStr">
        <is>
          <t>avverkningsanmälan</t>
        </is>
      </c>
      <c r="C58" t="inlineStr">
        <is>
          <t>Föryngringsavverkning</t>
        </is>
      </c>
      <c r="D58" s="1" t="n">
        <v>45756</v>
      </c>
      <c r="E58" s="1" t="n">
        <v>46260</v>
      </c>
      <c r="F58" t="inlineStr">
        <is>
          <t>STOCKHOLMS LÄN</t>
        </is>
      </c>
      <c r="G58" t="inlineStr">
        <is>
          <t>VALLENTUNA</t>
        </is>
      </c>
      <c r="H58" t="inlineStr">
        <is>
          <t>Övriga Aktiebolag</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45496-2023</t>
        </is>
      </c>
      <c r="B59" t="inlineStr">
        <is>
          <t>avverkningsanmälan</t>
        </is>
      </c>
      <c r="C59" t="inlineStr">
        <is>
          <t>Föryngringsavverkning</t>
        </is>
      </c>
      <c r="D59" s="1" t="n">
        <v>45194</v>
      </c>
      <c r="E59" s="1" t="n">
        <v>46260</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29704-2023</t>
        </is>
      </c>
      <c r="B60" t="inlineStr">
        <is>
          <t>avverkningsanmälan</t>
        </is>
      </c>
      <c r="C60" t="inlineStr">
        <is>
          <t>Föryngringsavverkning</t>
        </is>
      </c>
      <c r="D60" s="1" t="n">
        <v>45107</v>
      </c>
      <c r="E60" s="1" t="n">
        <v>46260</v>
      </c>
      <c r="F60" t="inlineStr">
        <is>
          <t>STOCKHOLMS LÄN</t>
        </is>
      </c>
      <c r="G60" t="inlineStr">
        <is>
          <t>VALLENTUNA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12400-2026</t>
        </is>
      </c>
      <c r="B61" t="inlineStr">
        <is>
          <t>avverkningsanmälan</t>
        </is>
      </c>
      <c r="C61" t="inlineStr">
        <is>
          <t>Föryngringsavverkning</t>
        </is>
      </c>
      <c r="D61" s="1" t="n">
        <v>46090</v>
      </c>
      <c r="E61" s="1" t="n">
        <v>46260</v>
      </c>
      <c r="F61" t="inlineStr">
        <is>
          <t>STOCKHOLMS LÄN</t>
        </is>
      </c>
      <c r="G61" t="inlineStr">
        <is>
          <t>VALLENTUNA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12609-2024</t>
        </is>
      </c>
      <c r="B62" t="inlineStr">
        <is>
          <t>avverkningsanmälan</t>
        </is>
      </c>
      <c r="C62" t="inlineStr">
        <is>
          <t>Avverkning för annat ändamål</t>
        </is>
      </c>
      <c r="D62" s="1" t="n">
        <v>45382</v>
      </c>
      <c r="E62" s="1" t="n">
        <v>46260</v>
      </c>
      <c r="F62" t="inlineStr">
        <is>
          <t>STOCKHOLMS LÄN</t>
        </is>
      </c>
      <c r="G62" t="inlineStr">
        <is>
          <t>VALLENTUNA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48014-2025</t>
        </is>
      </c>
      <c r="B63" t="inlineStr">
        <is>
          <t>avverkningsanmälan</t>
        </is>
      </c>
      <c r="C63" t="inlineStr">
        <is>
          <t>Föryngringsavverkning</t>
        </is>
      </c>
      <c r="D63" s="1" t="n">
        <v>45932</v>
      </c>
      <c r="E63" s="1" t="n">
        <v>46260</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48038-2025</t>
        </is>
      </c>
      <c r="B64" t="inlineStr">
        <is>
          <t>avverkningsanmälan</t>
        </is>
      </c>
      <c r="C64" t="inlineStr">
        <is>
          <t>Föryngringsavverkning</t>
        </is>
      </c>
      <c r="D64" s="1" t="n">
        <v>45932</v>
      </c>
      <c r="E64" s="1" t="n">
        <v>46260</v>
      </c>
      <c r="F64" t="inlineStr">
        <is>
          <t>STOCKHOLMS LÄN</t>
        </is>
      </c>
      <c r="G64" t="inlineStr">
        <is>
          <t>VALLENTUNA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13836-2022</t>
        </is>
      </c>
      <c r="B65" t="inlineStr">
        <is>
          <t>avverkningsanmälan</t>
        </is>
      </c>
      <c r="C65" t="inlineStr">
        <is>
          <t>Föryngringsavverkning</t>
        </is>
      </c>
      <c r="D65" s="1" t="n">
        <v>44649</v>
      </c>
      <c r="E65" s="1" t="n">
        <v>46260</v>
      </c>
      <c r="F65" t="inlineStr">
        <is>
          <t>STOCKHOLMS LÄN</t>
        </is>
      </c>
      <c r="G65" t="inlineStr">
        <is>
          <t>VALLENTUNA</t>
        </is>
      </c>
      <c r="I65" t="n">
        <v>3.5</v>
      </c>
      <c r="J65" t="n">
        <v>0</v>
      </c>
      <c r="K65" t="n">
        <v>0</v>
      </c>
      <c r="L65" t="n">
        <v>0</v>
      </c>
      <c r="M65" t="n">
        <v>0</v>
      </c>
      <c r="N65" t="n">
        <v>0</v>
      </c>
      <c r="O65" t="n">
        <v>0</v>
      </c>
      <c r="P65" t="n">
        <v>0</v>
      </c>
      <c r="Q65" t="n">
        <v>0</v>
      </c>
      <c r="R65" t="n">
        <v>0</v>
      </c>
      <c r="S65" t="n">
        <v>0</v>
      </c>
      <c r="T65" t="n">
        <v>0</v>
      </c>
      <c r="U65" t="n">
        <v>0</v>
      </c>
      <c r="V65" s="2" t="inlineStr"/>
    </row>
    <row r="66" ht="15" customHeight="1">
      <c r="A66" t="inlineStr">
        <is>
          <t>A 14799-2026</t>
        </is>
      </c>
      <c r="B66" t="inlineStr">
        <is>
          <t>avverkningsanmälan</t>
        </is>
      </c>
      <c r="C66" t="inlineStr">
        <is>
          <t>Föryngringsavverkning</t>
        </is>
      </c>
      <c r="D66" s="1" t="n">
        <v>46102</v>
      </c>
      <c r="E66" s="1" t="n">
        <v>46260</v>
      </c>
      <c r="F66" t="inlineStr">
        <is>
          <t>STOCKHOLMS LÄN</t>
        </is>
      </c>
      <c r="G66" t="inlineStr">
        <is>
          <t>VALLENTUNA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24707-2023</t>
        </is>
      </c>
      <c r="B67" t="inlineStr">
        <is>
          <t>avverkningsanmälan</t>
        </is>
      </c>
      <c r="C67" t="inlineStr">
        <is>
          <t>Föryngringsavverkning</t>
        </is>
      </c>
      <c r="D67" s="1" t="n">
        <v>45084</v>
      </c>
      <c r="E67" s="1" t="n">
        <v>46260</v>
      </c>
      <c r="F67" t="inlineStr">
        <is>
          <t>STOCKHOLMS LÄN</t>
        </is>
      </c>
      <c r="G67" t="inlineStr">
        <is>
          <t>VALLENTUNA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30902-2025</t>
        </is>
      </c>
      <c r="B68" t="inlineStr">
        <is>
          <t>avverkningsanmälan</t>
        </is>
      </c>
      <c r="C68" t="inlineStr">
        <is>
          <t>Föryngringsavverkning</t>
        </is>
      </c>
      <c r="D68" s="1" t="n">
        <v>45832</v>
      </c>
      <c r="E68" s="1" t="n">
        <v>46260</v>
      </c>
      <c r="F68" t="inlineStr">
        <is>
          <t>STOCKHOLMS LÄN</t>
        </is>
      </c>
      <c r="G68" t="inlineStr">
        <is>
          <t>VALLENTUNA</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4804-2024</t>
        </is>
      </c>
      <c r="B69" t="inlineStr">
        <is>
          <t>avverkningsanmälan</t>
        </is>
      </c>
      <c r="C69" t="inlineStr">
        <is>
          <t>Avverkning för annat ändamål</t>
        </is>
      </c>
      <c r="D69" s="1" t="n">
        <v>45328</v>
      </c>
      <c r="E69" s="1" t="n">
        <v>46260</v>
      </c>
      <c r="F69" t="inlineStr">
        <is>
          <t>STOCKHOLMS LÄN</t>
        </is>
      </c>
      <c r="G69" t="inlineStr">
        <is>
          <t>VALLENTUNA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5910-2022</t>
        </is>
      </c>
      <c r="B70" t="inlineStr">
        <is>
          <t>avverkningsanmälan</t>
        </is>
      </c>
      <c r="C70" t="inlineStr">
        <is>
          <t>Föryngringsavverkning</t>
        </is>
      </c>
      <c r="D70" s="1" t="n">
        <v>44597</v>
      </c>
      <c r="E70" s="1" t="n">
        <v>46260</v>
      </c>
      <c r="F70" t="inlineStr">
        <is>
          <t>STOCKHOLMS LÄN</t>
        </is>
      </c>
      <c r="G70" t="inlineStr">
        <is>
          <t>VALLENTUNA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60795-2023</t>
        </is>
      </c>
      <c r="B71" t="inlineStr">
        <is>
          <t>avverkningsanmälan</t>
        </is>
      </c>
      <c r="C71" t="inlineStr">
        <is>
          <t>Avverkning för annat ändamål</t>
        </is>
      </c>
      <c r="D71" s="1" t="n">
        <v>45260</v>
      </c>
      <c r="E71" s="1" t="n">
        <v>46260</v>
      </c>
      <c r="F71" t="inlineStr">
        <is>
          <t>STOCKHOLMS LÄN</t>
        </is>
      </c>
      <c r="G71" t="inlineStr">
        <is>
          <t>VALLENTUNA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46260</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14775-2024</t>
        </is>
      </c>
      <c r="B73" t="inlineStr">
        <is>
          <t>avverkningsanmälan</t>
        </is>
      </c>
      <c r="C73" t="inlineStr">
        <is>
          <t>Föryngringsavverkning</t>
        </is>
      </c>
      <c r="D73" s="1" t="n">
        <v>45397</v>
      </c>
      <c r="E73" s="1" t="n">
        <v>46260</v>
      </c>
      <c r="F73" t="inlineStr">
        <is>
          <t>STOCKHOLMS LÄN</t>
        </is>
      </c>
      <c r="G73" t="inlineStr">
        <is>
          <t>VALLENTUNA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46260</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14782-2024</t>
        </is>
      </c>
      <c r="B75" t="inlineStr">
        <is>
          <t>avverkningsanmälan</t>
        </is>
      </c>
      <c r="C75" t="inlineStr">
        <is>
          <t>Avverkning för att bevara och utveckla /försöksver</t>
        </is>
      </c>
      <c r="D75" s="1" t="n">
        <v>45397</v>
      </c>
      <c r="E75" s="1" t="n">
        <v>46260</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52562-2023</t>
        </is>
      </c>
      <c r="B76" t="inlineStr">
        <is>
          <t>avverkningsanmälan</t>
        </is>
      </c>
      <c r="C76" t="inlineStr">
        <is>
          <t>Föryngringsavverkning</t>
        </is>
      </c>
      <c r="D76" s="1" t="n">
        <v>45225</v>
      </c>
      <c r="E76" s="1" t="n">
        <v>46260</v>
      </c>
      <c r="F76" t="inlineStr">
        <is>
          <t>STOCKHOLMS LÄN</t>
        </is>
      </c>
      <c r="G76" t="inlineStr">
        <is>
          <t>VALLENTUNA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414-2026</t>
        </is>
      </c>
      <c r="B77" t="inlineStr">
        <is>
          <t>avverkningsanmälan</t>
        </is>
      </c>
      <c r="C77" t="inlineStr">
        <is>
          <t>Föryngringsavverkning</t>
        </is>
      </c>
      <c r="D77" s="1" t="n">
        <v>46028</v>
      </c>
      <c r="E77" s="1" t="n">
        <v>46260</v>
      </c>
      <c r="F77" t="inlineStr">
        <is>
          <t>STOCKHOLMS LÄN</t>
        </is>
      </c>
      <c r="G77" t="inlineStr">
        <is>
          <t>VALLENTUNA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49530-2023</t>
        </is>
      </c>
      <c r="B78" t="inlineStr">
        <is>
          <t>avverkningsanmälan</t>
        </is>
      </c>
      <c r="C78" t="inlineStr">
        <is>
          <t>Föryngringsavverkning</t>
        </is>
      </c>
      <c r="D78" s="1" t="n">
        <v>45205</v>
      </c>
      <c r="E78" s="1" t="n">
        <v>46260</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52542-2023</t>
        </is>
      </c>
      <c r="B79" t="inlineStr">
        <is>
          <t>avverkningsanmälan</t>
        </is>
      </c>
      <c r="C79" t="inlineStr">
        <is>
          <t>Föryngringsavverkning</t>
        </is>
      </c>
      <c r="D79" s="1" t="n">
        <v>45225</v>
      </c>
      <c r="E79" s="1" t="n">
        <v>46260</v>
      </c>
      <c r="F79" t="inlineStr">
        <is>
          <t>STOCKHOLMS LÄN</t>
        </is>
      </c>
      <c r="G79" t="inlineStr">
        <is>
          <t>VALLENTUNA</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2318-2024</t>
        </is>
      </c>
      <c r="B80" t="inlineStr">
        <is>
          <t>avverkningsanmälan</t>
        </is>
      </c>
      <c r="C80" t="inlineStr">
        <is>
          <t>Föryngringsavverkning</t>
        </is>
      </c>
      <c r="D80" s="1" t="n">
        <v>45310</v>
      </c>
      <c r="E80" s="1" t="n">
        <v>46260</v>
      </c>
      <c r="F80" t="inlineStr">
        <is>
          <t>STOCKHOLMS LÄN</t>
        </is>
      </c>
      <c r="G80" t="inlineStr">
        <is>
          <t>VALLENTUNA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21445-2023</t>
        </is>
      </c>
      <c r="B81" t="inlineStr">
        <is>
          <t>avverkningsanmälan</t>
        </is>
      </c>
      <c r="C81" t="inlineStr">
        <is>
          <t>Föryngringsavverkning</t>
        </is>
      </c>
      <c r="D81" s="1" t="n">
        <v>45063</v>
      </c>
      <c r="E81" s="1" t="n">
        <v>46260</v>
      </c>
      <c r="F81" t="inlineStr">
        <is>
          <t>STOCKHOLMS LÄN</t>
        </is>
      </c>
      <c r="G81" t="inlineStr">
        <is>
          <t>VALLENTUNA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28431-2025</t>
        </is>
      </c>
      <c r="B82" t="inlineStr">
        <is>
          <t>avverkningsanmälan</t>
        </is>
      </c>
      <c r="C82" t="inlineStr">
        <is>
          <t>Föryngringsavverkning</t>
        </is>
      </c>
      <c r="D82" s="1" t="n">
        <v>45819</v>
      </c>
      <c r="E82" s="1" t="n">
        <v>46260</v>
      </c>
      <c r="F82" t="inlineStr">
        <is>
          <t>STOCKHOLMS LÄN</t>
        </is>
      </c>
      <c r="G82" t="inlineStr">
        <is>
          <t>VALLENTUNA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34441-2023</t>
        </is>
      </c>
      <c r="B83" t="inlineStr">
        <is>
          <t>avverkningsanmälan</t>
        </is>
      </c>
      <c r="C83" t="inlineStr">
        <is>
          <t>Föryngringsavverkning</t>
        </is>
      </c>
      <c r="D83" s="1" t="n">
        <v>45139</v>
      </c>
      <c r="E83" s="1" t="n">
        <v>46260</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34445-2023</t>
        </is>
      </c>
      <c r="B84" t="inlineStr">
        <is>
          <t>avverkningsanmälan</t>
        </is>
      </c>
      <c r="C84" t="inlineStr">
        <is>
          <t>Föryngringsavverkning</t>
        </is>
      </c>
      <c r="D84" s="1" t="n">
        <v>45139</v>
      </c>
      <c r="E84" s="1" t="n">
        <v>46260</v>
      </c>
      <c r="F84" t="inlineStr">
        <is>
          <t>STOCKHOLMS LÄN</t>
        </is>
      </c>
      <c r="G84" t="inlineStr">
        <is>
          <t>VALLENTUNA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12585-2023</t>
        </is>
      </c>
      <c r="B85" t="inlineStr">
        <is>
          <t>avverkningsanmälan</t>
        </is>
      </c>
      <c r="C85" t="inlineStr">
        <is>
          <t>Föryngringsavverkning</t>
        </is>
      </c>
      <c r="D85" s="1" t="n">
        <v>45000</v>
      </c>
      <c r="E85" s="1" t="n">
        <v>46260</v>
      </c>
      <c r="F85" t="inlineStr">
        <is>
          <t>STOCKHOLMS LÄN</t>
        </is>
      </c>
      <c r="G85" t="inlineStr">
        <is>
          <t>VALLENTUNA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24740-2026</t>
        </is>
      </c>
      <c r="B86" t="inlineStr">
        <is>
          <t>avverkningsanmälan</t>
        </is>
      </c>
      <c r="C86" t="inlineStr">
        <is>
          <t>Föryngringsavverkning</t>
        </is>
      </c>
      <c r="D86" s="1" t="n">
        <v>46171</v>
      </c>
      <c r="E86" s="1" t="n">
        <v>46260</v>
      </c>
      <c r="F86" t="inlineStr">
        <is>
          <t>STOCKHOLMS LÄN</t>
        </is>
      </c>
      <c r="G86" t="inlineStr">
        <is>
          <t>VALLENTUNA</t>
        </is>
      </c>
      <c r="H86" t="inlineStr">
        <is>
          <t>Övriga Aktiebolag</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8077-2022</t>
        </is>
      </c>
      <c r="B87" t="inlineStr">
        <is>
          <t>avverkningsanmälan</t>
        </is>
      </c>
      <c r="C87" t="inlineStr">
        <is>
          <t>Föryngringsavverkning</t>
        </is>
      </c>
      <c r="D87" s="1" t="n">
        <v>44609</v>
      </c>
      <c r="E87" s="1" t="n">
        <v>46260</v>
      </c>
      <c r="F87" t="inlineStr">
        <is>
          <t>STOCKHOLMS LÄN</t>
        </is>
      </c>
      <c r="G87" t="inlineStr">
        <is>
          <t>VALLENTUNA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47140-2024</t>
        </is>
      </c>
      <c r="B88" t="inlineStr">
        <is>
          <t>avverkningsanmälan</t>
        </is>
      </c>
      <c r="C88" t="inlineStr">
        <is>
          <t>Föryngringsavverkning</t>
        </is>
      </c>
      <c r="D88" s="1" t="n">
        <v>45586</v>
      </c>
      <c r="E88" s="1" t="n">
        <v>46260</v>
      </c>
      <c r="F88" t="inlineStr">
        <is>
          <t>STOCKHOLMS LÄN</t>
        </is>
      </c>
      <c r="G88" t="inlineStr">
        <is>
          <t>VALLENTUNA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25740-2026</t>
        </is>
      </c>
      <c r="B89" t="inlineStr">
        <is>
          <t>avverkningsanmälan</t>
        </is>
      </c>
      <c r="C89" t="inlineStr">
        <is>
          <t>Föryngringsavverkning</t>
        </is>
      </c>
      <c r="D89" s="1" t="n">
        <v>46178</v>
      </c>
      <c r="E89" s="1" t="n">
        <v>46260</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25752-2026</t>
        </is>
      </c>
      <c r="B90" t="inlineStr">
        <is>
          <t>avverkningsanmälan</t>
        </is>
      </c>
      <c r="C90" t="inlineStr">
        <is>
          <t>Föryngringsavverkning</t>
        </is>
      </c>
      <c r="D90" s="1" t="n">
        <v>46178</v>
      </c>
      <c r="E90" s="1" t="n">
        <v>46260</v>
      </c>
      <c r="F90" t="inlineStr">
        <is>
          <t>STOCKHOLMS LÄN</t>
        </is>
      </c>
      <c r="G90" t="inlineStr">
        <is>
          <t>VALLENTUNA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44346-2021</t>
        </is>
      </c>
      <c r="B91" t="inlineStr">
        <is>
          <t>avverkningsanmälan</t>
        </is>
      </c>
      <c r="C91" t="inlineStr">
        <is>
          <t>Föryngringsavverkning</t>
        </is>
      </c>
      <c r="D91" s="1" t="n">
        <v>44434</v>
      </c>
      <c r="E91" s="1" t="n">
        <v>46260</v>
      </c>
      <c r="F91" t="inlineStr">
        <is>
          <t>STOCKHOLMS LÄN</t>
        </is>
      </c>
      <c r="G91" t="inlineStr">
        <is>
          <t>VALLENTUNA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21765-2023</t>
        </is>
      </c>
      <c r="B92" t="inlineStr">
        <is>
          <t>avverkningsanmälan</t>
        </is>
      </c>
      <c r="C92" t="inlineStr">
        <is>
          <t>Föryngringsavverkning</t>
        </is>
      </c>
      <c r="D92" s="1" t="n">
        <v>45064</v>
      </c>
      <c r="E92" s="1" t="n">
        <v>46260</v>
      </c>
      <c r="F92" t="inlineStr">
        <is>
          <t>STOCKHOLMS LÄN</t>
        </is>
      </c>
      <c r="G92" t="inlineStr">
        <is>
          <t>VALLENTUNA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21614-2022</t>
        </is>
      </c>
      <c r="B93" t="inlineStr">
        <is>
          <t>avverkningsanmälan</t>
        </is>
      </c>
      <c r="C93" t="inlineStr">
        <is>
          <t>Föryngringsavverkning</t>
        </is>
      </c>
      <c r="D93" s="1" t="n">
        <v>44706</v>
      </c>
      <c r="E93" s="1" t="n">
        <v>46260</v>
      </c>
      <c r="F93" t="inlineStr">
        <is>
          <t>STOCKHOLMS LÄN</t>
        </is>
      </c>
      <c r="G93" t="inlineStr">
        <is>
          <t>VALLENTUNA</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12819-2026</t>
        </is>
      </c>
      <c r="B94" t="inlineStr">
        <is>
          <t>avverkningsanmälan</t>
        </is>
      </c>
      <c r="C94" t="inlineStr">
        <is>
          <t>Föryngringsavverkning</t>
        </is>
      </c>
      <c r="D94" s="1" t="n">
        <v>46092</v>
      </c>
      <c r="E94" s="1" t="n">
        <v>46260</v>
      </c>
      <c r="F94" t="inlineStr">
        <is>
          <t>STOCKHOLMS LÄN</t>
        </is>
      </c>
      <c r="G94" t="inlineStr">
        <is>
          <t>VALLENTUNA</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23986-2023</t>
        </is>
      </c>
      <c r="B95" t="inlineStr">
        <is>
          <t>avverkningsanmälan</t>
        </is>
      </c>
      <c r="C95" t="inlineStr">
        <is>
          <t>Föryngringsavverkning</t>
        </is>
      </c>
      <c r="D95" s="1" t="n">
        <v>45078</v>
      </c>
      <c r="E95" s="1" t="n">
        <v>46260</v>
      </c>
      <c r="F95" t="inlineStr">
        <is>
          <t>STOCKHOLMS LÄN</t>
        </is>
      </c>
      <c r="G95" t="inlineStr">
        <is>
          <t>VALLENTUNA</t>
        </is>
      </c>
      <c r="H95" t="inlineStr">
        <is>
          <t>Kyrkan</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3937-2022</t>
        </is>
      </c>
      <c r="B96" t="inlineStr">
        <is>
          <t>avverkningsanmälan</t>
        </is>
      </c>
      <c r="C96" t="inlineStr">
        <is>
          <t>Föryngringsavverkning</t>
        </is>
      </c>
      <c r="D96" s="1" t="n">
        <v>44587</v>
      </c>
      <c r="E96" s="1" t="n">
        <v>46260</v>
      </c>
      <c r="F96" t="inlineStr">
        <is>
          <t>STOCKHOLMS LÄN</t>
        </is>
      </c>
      <c r="G96" t="inlineStr">
        <is>
          <t>VALLENTUNA</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23013-2024</t>
        </is>
      </c>
      <c r="B97" t="inlineStr">
        <is>
          <t>avverkningsanmälan</t>
        </is>
      </c>
      <c r="C97" t="inlineStr">
        <is>
          <t>Föryngringsavverkning</t>
        </is>
      </c>
      <c r="D97" s="1" t="n">
        <v>45450</v>
      </c>
      <c r="E97" s="1" t="n">
        <v>46260</v>
      </c>
      <c r="F97" t="inlineStr">
        <is>
          <t>STOCKHOLMS LÄN</t>
        </is>
      </c>
      <c r="G97" t="inlineStr">
        <is>
          <t>VALLENTUNA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3078-2023</t>
        </is>
      </c>
      <c r="B98" t="inlineStr">
        <is>
          <t>avverkningsanmälan</t>
        </is>
      </c>
      <c r="C98" t="inlineStr">
        <is>
          <t>Föryngringsavverkning</t>
        </is>
      </c>
      <c r="D98" s="1" t="n">
        <v>44946</v>
      </c>
      <c r="E98" s="1" t="n">
        <v>46260</v>
      </c>
      <c r="F98" t="inlineStr">
        <is>
          <t>STOCKHOLMS LÄN</t>
        </is>
      </c>
      <c r="G98" t="inlineStr">
        <is>
          <t>VALLENTUNA</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19503-2023</t>
        </is>
      </c>
      <c r="B99" t="inlineStr">
        <is>
          <t>avverkningsanmälan</t>
        </is>
      </c>
      <c r="C99" t="inlineStr">
        <is>
          <t>Föryngringsavverkning</t>
        </is>
      </c>
      <c r="D99" s="1" t="n">
        <v>45050</v>
      </c>
      <c r="E99" s="1" t="n">
        <v>46260</v>
      </c>
      <c r="F99" t="inlineStr">
        <is>
          <t>STOCKHOLMS LÄN</t>
        </is>
      </c>
      <c r="G99" t="inlineStr">
        <is>
          <t>VALLENTUNA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4803-2024</t>
        </is>
      </c>
      <c r="B100" t="inlineStr">
        <is>
          <t>avverkningsanmälan</t>
        </is>
      </c>
      <c r="C100" t="inlineStr">
        <is>
          <t>Avverkning för annat ändamål</t>
        </is>
      </c>
      <c r="D100" s="1" t="n">
        <v>45328</v>
      </c>
      <c r="E100" s="1" t="n">
        <v>46260</v>
      </c>
      <c r="F100" t="inlineStr">
        <is>
          <t>STOCKHOLMS LÄN</t>
        </is>
      </c>
      <c r="G100" t="inlineStr">
        <is>
          <t>VALLENTUNA</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3698-2022</t>
        </is>
      </c>
      <c r="B101" t="inlineStr">
        <is>
          <t>avverkningsanmälan</t>
        </is>
      </c>
      <c r="C101" t="inlineStr">
        <is>
          <t>Föryngringsavverkning</t>
        </is>
      </c>
      <c r="D101" s="1" t="n">
        <v>44586</v>
      </c>
      <c r="E101" s="1" t="n">
        <v>46260</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46260</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34720-2026</t>
        </is>
      </c>
      <c r="B103" t="inlineStr">
        <is>
          <t>avverkningsanmälan</t>
        </is>
      </c>
      <c r="C103" t="inlineStr">
        <is>
          <t>Föryngringsavverkning</t>
        </is>
      </c>
      <c r="D103" s="1" t="n">
        <v>46258</v>
      </c>
      <c r="E103" s="1" t="n">
        <v>46260</v>
      </c>
      <c r="F103" t="inlineStr">
        <is>
          <t>STOCKHOLMS LÄN</t>
        </is>
      </c>
      <c r="G103" t="inlineStr">
        <is>
          <t>VALLENTUNA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12234-2022</t>
        </is>
      </c>
      <c r="B104" t="inlineStr">
        <is>
          <t>avverkningsanmälan</t>
        </is>
      </c>
      <c r="C104" t="inlineStr">
        <is>
          <t>Föryngringsavverkning</t>
        </is>
      </c>
      <c r="D104" s="1" t="n">
        <v>44637</v>
      </c>
      <c r="E104" s="1" t="n">
        <v>46260</v>
      </c>
      <c r="F104" t="inlineStr">
        <is>
          <t>STOCKHOLMS LÄN</t>
        </is>
      </c>
      <c r="G104" t="inlineStr">
        <is>
          <t>VALLENTUNA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34736-2026</t>
        </is>
      </c>
      <c r="B105" t="inlineStr">
        <is>
          <t>avverkningsanmälan</t>
        </is>
      </c>
      <c r="C105" t="inlineStr">
        <is>
          <t>Föryngringsavverkning</t>
        </is>
      </c>
      <c r="D105" s="1" t="n">
        <v>46258</v>
      </c>
      <c r="E105" s="1" t="n">
        <v>46260</v>
      </c>
      <c r="F105" t="inlineStr">
        <is>
          <t>STOCKHOLMS LÄN</t>
        </is>
      </c>
      <c r="G105" t="inlineStr">
        <is>
          <t>VALLENTUNA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34750-2026</t>
        </is>
      </c>
      <c r="B106" t="inlineStr">
        <is>
          <t>avverkningsanmälan</t>
        </is>
      </c>
      <c r="C106" t="inlineStr">
        <is>
          <t>Föryngringsavverkning</t>
        </is>
      </c>
      <c r="D106" s="1" t="n">
        <v>46258</v>
      </c>
      <c r="E106" s="1" t="n">
        <v>46260</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24943-2024</t>
        </is>
      </c>
      <c r="B107" t="inlineStr">
        <is>
          <t>avverkningsanmälan</t>
        </is>
      </c>
      <c r="C107" t="inlineStr">
        <is>
          <t>Föryngringsavverkning</t>
        </is>
      </c>
      <c r="D107" s="1" t="n">
        <v>45461</v>
      </c>
      <c r="E107" s="1" t="n">
        <v>46260</v>
      </c>
      <c r="F107" t="inlineStr">
        <is>
          <t>STOCKHOLMS LÄN</t>
        </is>
      </c>
      <c r="G107" t="inlineStr">
        <is>
          <t>VALLENTUNA</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22683-2023</t>
        </is>
      </c>
      <c r="B108" t="inlineStr">
        <is>
          <t>avverkningsanmälan</t>
        </is>
      </c>
      <c r="C108" t="inlineStr">
        <is>
          <t>Föryngringsavverkning</t>
        </is>
      </c>
      <c r="D108" s="1" t="n">
        <v>45071</v>
      </c>
      <c r="E108" s="1" t="n">
        <v>46260</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46260</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1385-2024</t>
        </is>
      </c>
      <c r="B110" t="inlineStr">
        <is>
          <t>avverkningsanmälan</t>
        </is>
      </c>
      <c r="C110" t="inlineStr">
        <is>
          <t>Föryngringsavverkning</t>
        </is>
      </c>
      <c r="D110" s="1" t="n">
        <v>45303</v>
      </c>
      <c r="E110" s="1" t="n">
        <v>46260</v>
      </c>
      <c r="F110" t="inlineStr">
        <is>
          <t>STOCKHOLMS LÄN</t>
        </is>
      </c>
      <c r="G110" t="inlineStr">
        <is>
          <t>VALLENTUNA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60818-2023</t>
        </is>
      </c>
      <c r="B111" t="inlineStr">
        <is>
          <t>avverkningsanmälan</t>
        </is>
      </c>
      <c r="C111" t="inlineStr">
        <is>
          <t>Föryngringsavverkning</t>
        </is>
      </c>
      <c r="D111" s="1" t="n">
        <v>45259</v>
      </c>
      <c r="E111" s="1" t="n">
        <v>46260</v>
      </c>
      <c r="F111" t="inlineStr">
        <is>
          <t>STOCKHOLMS LÄN</t>
        </is>
      </c>
      <c r="G111" t="inlineStr">
        <is>
          <t>VALLENTUNA</t>
        </is>
      </c>
      <c r="I111" t="n">
        <v>9.4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7264-2022</t>
        </is>
      </c>
      <c r="B112" t="inlineStr">
        <is>
          <t>avverkningsanmälan</t>
        </is>
      </c>
      <c r="C112" t="inlineStr">
        <is>
          <t>Föryngringsavverkning</t>
        </is>
      </c>
      <c r="D112" s="1" t="n">
        <v>44606</v>
      </c>
      <c r="E112" s="1" t="n">
        <v>46260</v>
      </c>
      <c r="F112" t="inlineStr">
        <is>
          <t>STOCKHOLMS LÄN</t>
        </is>
      </c>
      <c r="G112" t="inlineStr">
        <is>
          <t>VALLENTUNA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19356-2025</t>
        </is>
      </c>
      <c r="B113" t="inlineStr">
        <is>
          <t>avverkningsanmälan</t>
        </is>
      </c>
      <c r="C113" t="inlineStr">
        <is>
          <t>Föryngringsavverkning</t>
        </is>
      </c>
      <c r="D113" s="1" t="n">
        <v>45769</v>
      </c>
      <c r="E113" s="1" t="n">
        <v>46260</v>
      </c>
      <c r="F113" t="inlineStr">
        <is>
          <t>STOCKHOLMS LÄN</t>
        </is>
      </c>
      <c r="G113" t="inlineStr">
        <is>
          <t>VALLENTUNA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11950-2025</t>
        </is>
      </c>
      <c r="B114" t="inlineStr">
        <is>
          <t>avverkningsanmälan</t>
        </is>
      </c>
      <c r="C114" t="inlineStr">
        <is>
          <t>Föryngringsavverkning</t>
        </is>
      </c>
      <c r="D114" s="1" t="n">
        <v>45728</v>
      </c>
      <c r="E114" s="1" t="n">
        <v>46260</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14489-2024</t>
        </is>
      </c>
      <c r="B115" t="inlineStr">
        <is>
          <t>avverkningsanmälan</t>
        </is>
      </c>
      <c r="C115" t="inlineStr">
        <is>
          <t>Föryngringsavverkning</t>
        </is>
      </c>
      <c r="D115" s="1" t="n">
        <v>45394</v>
      </c>
      <c r="E115" s="1" t="n">
        <v>46260</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48068-2021</t>
        </is>
      </c>
      <c r="B116" t="inlineStr">
        <is>
          <t>avverkningsanmälan</t>
        </is>
      </c>
      <c r="C116" t="inlineStr">
        <is>
          <t>Föryngringsavverkning</t>
        </is>
      </c>
      <c r="D116" s="1" t="n">
        <v>44449</v>
      </c>
      <c r="E116" s="1" t="n">
        <v>46260</v>
      </c>
      <c r="F116" t="inlineStr">
        <is>
          <t>STOCKHOLMS LÄN</t>
        </is>
      </c>
      <c r="G116" t="inlineStr">
        <is>
          <t>VALLENTUNA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45499-2023</t>
        </is>
      </c>
      <c r="B117" t="inlineStr">
        <is>
          <t>avverkningsanmälan</t>
        </is>
      </c>
      <c r="C117" t="inlineStr">
        <is>
          <t>Föryngringsavverkning</t>
        </is>
      </c>
      <c r="D117" s="1" t="n">
        <v>45194</v>
      </c>
      <c r="E117" s="1" t="n">
        <v>46260</v>
      </c>
      <c r="F117" t="inlineStr">
        <is>
          <t>STOCKHOLMS LÄN</t>
        </is>
      </c>
      <c r="G117" t="inlineStr">
        <is>
          <t>VALLENTUNA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10073-2024</t>
        </is>
      </c>
      <c r="B118" t="inlineStr">
        <is>
          <t>avverkningsanmälan</t>
        </is>
      </c>
      <c r="C118" t="inlineStr">
        <is>
          <t>Föryngringsavverkning</t>
        </is>
      </c>
      <c r="D118" s="1" t="n">
        <v>45364</v>
      </c>
      <c r="E118" s="1" t="n">
        <v>46260</v>
      </c>
      <c r="F118" t="inlineStr">
        <is>
          <t>STOCKHOLMS LÄN</t>
        </is>
      </c>
      <c r="G118" t="inlineStr">
        <is>
          <t>VALLENTUNA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12621-2024</t>
        </is>
      </c>
      <c r="B119" t="inlineStr">
        <is>
          <t>avverkningsanmälan</t>
        </is>
      </c>
      <c r="C119" t="inlineStr">
        <is>
          <t>Föryngringsavverkning</t>
        </is>
      </c>
      <c r="D119" s="1" t="n">
        <v>45383</v>
      </c>
      <c r="E119" s="1" t="n">
        <v>46260</v>
      </c>
      <c r="F119" t="inlineStr">
        <is>
          <t>STOCKHOLMS LÄN</t>
        </is>
      </c>
      <c r="G119" t="inlineStr">
        <is>
          <t>VALLENTUNA</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46381-2023</t>
        </is>
      </c>
      <c r="B120" t="inlineStr">
        <is>
          <t>avverkningsanmälan</t>
        </is>
      </c>
      <c r="C120" t="inlineStr">
        <is>
          <t>Föryngringsavverkning</t>
        </is>
      </c>
      <c r="D120" s="1" t="n">
        <v>45193</v>
      </c>
      <c r="E120" s="1" t="n">
        <v>46260</v>
      </c>
      <c r="F120" t="inlineStr">
        <is>
          <t>STOCKHOLMS LÄN</t>
        </is>
      </c>
      <c r="G120" t="inlineStr">
        <is>
          <t>VALLENTUNA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61027-2023</t>
        </is>
      </c>
      <c r="B121" t="inlineStr">
        <is>
          <t>avverkningsanmälan</t>
        </is>
      </c>
      <c r="C121" t="inlineStr">
        <is>
          <t>Föryngringsavverkning</t>
        </is>
      </c>
      <c r="D121" s="1" t="n">
        <v>45261</v>
      </c>
      <c r="E121" s="1" t="n">
        <v>46260</v>
      </c>
      <c r="F121" t="inlineStr">
        <is>
          <t>STOCKHOLMS LÄN</t>
        </is>
      </c>
      <c r="G121" t="inlineStr">
        <is>
          <t>VALLENTUNA</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46260</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46260</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2026-08-26T01:51:41Z</dcterms:created>
  <dcterms:modified xmlns:dcterms="http://purl.org/dc/terms/" xmlns:xsi="http://www.w3.org/2001/XMLSchema-instance" xsi:type="dcterms:W3CDTF">2026-08-26T01:51:41Z</dcterms:modified>
</cp:coreProperties>
</file>