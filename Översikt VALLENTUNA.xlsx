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45570</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45570</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45570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45570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45570</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45570</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45570</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55825-2023</t>
        </is>
      </c>
      <c r="B9" s="1" t="n">
        <v>45239</v>
      </c>
      <c r="C9" s="1" t="n">
        <v>45570</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45570</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45570</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45570</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45570</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45570</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45570</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45570</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45570</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45570</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45570</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45570</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45570</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45570</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45570</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45570</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45570</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45570</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45570</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45570</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45570</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45570</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45570</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45570</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45570</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45570</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45570</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29376-2024</t>
        </is>
      </c>
      <c r="B36" s="1" t="n">
        <v>45483</v>
      </c>
      <c r="C36" s="1" t="n">
        <v>45570</v>
      </c>
      <c r="D36" t="inlineStr">
        <is>
          <t>STOCKHOLMS LÄN</t>
        </is>
      </c>
      <c r="E36" t="inlineStr">
        <is>
          <t>VALLENTUNA</t>
        </is>
      </c>
      <c r="F36" t="inlineStr">
        <is>
          <t>Övriga Aktiebolag</t>
        </is>
      </c>
      <c r="G36" t="n">
        <v>11.9</v>
      </c>
      <c r="H36" t="n">
        <v>0</v>
      </c>
      <c r="I36" t="n">
        <v>0</v>
      </c>
      <c r="J36" t="n">
        <v>1</v>
      </c>
      <c r="K36" t="n">
        <v>1</v>
      </c>
      <c r="L36" t="n">
        <v>0</v>
      </c>
      <c r="M36" t="n">
        <v>0</v>
      </c>
      <c r="N36" t="n">
        <v>0</v>
      </c>
      <c r="O36" t="n">
        <v>2</v>
      </c>
      <c r="P36" t="n">
        <v>1</v>
      </c>
      <c r="Q36" t="n">
        <v>2</v>
      </c>
      <c r="R36" s="2" t="inlineStr">
        <is>
          <t>Bandnate
Vedtrappmossa</t>
        </is>
      </c>
      <c r="S36">
        <f>HYPERLINK("https://klasma.github.io/Logging_0115/artfynd/A 29376-2024 artfynd.xlsx", "A 29376-2024")</f>
        <v/>
      </c>
      <c r="T36">
        <f>HYPERLINK("https://klasma.github.io/Logging_0115/kartor/A 29376-2024 karta.png", "A 29376-2024")</f>
        <v/>
      </c>
      <c r="V36">
        <f>HYPERLINK("https://klasma.github.io/Logging_0115/klagomål/A 29376-2024 FSC-klagomål.docx", "A 29376-2024")</f>
        <v/>
      </c>
      <c r="W36">
        <f>HYPERLINK("https://klasma.github.io/Logging_0115/klagomålsmail/A 29376-2024 FSC-klagomål mail.docx", "A 29376-2024")</f>
        <v/>
      </c>
      <c r="X36">
        <f>HYPERLINK("https://klasma.github.io/Logging_0115/tillsyn/A 29376-2024 tillsynsbegäran.docx", "A 29376-2024")</f>
        <v/>
      </c>
      <c r="Y36">
        <f>HYPERLINK("https://klasma.github.io/Logging_0115/tillsynsmail/A 29376-2024 tillsynsbegäran mail.docx", "A 29376-2024")</f>
        <v/>
      </c>
    </row>
    <row r="37" ht="15" customHeight="1">
      <c r="A37" t="inlineStr">
        <is>
          <t>A 68108-2019</t>
        </is>
      </c>
      <c r="B37" s="1" t="n">
        <v>43817</v>
      </c>
      <c r="C37" s="1" t="n">
        <v>45570</v>
      </c>
      <c r="D37" t="inlineStr">
        <is>
          <t>STOCKHOLMS LÄN</t>
        </is>
      </c>
      <c r="E37" t="inlineStr">
        <is>
          <t>VALLENTUNA</t>
        </is>
      </c>
      <c r="G37" t="n">
        <v>3.2</v>
      </c>
      <c r="H37" t="n">
        <v>0</v>
      </c>
      <c r="I37" t="n">
        <v>1</v>
      </c>
      <c r="J37" t="n">
        <v>0</v>
      </c>
      <c r="K37" t="n">
        <v>0</v>
      </c>
      <c r="L37" t="n">
        <v>0</v>
      </c>
      <c r="M37" t="n">
        <v>0</v>
      </c>
      <c r="N37" t="n">
        <v>0</v>
      </c>
      <c r="O37" t="n">
        <v>0</v>
      </c>
      <c r="P37" t="n">
        <v>0</v>
      </c>
      <c r="Q37" t="n">
        <v>1</v>
      </c>
      <c r="R37" s="2" t="inlineStr">
        <is>
          <t>Skuggblåslav</t>
        </is>
      </c>
      <c r="S37">
        <f>HYPERLINK("https://klasma.github.io/Logging_0115/artfynd/A 68108-2019 artfynd.xlsx", "A 68108-2019")</f>
        <v/>
      </c>
      <c r="T37">
        <f>HYPERLINK("https://klasma.github.io/Logging_0115/kartor/A 68108-2019 karta.png", "A 68108-2019")</f>
        <v/>
      </c>
      <c r="V37">
        <f>HYPERLINK("https://klasma.github.io/Logging_0115/klagomål/A 68108-2019 FSC-klagomål.docx", "A 68108-2019")</f>
        <v/>
      </c>
      <c r="W37">
        <f>HYPERLINK("https://klasma.github.io/Logging_0115/klagomålsmail/A 68108-2019 FSC-klagomål mail.docx", "A 68108-2019")</f>
        <v/>
      </c>
      <c r="X37">
        <f>HYPERLINK("https://klasma.github.io/Logging_0115/tillsyn/A 68108-2019 tillsynsbegäran.docx", "A 68108-2019")</f>
        <v/>
      </c>
      <c r="Y37">
        <f>HYPERLINK("https://klasma.github.io/Logging_0115/tillsynsmail/A 68108-2019 tillsynsbegäran mail.docx", "A 68108-2019")</f>
        <v/>
      </c>
    </row>
    <row r="38" ht="15" customHeight="1">
      <c r="A38" t="inlineStr">
        <is>
          <t>A 68107-2019</t>
        </is>
      </c>
      <c r="B38" s="1" t="n">
        <v>43817</v>
      </c>
      <c r="C38" s="1" t="n">
        <v>45570</v>
      </c>
      <c r="D38" t="inlineStr">
        <is>
          <t>STOCKHOLMS LÄN</t>
        </is>
      </c>
      <c r="E38" t="inlineStr">
        <is>
          <t>VALLENTUNA</t>
        </is>
      </c>
      <c r="G38" t="n">
        <v>11.4</v>
      </c>
      <c r="H38" t="n">
        <v>0</v>
      </c>
      <c r="I38" t="n">
        <v>0</v>
      </c>
      <c r="J38" t="n">
        <v>1</v>
      </c>
      <c r="K38" t="n">
        <v>0</v>
      </c>
      <c r="L38" t="n">
        <v>0</v>
      </c>
      <c r="M38" t="n">
        <v>0</v>
      </c>
      <c r="N38" t="n">
        <v>0</v>
      </c>
      <c r="O38" t="n">
        <v>1</v>
      </c>
      <c r="P38" t="n">
        <v>0</v>
      </c>
      <c r="Q38" t="n">
        <v>1</v>
      </c>
      <c r="R38" s="2" t="inlineStr">
        <is>
          <t>Tallticka</t>
        </is>
      </c>
      <c r="S38">
        <f>HYPERLINK("https://klasma.github.io/Logging_0115/artfynd/A 68107-2019 artfynd.xlsx", "A 68107-2019")</f>
        <v/>
      </c>
      <c r="T38">
        <f>HYPERLINK("https://klasma.github.io/Logging_0115/kartor/A 68107-2019 karta.png", "A 68107-2019")</f>
        <v/>
      </c>
      <c r="V38">
        <f>HYPERLINK("https://klasma.github.io/Logging_0115/klagomål/A 68107-2019 FSC-klagomål.docx", "A 68107-2019")</f>
        <v/>
      </c>
      <c r="W38">
        <f>HYPERLINK("https://klasma.github.io/Logging_0115/klagomålsmail/A 68107-2019 FSC-klagomål mail.docx", "A 68107-2019")</f>
        <v/>
      </c>
      <c r="X38">
        <f>HYPERLINK("https://klasma.github.io/Logging_0115/tillsyn/A 68107-2019 tillsynsbegäran.docx", "A 68107-2019")</f>
        <v/>
      </c>
      <c r="Y38">
        <f>HYPERLINK("https://klasma.github.io/Logging_0115/tillsynsmail/A 68107-2019 tillsynsbegäran mail.docx", "A 68107-2019")</f>
        <v/>
      </c>
    </row>
    <row r="39" ht="15" customHeight="1">
      <c r="A39" t="inlineStr">
        <is>
          <t>A 41934-2021</t>
        </is>
      </c>
      <c r="B39" s="1" t="n">
        <v>44425</v>
      </c>
      <c r="C39" s="1" t="n">
        <v>45570</v>
      </c>
      <c r="D39" t="inlineStr">
        <is>
          <t>STOCKHOLMS LÄN</t>
        </is>
      </c>
      <c r="E39" t="inlineStr">
        <is>
          <t>VALLENTUNA</t>
        </is>
      </c>
      <c r="F39" t="inlineStr">
        <is>
          <t>Övriga Aktiebolag</t>
        </is>
      </c>
      <c r="G39" t="n">
        <v>7.1</v>
      </c>
      <c r="H39" t="n">
        <v>0</v>
      </c>
      <c r="I39" t="n">
        <v>0</v>
      </c>
      <c r="J39" t="n">
        <v>1</v>
      </c>
      <c r="K39" t="n">
        <v>0</v>
      </c>
      <c r="L39" t="n">
        <v>0</v>
      </c>
      <c r="M39" t="n">
        <v>0</v>
      </c>
      <c r="N39" t="n">
        <v>0</v>
      </c>
      <c r="O39" t="n">
        <v>1</v>
      </c>
      <c r="P39" t="n">
        <v>0</v>
      </c>
      <c r="Q39" t="n">
        <v>1</v>
      </c>
      <c r="R39" s="2" t="inlineStr">
        <is>
          <t>Skogsklocka</t>
        </is>
      </c>
      <c r="S39">
        <f>HYPERLINK("https://klasma.github.io/Logging_0115/artfynd/A 41934-2021 artfynd.xlsx", "A 41934-2021")</f>
        <v/>
      </c>
      <c r="T39">
        <f>HYPERLINK("https://klasma.github.io/Logging_0115/kartor/A 41934-2021 karta.png", "A 41934-2021")</f>
        <v/>
      </c>
      <c r="V39">
        <f>HYPERLINK("https://klasma.github.io/Logging_0115/klagomål/A 41934-2021 FSC-klagomål.docx", "A 41934-2021")</f>
        <v/>
      </c>
      <c r="W39">
        <f>HYPERLINK("https://klasma.github.io/Logging_0115/klagomålsmail/A 41934-2021 FSC-klagomål mail.docx", "A 41934-2021")</f>
        <v/>
      </c>
      <c r="X39">
        <f>HYPERLINK("https://klasma.github.io/Logging_0115/tillsyn/A 41934-2021 tillsynsbegäran.docx", "A 41934-2021")</f>
        <v/>
      </c>
      <c r="Y39">
        <f>HYPERLINK("https://klasma.github.io/Logging_0115/tillsynsmail/A 41934-2021 tillsynsbegäran mail.docx", "A 41934-2021")</f>
        <v/>
      </c>
    </row>
    <row r="40" ht="15" customHeight="1">
      <c r="A40" t="inlineStr">
        <is>
          <t>A 131-2022</t>
        </is>
      </c>
      <c r="B40" s="1" t="n">
        <v>44560</v>
      </c>
      <c r="C40" s="1" t="n">
        <v>45570</v>
      </c>
      <c r="D40" t="inlineStr">
        <is>
          <t>STOCKHOLMS LÄN</t>
        </is>
      </c>
      <c r="E40" t="inlineStr">
        <is>
          <t>VALLENTUNA</t>
        </is>
      </c>
      <c r="F40" t="inlineStr">
        <is>
          <t>Övriga Aktiebolag</t>
        </is>
      </c>
      <c r="G40" t="n">
        <v>4.6</v>
      </c>
      <c r="H40" t="n">
        <v>0</v>
      </c>
      <c r="I40" t="n">
        <v>1</v>
      </c>
      <c r="J40" t="n">
        <v>0</v>
      </c>
      <c r="K40" t="n">
        <v>0</v>
      </c>
      <c r="L40" t="n">
        <v>0</v>
      </c>
      <c r="M40" t="n">
        <v>0</v>
      </c>
      <c r="N40" t="n">
        <v>0</v>
      </c>
      <c r="O40" t="n">
        <v>0</v>
      </c>
      <c r="P40" t="n">
        <v>0</v>
      </c>
      <c r="Q40" t="n">
        <v>1</v>
      </c>
      <c r="R40" s="2" t="inlineStr">
        <is>
          <t>Tjockfotad fingersvamp</t>
        </is>
      </c>
      <c r="S40">
        <f>HYPERLINK("https://klasma.github.io/Logging_0115/artfynd/A 131-2022 artfynd.xlsx", "A 131-2022")</f>
        <v/>
      </c>
      <c r="T40">
        <f>HYPERLINK("https://klasma.github.io/Logging_0115/kartor/A 131-2022 karta.png", "A 131-2022")</f>
        <v/>
      </c>
      <c r="V40">
        <f>HYPERLINK("https://klasma.github.io/Logging_0115/klagomål/A 131-2022 FSC-klagomål.docx", "A 131-2022")</f>
        <v/>
      </c>
      <c r="W40">
        <f>HYPERLINK("https://klasma.github.io/Logging_0115/klagomålsmail/A 131-2022 FSC-klagomål mail.docx", "A 131-2022")</f>
        <v/>
      </c>
      <c r="X40">
        <f>HYPERLINK("https://klasma.github.io/Logging_0115/tillsyn/A 131-2022 tillsynsbegäran.docx", "A 131-2022")</f>
        <v/>
      </c>
      <c r="Y40">
        <f>HYPERLINK("https://klasma.github.io/Logging_0115/tillsynsmail/A 131-2022 tillsynsbegäran mail.docx", "A 131-2022")</f>
        <v/>
      </c>
    </row>
    <row r="41" ht="15" customHeight="1">
      <c r="A41" t="inlineStr">
        <is>
          <t>A 21-2022</t>
        </is>
      </c>
      <c r="B41" s="1" t="n">
        <v>44560</v>
      </c>
      <c r="C41" s="1" t="n">
        <v>45570</v>
      </c>
      <c r="D41" t="inlineStr">
        <is>
          <t>STOCKHOLMS LÄN</t>
        </is>
      </c>
      <c r="E41" t="inlineStr">
        <is>
          <t>VALLENTUNA</t>
        </is>
      </c>
      <c r="F41" t="inlineStr">
        <is>
          <t>Övriga Aktiebolag</t>
        </is>
      </c>
      <c r="G41" t="n">
        <v>3.5</v>
      </c>
      <c r="H41" t="n">
        <v>1</v>
      </c>
      <c r="I41" t="n">
        <v>0</v>
      </c>
      <c r="J41" t="n">
        <v>0</v>
      </c>
      <c r="K41" t="n">
        <v>0</v>
      </c>
      <c r="L41" t="n">
        <v>0</v>
      </c>
      <c r="M41" t="n">
        <v>0</v>
      </c>
      <c r="N41" t="n">
        <v>0</v>
      </c>
      <c r="O41" t="n">
        <v>0</v>
      </c>
      <c r="P41" t="n">
        <v>0</v>
      </c>
      <c r="Q41" t="n">
        <v>1</v>
      </c>
      <c r="R41" s="2" t="inlineStr">
        <is>
          <t>Nattviol</t>
        </is>
      </c>
      <c r="S41">
        <f>HYPERLINK("https://klasma.github.io/Logging_0115/artfynd/A 21-2022 artfynd.xlsx", "A 21-2022")</f>
        <v/>
      </c>
      <c r="T41">
        <f>HYPERLINK("https://klasma.github.io/Logging_0115/kartor/A 21-2022 karta.png", "A 21-2022")</f>
        <v/>
      </c>
      <c r="V41">
        <f>HYPERLINK("https://klasma.github.io/Logging_0115/klagomål/A 21-2022 FSC-klagomål.docx", "A 21-2022")</f>
        <v/>
      </c>
      <c r="W41">
        <f>HYPERLINK("https://klasma.github.io/Logging_0115/klagomålsmail/A 21-2022 FSC-klagomål mail.docx", "A 21-2022")</f>
        <v/>
      </c>
      <c r="X41">
        <f>HYPERLINK("https://klasma.github.io/Logging_0115/tillsyn/A 21-2022 tillsynsbegäran.docx", "A 21-2022")</f>
        <v/>
      </c>
      <c r="Y41">
        <f>HYPERLINK("https://klasma.github.io/Logging_0115/tillsynsmail/A 21-2022 tillsynsbegäran mail.docx", "A 21-2022")</f>
        <v/>
      </c>
    </row>
    <row r="42" ht="15" customHeight="1">
      <c r="A42" t="inlineStr">
        <is>
          <t>A 8500-2022</t>
        </is>
      </c>
      <c r="B42" s="1" t="n">
        <v>44613</v>
      </c>
      <c r="C42" s="1" t="n">
        <v>45570</v>
      </c>
      <c r="D42" t="inlineStr">
        <is>
          <t>STOCKHOLMS LÄN</t>
        </is>
      </c>
      <c r="E42" t="inlineStr">
        <is>
          <t>VALLENTUNA</t>
        </is>
      </c>
      <c r="G42" t="n">
        <v>5</v>
      </c>
      <c r="H42" t="n">
        <v>0</v>
      </c>
      <c r="I42" t="n">
        <v>1</v>
      </c>
      <c r="J42" t="n">
        <v>0</v>
      </c>
      <c r="K42" t="n">
        <v>0</v>
      </c>
      <c r="L42" t="n">
        <v>0</v>
      </c>
      <c r="M42" t="n">
        <v>0</v>
      </c>
      <c r="N42" t="n">
        <v>0</v>
      </c>
      <c r="O42" t="n">
        <v>0</v>
      </c>
      <c r="P42" t="n">
        <v>0</v>
      </c>
      <c r="Q42" t="n">
        <v>1</v>
      </c>
      <c r="R42" s="2" t="inlineStr">
        <is>
          <t>Blåmossa</t>
        </is>
      </c>
      <c r="S42">
        <f>HYPERLINK("https://klasma.github.io/Logging_0115/artfynd/A 8500-2022 artfynd.xlsx", "A 8500-2022")</f>
        <v/>
      </c>
      <c r="T42">
        <f>HYPERLINK("https://klasma.github.io/Logging_0115/kartor/A 8500-2022 karta.png", "A 8500-2022")</f>
        <v/>
      </c>
      <c r="V42">
        <f>HYPERLINK("https://klasma.github.io/Logging_0115/klagomål/A 8500-2022 FSC-klagomål.docx", "A 8500-2022")</f>
        <v/>
      </c>
      <c r="W42">
        <f>HYPERLINK("https://klasma.github.io/Logging_0115/klagomålsmail/A 8500-2022 FSC-klagomål mail.docx", "A 8500-2022")</f>
        <v/>
      </c>
      <c r="X42">
        <f>HYPERLINK("https://klasma.github.io/Logging_0115/tillsyn/A 8500-2022 tillsynsbegäran.docx", "A 8500-2022")</f>
        <v/>
      </c>
      <c r="Y42">
        <f>HYPERLINK("https://klasma.github.io/Logging_0115/tillsynsmail/A 8500-2022 tillsynsbegäran mail.docx", "A 8500-2022")</f>
        <v/>
      </c>
    </row>
    <row r="43" ht="15" customHeight="1">
      <c r="A43" t="inlineStr">
        <is>
          <t>A 9445-2022</t>
        </is>
      </c>
      <c r="B43" s="1" t="n">
        <v>44616</v>
      </c>
      <c r="C43" s="1" t="n">
        <v>45570</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45570</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45570</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45570</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45570</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45570</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45570</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45570</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45570</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45570</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45570</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45570</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45570</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45570</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45570</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45570</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45570</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45570</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45570</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45570</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45570</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45570</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45570</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45570</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45570</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45570</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45570</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45570</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45570</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45570</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45570</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45570</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45570</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45570</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45570</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45570</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45570</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45570</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45570</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45570</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45570</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45570</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45570</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45570</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45570</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45570</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45570</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45570</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45570</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45570</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45570</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45570</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45570</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45570</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45570</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45570</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45570</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45570</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45570</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45570</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45570</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45570</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45570</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45570</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45570</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45570</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45570</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45570</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45570</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45570</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45570</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45570</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45570</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45570</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45570</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45570</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45570</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45570</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45570</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45570</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45570</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45570</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45570</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45570</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45570</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45570</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45570</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45570</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45570</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45570</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45570</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45570</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45570</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45570</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45570</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45570</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45570</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45570</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45570</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45570</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45570</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45570</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45570</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45570</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45570</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45570</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45570</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45570</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45570</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45570</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45570</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45570</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45570</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45570</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45570</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45570</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45570</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45570</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45570</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45570</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45570</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45570</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45570</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45570</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45570</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45570</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45570</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45570</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45570</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45570</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45570</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45570</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45570</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45570</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45570</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45570</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45570</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45570</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45570</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45570</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45570</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45570</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45570</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45570</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45570</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45570</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45570</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45570</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45570</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45570</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45570</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45570</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45570</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45570</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45570</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45570</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45570</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45570</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45570</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45570</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45570</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45570</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45570</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45570</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45570</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45570</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45570</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45570</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45570</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45570</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45570</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45570</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45570</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45570</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45570</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45570</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45570</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45570</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45570</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45570</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45570</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45570</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45570</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45570</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45570</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45570</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45570</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45570</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45570</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45570</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45570</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45570</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45570</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45570</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45570</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45570</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45570</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45570</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45570</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45570</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45570</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45570</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45570</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45570</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45570</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45570</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45570</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45570</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45570</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45570</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45570</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c r="A254" t="inlineStr">
        <is>
          <t>A 38102-2024</t>
        </is>
      </c>
      <c r="B254" s="1" t="n">
        <v>45545</v>
      </c>
      <c r="C254" s="1" t="n">
        <v>45570</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2024-10-05T12:59:15Z</dcterms:created>
  <dcterms:modified xmlns:dcterms="http://purl.org/dc/terms/" xmlns:xsi="http://www.w3.org/2001/XMLSchema-instance" xsi:type="dcterms:W3CDTF">2024-10-05T12:59:15Z</dcterms:modified>
</cp:coreProperties>
</file>