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46141</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46141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46141</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46141</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46141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9445-2022</t>
        </is>
      </c>
      <c r="B20" s="1" t="n">
        <v>44616</v>
      </c>
      <c r="C20" s="1" t="n">
        <v>46141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70608-2021</t>
        </is>
      </c>
      <c r="B21" s="1" t="n">
        <v>44536</v>
      </c>
      <c r="C21" s="1" t="n">
        <v>46141</v>
      </c>
      <c r="D21" t="inlineStr">
        <is>
          <t>STOCKHOLMS LÄN</t>
        </is>
      </c>
      <c r="E21" t="inlineStr">
        <is>
          <t>VALLENTUNA</t>
        </is>
      </c>
      <c r="G21" t="n">
        <v>10.4</v>
      </c>
      <c r="H21" t="n">
        <v>1</v>
      </c>
      <c r="I21" t="n">
        <v>1</v>
      </c>
      <c r="J21" t="n">
        <v>1</v>
      </c>
      <c r="K21" t="n">
        <v>0</v>
      </c>
      <c r="L21" t="n">
        <v>0</v>
      </c>
      <c r="M21" t="n">
        <v>0</v>
      </c>
      <c r="N21" t="n">
        <v>0</v>
      </c>
      <c r="O21" t="n">
        <v>1</v>
      </c>
      <c r="P21" t="n">
        <v>0</v>
      </c>
      <c r="Q21" t="n">
        <v>2</v>
      </c>
      <c r="R21" s="2" t="inlineStr">
        <is>
          <t>Talltita
Tibast</t>
        </is>
      </c>
      <c r="S21">
        <f>HYPERLINK("https://klasma.github.io/Logging_0115/artfynd/A 70608-2021 artfynd.xlsx", "A 70608-2021")</f>
        <v/>
      </c>
      <c r="T21">
        <f>HYPERLINK("https://klasma.github.io/Logging_0115/kartor/A 70608-2021 karta.png", "A 70608-2021")</f>
        <v/>
      </c>
      <c r="V21">
        <f>HYPERLINK("https://klasma.github.io/Logging_0115/klagomål/A 70608-2021 FSC-klagomål.docx", "A 70608-2021")</f>
        <v/>
      </c>
      <c r="W21">
        <f>HYPERLINK("https://klasma.github.io/Logging_0115/klagomålsmail/A 70608-2021 FSC-klagomål mail.docx", "A 70608-2021")</f>
        <v/>
      </c>
      <c r="X21">
        <f>HYPERLINK("https://klasma.github.io/Logging_0115/tillsyn/A 70608-2021 tillsynsbegäran.docx", "A 70608-2021")</f>
        <v/>
      </c>
      <c r="Y21">
        <f>HYPERLINK("https://klasma.github.io/Logging_0115/tillsynsmail/A 70608-2021 tillsynsbegäran mail.docx", "A 70608-2021")</f>
        <v/>
      </c>
      <c r="Z21">
        <f>HYPERLINK("https://klasma.github.io/Logging_0115/fåglar/A 70608-2021 prioriterade fågelarter.docx", "A 70608-2021")</f>
        <v/>
      </c>
    </row>
    <row r="22" ht="15" customHeight="1">
      <c r="A22" t="inlineStr">
        <is>
          <t>A 46-2022</t>
        </is>
      </c>
      <c r="B22" s="1" t="n">
        <v>44560</v>
      </c>
      <c r="C22" s="1" t="n">
        <v>46141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46141</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21612-2021</t>
        </is>
      </c>
      <c r="B24" s="1" t="n">
        <v>44321</v>
      </c>
      <c r="C24" s="1" t="n">
        <v>46141</v>
      </c>
      <c r="D24" t="inlineStr">
        <is>
          <t>STOCKHOLMS LÄN</t>
        </is>
      </c>
      <c r="E24" t="inlineStr">
        <is>
          <t>VALLENTUNA</t>
        </is>
      </c>
      <c r="G24" t="n">
        <v>1.4</v>
      </c>
      <c r="H24" t="n">
        <v>2</v>
      </c>
      <c r="I24" t="n">
        <v>0</v>
      </c>
      <c r="J24" t="n">
        <v>1</v>
      </c>
      <c r="K24" t="n">
        <v>0</v>
      </c>
      <c r="L24" t="n">
        <v>0</v>
      </c>
      <c r="M24" t="n">
        <v>0</v>
      </c>
      <c r="N24" t="n">
        <v>0</v>
      </c>
      <c r="O24" t="n">
        <v>1</v>
      </c>
      <c r="P24" t="n">
        <v>0</v>
      </c>
      <c r="Q24" t="n">
        <v>2</v>
      </c>
      <c r="R24" s="2" t="inlineStr">
        <is>
          <t>Gulsparv
Grönsiska</t>
        </is>
      </c>
      <c r="S24">
        <f>HYPERLINK("https://klasma.github.io/Logging_0115/artfynd/A 21612-2021 artfynd.xlsx", "A 21612-2021")</f>
        <v/>
      </c>
      <c r="T24">
        <f>HYPERLINK("https://klasma.github.io/Logging_0115/kartor/A 21612-2021 karta.png", "A 21612-2021")</f>
        <v/>
      </c>
      <c r="V24">
        <f>HYPERLINK("https://klasma.github.io/Logging_0115/klagomål/A 21612-2021 FSC-klagomål.docx", "A 21612-2021")</f>
        <v/>
      </c>
      <c r="W24">
        <f>HYPERLINK("https://klasma.github.io/Logging_0115/klagomålsmail/A 21612-2021 FSC-klagomål mail.docx", "A 21612-2021")</f>
        <v/>
      </c>
      <c r="X24">
        <f>HYPERLINK("https://klasma.github.io/Logging_0115/tillsyn/A 21612-2021 tillsynsbegäran.docx", "A 21612-2021")</f>
        <v/>
      </c>
      <c r="Y24">
        <f>HYPERLINK("https://klasma.github.io/Logging_0115/tillsynsmail/A 21612-2021 tillsynsbegäran mail.docx", "A 21612-2021")</f>
        <v/>
      </c>
      <c r="Z24">
        <f>HYPERLINK("https://klasma.github.io/Logging_0115/fåglar/A 21612-2021 prioriterade fågelarter.docx", "A 21612-2021")</f>
        <v/>
      </c>
    </row>
    <row r="25" ht="15" customHeight="1">
      <c r="A25" t="inlineStr">
        <is>
          <t>A 62402-2022</t>
        </is>
      </c>
      <c r="B25" s="1" t="n">
        <v>44923</v>
      </c>
      <c r="C25" s="1" t="n">
        <v>46141</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41021-2023</t>
        </is>
      </c>
      <c r="B26" s="1" t="n">
        <v>45173</v>
      </c>
      <c r="C26" s="1" t="n">
        <v>46141</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754-2024</t>
        </is>
      </c>
      <c r="B27" s="1" t="n">
        <v>45300</v>
      </c>
      <c r="C27" s="1" t="n">
        <v>46141</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46141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17348-2025</t>
        </is>
      </c>
      <c r="B29" s="1" t="n">
        <v>45756</v>
      </c>
      <c r="C29" s="1" t="n">
        <v>46141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14508-2024</t>
        </is>
      </c>
      <c r="B30" s="1" t="n">
        <v>45394.61583333334</v>
      </c>
      <c r="C30" s="1" t="n">
        <v>46141</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34458-2023</t>
        </is>
      </c>
      <c r="B31" s="1" t="n">
        <v>45139</v>
      </c>
      <c r="C31" s="1" t="n">
        <v>46141</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21439-2025</t>
        </is>
      </c>
      <c r="B32" s="1" t="n">
        <v>45782.52939814814</v>
      </c>
      <c r="C32" s="1" t="n">
        <v>46141</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21-2022</t>
        </is>
      </c>
      <c r="B33" s="1" t="n">
        <v>44560</v>
      </c>
      <c r="C33" s="1" t="n">
        <v>46141</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7890-2023</t>
        </is>
      </c>
      <c r="B34" s="1" t="n">
        <v>44973</v>
      </c>
      <c r="C34" s="1" t="n">
        <v>46141</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22830-2024</t>
        </is>
      </c>
      <c r="B35" s="1" t="n">
        <v>45448.56583333333</v>
      </c>
      <c r="C35" s="1" t="n">
        <v>46141</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22936-2025</t>
        </is>
      </c>
      <c r="B36" s="1" t="n">
        <v>45790.45738425926</v>
      </c>
      <c r="C36" s="1" t="n">
        <v>46141</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54481-2025</t>
        </is>
      </c>
      <c r="B37" s="1" t="n">
        <v>45965.58837962963</v>
      </c>
      <c r="C37" s="1" t="n">
        <v>46141</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17341-2025</t>
        </is>
      </c>
      <c r="B38" s="1" t="n">
        <v>45756</v>
      </c>
      <c r="C38" s="1" t="n">
        <v>46141</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34460-2023</t>
        </is>
      </c>
      <c r="B39" s="1" t="n">
        <v>45139</v>
      </c>
      <c r="C39" s="1" t="n">
        <v>46141</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63539-2025</t>
        </is>
      </c>
      <c r="B40" s="1" t="n">
        <v>46013.58824074074</v>
      </c>
      <c r="C40" s="1" t="n">
        <v>46141</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63543-2025</t>
        </is>
      </c>
      <c r="B41" s="1" t="n">
        <v>46013.59207175926</v>
      </c>
      <c r="C41" s="1" t="n">
        <v>46141</v>
      </c>
      <c r="D41" t="inlineStr">
        <is>
          <t>STOCKHOLMS LÄN</t>
        </is>
      </c>
      <c r="E41" t="inlineStr">
        <is>
          <t>VALLENTUNA</t>
        </is>
      </c>
      <c r="G41" t="n">
        <v>3.4</v>
      </c>
      <c r="H41" t="n">
        <v>0</v>
      </c>
      <c r="I41" t="n">
        <v>0</v>
      </c>
      <c r="J41" t="n">
        <v>1</v>
      </c>
      <c r="K41" t="n">
        <v>0</v>
      </c>
      <c r="L41" t="n">
        <v>0</v>
      </c>
      <c r="M41" t="n">
        <v>0</v>
      </c>
      <c r="N41" t="n">
        <v>0</v>
      </c>
      <c r="O41" t="n">
        <v>1</v>
      </c>
      <c r="P41" t="n">
        <v>0</v>
      </c>
      <c r="Q41" t="n">
        <v>1</v>
      </c>
      <c r="R41" s="2" t="inlineStr">
        <is>
          <t>Tallticka</t>
        </is>
      </c>
      <c r="S41">
        <f>HYPERLINK("https://klasma.github.io/Logging_0115/artfynd/A 63543-2025 artfynd.xlsx", "A 63543-2025")</f>
        <v/>
      </c>
      <c r="T41">
        <f>HYPERLINK("https://klasma.github.io/Logging_0115/kartor/A 63543-2025 karta.png", "A 63543-2025")</f>
        <v/>
      </c>
      <c r="V41">
        <f>HYPERLINK("https://klasma.github.io/Logging_0115/klagomål/A 63543-2025 FSC-klagomål.docx", "A 63543-2025")</f>
        <v/>
      </c>
      <c r="W41">
        <f>HYPERLINK("https://klasma.github.io/Logging_0115/klagomålsmail/A 63543-2025 FSC-klagomål mail.docx", "A 63543-2025")</f>
        <v/>
      </c>
      <c r="X41">
        <f>HYPERLINK("https://klasma.github.io/Logging_0115/tillsyn/A 63543-2025 tillsynsbegäran.docx", "A 63543-2025")</f>
        <v/>
      </c>
      <c r="Y41">
        <f>HYPERLINK("https://klasma.github.io/Logging_0115/tillsynsmail/A 63543-2025 tillsynsbegäran mail.docx", "A 63543-2025")</f>
        <v/>
      </c>
    </row>
    <row r="42" ht="15" customHeight="1">
      <c r="A42" t="inlineStr">
        <is>
          <t>A 12401-2026</t>
        </is>
      </c>
      <c r="B42" s="1" t="n">
        <v>46090</v>
      </c>
      <c r="C42" s="1" t="n">
        <v>46141</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12396-2026</t>
        </is>
      </c>
      <c r="B43" s="1" t="n">
        <v>46090.38930555555</v>
      </c>
      <c r="C43" s="1" t="n">
        <v>46141</v>
      </c>
      <c r="D43" t="inlineStr">
        <is>
          <t>STOCKHOLMS LÄN</t>
        </is>
      </c>
      <c r="E43" t="inlineStr">
        <is>
          <t>VALLENTUNA</t>
        </is>
      </c>
      <c r="G43" t="n">
        <v>3</v>
      </c>
      <c r="H43" t="n">
        <v>1</v>
      </c>
      <c r="I43" t="n">
        <v>0</v>
      </c>
      <c r="J43" t="n">
        <v>1</v>
      </c>
      <c r="K43" t="n">
        <v>0</v>
      </c>
      <c r="L43" t="n">
        <v>0</v>
      </c>
      <c r="M43" t="n">
        <v>0</v>
      </c>
      <c r="N43" t="n">
        <v>0</v>
      </c>
      <c r="O43" t="n">
        <v>1</v>
      </c>
      <c r="P43" t="n">
        <v>0</v>
      </c>
      <c r="Q43" t="n">
        <v>1</v>
      </c>
      <c r="R43" s="2" t="inlineStr">
        <is>
          <t>Spillkråka</t>
        </is>
      </c>
      <c r="S43">
        <f>HYPERLINK("https://klasma.github.io/Logging_0115/artfynd/A 12396-2026 artfynd.xlsx", "A 12396-2026")</f>
        <v/>
      </c>
      <c r="T43">
        <f>HYPERLINK("https://klasma.github.io/Logging_0115/kartor/A 12396-2026 karta.png", "A 12396-2026")</f>
        <v/>
      </c>
      <c r="V43">
        <f>HYPERLINK("https://klasma.github.io/Logging_0115/klagomål/A 12396-2026 FSC-klagomål.docx", "A 12396-2026")</f>
        <v/>
      </c>
      <c r="W43">
        <f>HYPERLINK("https://klasma.github.io/Logging_0115/klagomålsmail/A 12396-2026 FSC-klagomål mail.docx", "A 12396-2026")</f>
        <v/>
      </c>
      <c r="X43">
        <f>HYPERLINK("https://klasma.github.io/Logging_0115/tillsyn/A 12396-2026 tillsynsbegäran.docx", "A 12396-2026")</f>
        <v/>
      </c>
      <c r="Y43">
        <f>HYPERLINK("https://klasma.github.io/Logging_0115/tillsynsmail/A 12396-2026 tillsynsbegäran mail.docx", "A 12396-2026")</f>
        <v/>
      </c>
      <c r="Z43">
        <f>HYPERLINK("https://klasma.github.io/Logging_0115/fåglar/A 12396-2026 prioriterade fågelarter.docx", "A 12396-2026")</f>
        <v/>
      </c>
    </row>
    <row r="44" ht="15" customHeight="1">
      <c r="A44" t="inlineStr">
        <is>
          <t>A 20612-2021</t>
        </is>
      </c>
      <c r="B44" s="1" t="n">
        <v>44315</v>
      </c>
      <c r="C44" s="1" t="n">
        <v>46141</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46141</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46141</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46141</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46141</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46141</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46141</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46141</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46141</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46141</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7276-2022</t>
        </is>
      </c>
      <c r="B55" s="1" t="n">
        <v>44606</v>
      </c>
      <c r="C55" s="1" t="n">
        <v>46141</v>
      </c>
      <c r="D55" t="inlineStr">
        <is>
          <t>STOCKHOLMS LÄN</t>
        </is>
      </c>
      <c r="E55" t="inlineStr">
        <is>
          <t>VALLENTUNA</t>
        </is>
      </c>
      <c r="G55" t="n">
        <v>1.7</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46141</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46924-2021</t>
        </is>
      </c>
      <c r="B57" s="1" t="n">
        <v>44446</v>
      </c>
      <c r="C57" s="1" t="n">
        <v>46141</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735-2024</t>
        </is>
      </c>
      <c r="B58" s="1" t="n">
        <v>45300</v>
      </c>
      <c r="C58" s="1" t="n">
        <v>46141</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12585-2023</t>
        </is>
      </c>
      <c r="B59" s="1" t="n">
        <v>45000.41373842592</v>
      </c>
      <c r="C59" s="1" t="n">
        <v>46141</v>
      </c>
      <c r="D59" t="inlineStr">
        <is>
          <t>STOCKHOLMS LÄN</t>
        </is>
      </c>
      <c r="E59" t="inlineStr">
        <is>
          <t>VALLENTUNA</t>
        </is>
      </c>
      <c r="G59" t="n">
        <v>3.7</v>
      </c>
      <c r="H59" t="n">
        <v>0</v>
      </c>
      <c r="I59" t="n">
        <v>0</v>
      </c>
      <c r="J59" t="n">
        <v>0</v>
      </c>
      <c r="K59" t="n">
        <v>0</v>
      </c>
      <c r="L59" t="n">
        <v>0</v>
      </c>
      <c r="M59" t="n">
        <v>0</v>
      </c>
      <c r="N59" t="n">
        <v>0</v>
      </c>
      <c r="O59" t="n">
        <v>0</v>
      </c>
      <c r="P59" t="n">
        <v>0</v>
      </c>
      <c r="Q59" t="n">
        <v>0</v>
      </c>
      <c r="R59" s="2" t="inlineStr"/>
    </row>
    <row r="60" ht="15" customHeight="1">
      <c r="A60" t="inlineStr">
        <is>
          <t>A 48078-2021</t>
        </is>
      </c>
      <c r="B60" s="1" t="n">
        <v>44449.42578703703</v>
      </c>
      <c r="C60" s="1" t="n">
        <v>46141</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8077-2022</t>
        </is>
      </c>
      <c r="B61" s="1" t="n">
        <v>44609</v>
      </c>
      <c r="C61" s="1" t="n">
        <v>46141</v>
      </c>
      <c r="D61" t="inlineStr">
        <is>
          <t>STOCKHOLMS LÄN</t>
        </is>
      </c>
      <c r="E61" t="inlineStr">
        <is>
          <t>VALLENTUNA</t>
        </is>
      </c>
      <c r="G61" t="n">
        <v>1.3</v>
      </c>
      <c r="H61" t="n">
        <v>0</v>
      </c>
      <c r="I61" t="n">
        <v>0</v>
      </c>
      <c r="J61" t="n">
        <v>0</v>
      </c>
      <c r="K61" t="n">
        <v>0</v>
      </c>
      <c r="L61" t="n">
        <v>0</v>
      </c>
      <c r="M61" t="n">
        <v>0</v>
      </c>
      <c r="N61" t="n">
        <v>0</v>
      </c>
      <c r="O61" t="n">
        <v>0</v>
      </c>
      <c r="P61" t="n">
        <v>0</v>
      </c>
      <c r="Q61" t="n">
        <v>0</v>
      </c>
      <c r="R61" s="2" t="inlineStr"/>
    </row>
    <row r="62" ht="15" customHeight="1">
      <c r="A62" t="inlineStr">
        <is>
          <t>A 47140-2024</t>
        </is>
      </c>
      <c r="B62" s="1" t="n">
        <v>45586.58753472222</v>
      </c>
      <c r="C62" s="1" t="n">
        <v>46141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46141</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46141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26390-2023</t>
        </is>
      </c>
      <c r="B65" s="1" t="n">
        <v>45086</v>
      </c>
      <c r="C65" s="1" t="n">
        <v>46141</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61742-2022</t>
        </is>
      </c>
      <c r="B66" s="1" t="n">
        <v>44917</v>
      </c>
      <c r="C66" s="1" t="n">
        <v>46141</v>
      </c>
      <c r="D66" t="inlineStr">
        <is>
          <t>STOCKHOLMS LÄN</t>
        </is>
      </c>
      <c r="E66" t="inlineStr">
        <is>
          <t>VALLENTUNA</t>
        </is>
      </c>
      <c r="G66" t="n">
        <v>0.5</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46141</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11950-2025</t>
        </is>
      </c>
      <c r="B68" s="1" t="n">
        <v>45728.55622685186</v>
      </c>
      <c r="C68" s="1" t="n">
        <v>46141</v>
      </c>
      <c r="D68" t="inlineStr">
        <is>
          <t>STOCKHOLMS LÄN</t>
        </is>
      </c>
      <c r="E68" t="inlineStr">
        <is>
          <t>VALLENTUNA</t>
        </is>
      </c>
      <c r="G68" t="n">
        <v>1.4</v>
      </c>
      <c r="H68" t="n">
        <v>0</v>
      </c>
      <c r="I68" t="n">
        <v>0</v>
      </c>
      <c r="J68" t="n">
        <v>0</v>
      </c>
      <c r="K68" t="n">
        <v>0</v>
      </c>
      <c r="L68" t="n">
        <v>0</v>
      </c>
      <c r="M68" t="n">
        <v>0</v>
      </c>
      <c r="N68" t="n">
        <v>0</v>
      </c>
      <c r="O68" t="n">
        <v>0</v>
      </c>
      <c r="P68" t="n">
        <v>0</v>
      </c>
      <c r="Q68" t="n">
        <v>0</v>
      </c>
      <c r="R68" s="2" t="inlineStr"/>
    </row>
    <row r="69" ht="15" customHeight="1">
      <c r="A69" t="inlineStr">
        <is>
          <t>A 21765-2023</t>
        </is>
      </c>
      <c r="B69" s="1" t="n">
        <v>45064</v>
      </c>
      <c r="C69" s="1" t="n">
        <v>46141</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21614-2022</t>
        </is>
      </c>
      <c r="B70" s="1" t="n">
        <v>44706</v>
      </c>
      <c r="C70" s="1" t="n">
        <v>46141</v>
      </c>
      <c r="D70" t="inlineStr">
        <is>
          <t>STOCKHOLMS LÄN</t>
        </is>
      </c>
      <c r="E70" t="inlineStr">
        <is>
          <t>VALLENTUNA</t>
        </is>
      </c>
      <c r="G70" t="n">
        <v>4</v>
      </c>
      <c r="H70" t="n">
        <v>0</v>
      </c>
      <c r="I70" t="n">
        <v>0</v>
      </c>
      <c r="J70" t="n">
        <v>0</v>
      </c>
      <c r="K70" t="n">
        <v>0</v>
      </c>
      <c r="L70" t="n">
        <v>0</v>
      </c>
      <c r="M70" t="n">
        <v>0</v>
      </c>
      <c r="N70" t="n">
        <v>0</v>
      </c>
      <c r="O70" t="n">
        <v>0</v>
      </c>
      <c r="P70" t="n">
        <v>0</v>
      </c>
      <c r="Q70" t="n">
        <v>0</v>
      </c>
      <c r="R70" s="2" t="inlineStr"/>
    </row>
    <row r="71" ht="15" customHeight="1">
      <c r="A71" t="inlineStr">
        <is>
          <t>A 12562-2023</t>
        </is>
      </c>
      <c r="B71" s="1" t="n">
        <v>45000</v>
      </c>
      <c r="C71" s="1" t="n">
        <v>46141</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46141</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17340-2025</t>
        </is>
      </c>
      <c r="B73" s="1" t="n">
        <v>45756</v>
      </c>
      <c r="C73" s="1" t="n">
        <v>46141</v>
      </c>
      <c r="D73" t="inlineStr">
        <is>
          <t>STOCKHOLMS LÄN</t>
        </is>
      </c>
      <c r="E73" t="inlineStr">
        <is>
          <t>VALLENTUNA</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23986-2023</t>
        </is>
      </c>
      <c r="B74" s="1" t="n">
        <v>45078</v>
      </c>
      <c r="C74" s="1" t="n">
        <v>46141</v>
      </c>
      <c r="D74" t="inlineStr">
        <is>
          <t>STOCKHOLMS LÄN</t>
        </is>
      </c>
      <c r="E74" t="inlineStr">
        <is>
          <t>VALLENTUNA</t>
        </is>
      </c>
      <c r="F74" t="inlineStr">
        <is>
          <t>Kyrkan</t>
        </is>
      </c>
      <c r="G74" t="n">
        <v>5.7</v>
      </c>
      <c r="H74" t="n">
        <v>0</v>
      </c>
      <c r="I74" t="n">
        <v>0</v>
      </c>
      <c r="J74" t="n">
        <v>0</v>
      </c>
      <c r="K74" t="n">
        <v>0</v>
      </c>
      <c r="L74" t="n">
        <v>0</v>
      </c>
      <c r="M74" t="n">
        <v>0</v>
      </c>
      <c r="N74" t="n">
        <v>0</v>
      </c>
      <c r="O74" t="n">
        <v>0</v>
      </c>
      <c r="P74" t="n">
        <v>0</v>
      </c>
      <c r="Q74" t="n">
        <v>0</v>
      </c>
      <c r="R74" s="2" t="inlineStr"/>
    </row>
    <row r="75" ht="15" customHeight="1">
      <c r="A75" t="inlineStr">
        <is>
          <t>A 14489-2024</t>
        </is>
      </c>
      <c r="B75" s="1" t="n">
        <v>45394.58053240741</v>
      </c>
      <c r="C75" s="1" t="n">
        <v>46141</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15268-2023</t>
        </is>
      </c>
      <c r="B76" s="1" t="n">
        <v>45019.41045138889</v>
      </c>
      <c r="C76" s="1" t="n">
        <v>46141</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46141</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46141</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46141</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45496-2023</t>
        </is>
      </c>
      <c r="B80" s="1" t="n">
        <v>45194</v>
      </c>
      <c r="C80" s="1" t="n">
        <v>46141</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29704-2023</t>
        </is>
      </c>
      <c r="B81" s="1" t="n">
        <v>45107</v>
      </c>
      <c r="C81" s="1" t="n">
        <v>46141</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45499-2023</t>
        </is>
      </c>
      <c r="B82" s="1" t="n">
        <v>45194</v>
      </c>
      <c r="C82" s="1" t="n">
        <v>46141</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34452-2021</t>
        </is>
      </c>
      <c r="B83" s="1" t="n">
        <v>44381</v>
      </c>
      <c r="C83" s="1" t="n">
        <v>46141</v>
      </c>
      <c r="D83" t="inlineStr">
        <is>
          <t>STOCKHOLMS LÄN</t>
        </is>
      </c>
      <c r="E83" t="inlineStr">
        <is>
          <t>VALLENTUNA</t>
        </is>
      </c>
      <c r="G83" t="n">
        <v>14.7</v>
      </c>
      <c r="H83" t="n">
        <v>0</v>
      </c>
      <c r="I83" t="n">
        <v>0</v>
      </c>
      <c r="J83" t="n">
        <v>0</v>
      </c>
      <c r="K83" t="n">
        <v>0</v>
      </c>
      <c r="L83" t="n">
        <v>0</v>
      </c>
      <c r="M83" t="n">
        <v>0</v>
      </c>
      <c r="N83" t="n">
        <v>0</v>
      </c>
      <c r="O83" t="n">
        <v>0</v>
      </c>
      <c r="P83" t="n">
        <v>0</v>
      </c>
      <c r="Q83" t="n">
        <v>0</v>
      </c>
      <c r="R83" s="2" t="inlineStr"/>
    </row>
    <row r="84" ht="15" customHeight="1">
      <c r="A84" t="inlineStr">
        <is>
          <t>A 20791-2025</t>
        </is>
      </c>
      <c r="B84" s="1" t="n">
        <v>45776.62738425926</v>
      </c>
      <c r="C84" s="1" t="n">
        <v>46141</v>
      </c>
      <c r="D84" t="inlineStr">
        <is>
          <t>STOCKHOLMS LÄN</t>
        </is>
      </c>
      <c r="E84" t="inlineStr">
        <is>
          <t>VALLENTUNA</t>
        </is>
      </c>
      <c r="G84" t="n">
        <v>1.5</v>
      </c>
      <c r="H84" t="n">
        <v>0</v>
      </c>
      <c r="I84" t="n">
        <v>0</v>
      </c>
      <c r="J84" t="n">
        <v>0</v>
      </c>
      <c r="K84" t="n">
        <v>0</v>
      </c>
      <c r="L84" t="n">
        <v>0</v>
      </c>
      <c r="M84" t="n">
        <v>0</v>
      </c>
      <c r="N84" t="n">
        <v>0</v>
      </c>
      <c r="O84" t="n">
        <v>0</v>
      </c>
      <c r="P84" t="n">
        <v>0</v>
      </c>
      <c r="Q84" t="n">
        <v>0</v>
      </c>
      <c r="R84" s="2" t="inlineStr"/>
    </row>
    <row r="85" ht="15" customHeight="1">
      <c r="A85" t="inlineStr">
        <is>
          <t>A 41206-2025</t>
        </is>
      </c>
      <c r="B85" s="1" t="n">
        <v>45898</v>
      </c>
      <c r="C85" s="1" t="n">
        <v>46141</v>
      </c>
      <c r="D85" t="inlineStr">
        <is>
          <t>STOCKHOLMS LÄN</t>
        </is>
      </c>
      <c r="E85" t="inlineStr">
        <is>
          <t>VALLENTUNA</t>
        </is>
      </c>
      <c r="G85" t="n">
        <v>10</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46141</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10073-2024</t>
        </is>
      </c>
      <c r="B87" s="1" t="n">
        <v>45364.40821759259</v>
      </c>
      <c r="C87" s="1" t="n">
        <v>46141</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12621-2024</t>
        </is>
      </c>
      <c r="B88" s="1" t="n">
        <v>45383.6325</v>
      </c>
      <c r="C88" s="1" t="n">
        <v>46141</v>
      </c>
      <c r="D88" t="inlineStr">
        <is>
          <t>STOCKHOLMS LÄN</t>
        </is>
      </c>
      <c r="E88" t="inlineStr">
        <is>
          <t>VALLENTUNA</t>
        </is>
      </c>
      <c r="G88" t="n">
        <v>4.4</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46141</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3937-2022</t>
        </is>
      </c>
      <c r="B90" s="1" t="n">
        <v>44587</v>
      </c>
      <c r="C90" s="1" t="n">
        <v>46141</v>
      </c>
      <c r="D90" t="inlineStr">
        <is>
          <t>STOCKHOLMS LÄN</t>
        </is>
      </c>
      <c r="E90" t="inlineStr">
        <is>
          <t>VALLENTUNA</t>
        </is>
      </c>
      <c r="G90" t="n">
        <v>6.6</v>
      </c>
      <c r="H90" t="n">
        <v>0</v>
      </c>
      <c r="I90" t="n">
        <v>0</v>
      </c>
      <c r="J90" t="n">
        <v>0</v>
      </c>
      <c r="K90" t="n">
        <v>0</v>
      </c>
      <c r="L90" t="n">
        <v>0</v>
      </c>
      <c r="M90" t="n">
        <v>0</v>
      </c>
      <c r="N90" t="n">
        <v>0</v>
      </c>
      <c r="O90" t="n">
        <v>0</v>
      </c>
      <c r="P90" t="n">
        <v>0</v>
      </c>
      <c r="Q90" t="n">
        <v>0</v>
      </c>
      <c r="R90" s="2" t="inlineStr"/>
    </row>
    <row r="91" ht="15" customHeight="1">
      <c r="A91" t="inlineStr">
        <is>
          <t>A 23013-2024</t>
        </is>
      </c>
      <c r="B91" s="1" t="n">
        <v>45450.35116898148</v>
      </c>
      <c r="C91" s="1" t="n">
        <v>46141</v>
      </c>
      <c r="D91" t="inlineStr">
        <is>
          <t>STOCKHOLMS LÄN</t>
        </is>
      </c>
      <c r="E91" t="inlineStr">
        <is>
          <t>VALLENTUNA</t>
        </is>
      </c>
      <c r="G91" t="n">
        <v>0.4</v>
      </c>
      <c r="H91" t="n">
        <v>0</v>
      </c>
      <c r="I91" t="n">
        <v>0</v>
      </c>
      <c r="J91" t="n">
        <v>0</v>
      </c>
      <c r="K91" t="n">
        <v>0</v>
      </c>
      <c r="L91" t="n">
        <v>0</v>
      </c>
      <c r="M91" t="n">
        <v>0</v>
      </c>
      <c r="N91" t="n">
        <v>0</v>
      </c>
      <c r="O91" t="n">
        <v>0</v>
      </c>
      <c r="P91" t="n">
        <v>0</v>
      </c>
      <c r="Q91" t="n">
        <v>0</v>
      </c>
      <c r="R91" s="2" t="inlineStr"/>
    </row>
    <row r="92" ht="15" customHeight="1">
      <c r="A92" t="inlineStr">
        <is>
          <t>A 3078-2023</t>
        </is>
      </c>
      <c r="B92" s="1" t="n">
        <v>44946.41527777778</v>
      </c>
      <c r="C92" s="1" t="n">
        <v>46141</v>
      </c>
      <c r="D92" t="inlineStr">
        <is>
          <t>STOCKHOLMS LÄN</t>
        </is>
      </c>
      <c r="E92" t="inlineStr">
        <is>
          <t>VALLENTUNA</t>
        </is>
      </c>
      <c r="G92" t="n">
        <v>3.9</v>
      </c>
      <c r="H92" t="n">
        <v>0</v>
      </c>
      <c r="I92" t="n">
        <v>0</v>
      </c>
      <c r="J92" t="n">
        <v>0</v>
      </c>
      <c r="K92" t="n">
        <v>0</v>
      </c>
      <c r="L92" t="n">
        <v>0</v>
      </c>
      <c r="M92" t="n">
        <v>0</v>
      </c>
      <c r="N92" t="n">
        <v>0</v>
      </c>
      <c r="O92" t="n">
        <v>0</v>
      </c>
      <c r="P92" t="n">
        <v>0</v>
      </c>
      <c r="Q92" t="n">
        <v>0</v>
      </c>
      <c r="R92" s="2" t="inlineStr"/>
    </row>
    <row r="93" ht="15" customHeight="1">
      <c r="A93" t="inlineStr">
        <is>
          <t>A 13836-2022</t>
        </is>
      </c>
      <c r="B93" s="1" t="n">
        <v>44649</v>
      </c>
      <c r="C93" s="1" t="n">
        <v>46141</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46141</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44988-2025</t>
        </is>
      </c>
      <c r="B95" s="1" t="n">
        <v>45918.65505787037</v>
      </c>
      <c r="C95" s="1" t="n">
        <v>46141</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46141</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46141</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4803-2024</t>
        </is>
      </c>
      <c r="B98" s="1" t="n">
        <v>45328</v>
      </c>
      <c r="C98" s="1" t="n">
        <v>46141</v>
      </c>
      <c r="D98" t="inlineStr">
        <is>
          <t>STOCKHOLMS LÄN</t>
        </is>
      </c>
      <c r="E98" t="inlineStr">
        <is>
          <t>VALLENTUNA</t>
        </is>
      </c>
      <c r="G98" t="n">
        <v>4.6</v>
      </c>
      <c r="H98" t="n">
        <v>0</v>
      </c>
      <c r="I98" t="n">
        <v>0</v>
      </c>
      <c r="J98" t="n">
        <v>0</v>
      </c>
      <c r="K98" t="n">
        <v>0</v>
      </c>
      <c r="L98" t="n">
        <v>0</v>
      </c>
      <c r="M98" t="n">
        <v>0</v>
      </c>
      <c r="N98" t="n">
        <v>0</v>
      </c>
      <c r="O98" t="n">
        <v>0</v>
      </c>
      <c r="P98" t="n">
        <v>0</v>
      </c>
      <c r="Q98" t="n">
        <v>0</v>
      </c>
      <c r="R98" s="2" t="inlineStr"/>
    </row>
    <row r="99" ht="15" customHeight="1">
      <c r="A99" t="inlineStr">
        <is>
          <t>A 3698-2022</t>
        </is>
      </c>
      <c r="B99" s="1" t="n">
        <v>44586</v>
      </c>
      <c r="C99" s="1" t="n">
        <v>46141</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46141</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48014-2025</t>
        </is>
      </c>
      <c r="B101" s="1" t="n">
        <v>45932.64520833334</v>
      </c>
      <c r="C101" s="1" t="n">
        <v>46141</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48038-2025</t>
        </is>
      </c>
      <c r="B102" s="1" t="n">
        <v>45932.66008101852</v>
      </c>
      <c r="C102" s="1" t="n">
        <v>46141</v>
      </c>
      <c r="D102" t="inlineStr">
        <is>
          <t>STOCKHOLMS LÄN</t>
        </is>
      </c>
      <c r="E102" t="inlineStr">
        <is>
          <t>VALLENTUNA</t>
        </is>
      </c>
      <c r="G102" t="n">
        <v>0.5</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46141</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24994-2021</t>
        </is>
      </c>
      <c r="B104" s="1" t="n">
        <v>44341</v>
      </c>
      <c r="C104" s="1" t="n">
        <v>46141</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12234-2022</t>
        </is>
      </c>
      <c r="B105" s="1" t="n">
        <v>44637</v>
      </c>
      <c r="C105" s="1" t="n">
        <v>46141</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46141</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60795-2023</t>
        </is>
      </c>
      <c r="B107" s="1" t="n">
        <v>45260</v>
      </c>
      <c r="C107" s="1" t="n">
        <v>46141</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46141</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50784-2025</t>
        </is>
      </c>
      <c r="B109" s="1" t="n">
        <v>45946</v>
      </c>
      <c r="C109" s="1" t="n">
        <v>46141</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46381-2023</t>
        </is>
      </c>
      <c r="B110" s="1" t="n">
        <v>45193</v>
      </c>
      <c r="C110" s="1" t="n">
        <v>46141</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23009-2024</t>
        </is>
      </c>
      <c r="B111" s="1" t="n">
        <v>45450.34506944445</v>
      </c>
      <c r="C111" s="1" t="n">
        <v>46141</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61027-2023</t>
        </is>
      </c>
      <c r="B112" s="1" t="n">
        <v>45261</v>
      </c>
      <c r="C112" s="1" t="n">
        <v>46141</v>
      </c>
      <c r="D112" t="inlineStr">
        <is>
          <t>STOCKHOLMS LÄN</t>
        </is>
      </c>
      <c r="E112" t="inlineStr">
        <is>
          <t>VALLENTUNA</t>
        </is>
      </c>
      <c r="G112" t="n">
        <v>7.1</v>
      </c>
      <c r="H112" t="n">
        <v>0</v>
      </c>
      <c r="I112" t="n">
        <v>0</v>
      </c>
      <c r="J112" t="n">
        <v>0</v>
      </c>
      <c r="K112" t="n">
        <v>0</v>
      </c>
      <c r="L112" t="n">
        <v>0</v>
      </c>
      <c r="M112" t="n">
        <v>0</v>
      </c>
      <c r="N112" t="n">
        <v>0</v>
      </c>
      <c r="O112" t="n">
        <v>0</v>
      </c>
      <c r="P112" t="n">
        <v>0</v>
      </c>
      <c r="Q112" t="n">
        <v>0</v>
      </c>
      <c r="R112" s="2" t="inlineStr"/>
    </row>
    <row r="113" ht="15" customHeight="1">
      <c r="A113" t="inlineStr">
        <is>
          <t>A 14775-2024</t>
        </is>
      </c>
      <c r="B113" s="1" t="n">
        <v>45397.73675925926</v>
      </c>
      <c r="C113" s="1" t="n">
        <v>46141</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8565-2025</t>
        </is>
      </c>
      <c r="B114" s="1" t="n">
        <v>45709</v>
      </c>
      <c r="C114" s="1" t="n">
        <v>46141</v>
      </c>
      <c r="D114" t="inlineStr">
        <is>
          <t>STOCKHOLMS LÄN</t>
        </is>
      </c>
      <c r="E114" t="inlineStr">
        <is>
          <t>VALLENTUNA</t>
        </is>
      </c>
      <c r="F114" t="inlineStr">
        <is>
          <t>Kommuner</t>
        </is>
      </c>
      <c r="G114" t="n">
        <v>4.2</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46141</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27868-2025</t>
        </is>
      </c>
      <c r="B116" s="1" t="n">
        <v>45817</v>
      </c>
      <c r="C116" s="1" t="n">
        <v>46141</v>
      </c>
      <c r="D116" t="inlineStr">
        <is>
          <t>STOCKHOLMS LÄN</t>
        </is>
      </c>
      <c r="E116" t="inlineStr">
        <is>
          <t>VALLENTUNA</t>
        </is>
      </c>
      <c r="G116" t="n">
        <v>2.1</v>
      </c>
      <c r="H116" t="n">
        <v>0</v>
      </c>
      <c r="I116" t="n">
        <v>0</v>
      </c>
      <c r="J116" t="n">
        <v>0</v>
      </c>
      <c r="K116" t="n">
        <v>0</v>
      </c>
      <c r="L116" t="n">
        <v>0</v>
      </c>
      <c r="M116" t="n">
        <v>0</v>
      </c>
      <c r="N116" t="n">
        <v>0</v>
      </c>
      <c r="O116" t="n">
        <v>0</v>
      </c>
      <c r="P116" t="n">
        <v>0</v>
      </c>
      <c r="Q116" t="n">
        <v>0</v>
      </c>
      <c r="R116" s="2" t="inlineStr"/>
    </row>
    <row r="117" ht="15" customHeight="1">
      <c r="A117" t="inlineStr">
        <is>
          <t>A 54460-2025</t>
        </is>
      </c>
      <c r="B117" s="1" t="n">
        <v>45965.56219907408</v>
      </c>
      <c r="C117" s="1" t="n">
        <v>46141</v>
      </c>
      <c r="D117" t="inlineStr">
        <is>
          <t>STOCKHOLMS LÄN</t>
        </is>
      </c>
      <c r="E117" t="inlineStr">
        <is>
          <t>VALLENTUNA</t>
        </is>
      </c>
      <c r="G117" t="n">
        <v>22.9</v>
      </c>
      <c r="H117" t="n">
        <v>0</v>
      </c>
      <c r="I117" t="n">
        <v>0</v>
      </c>
      <c r="J117" t="n">
        <v>0</v>
      </c>
      <c r="K117" t="n">
        <v>0</v>
      </c>
      <c r="L117" t="n">
        <v>0</v>
      </c>
      <c r="M117" t="n">
        <v>0</v>
      </c>
      <c r="N117" t="n">
        <v>0</v>
      </c>
      <c r="O117" t="n">
        <v>0</v>
      </c>
      <c r="P117" t="n">
        <v>0</v>
      </c>
      <c r="Q117" t="n">
        <v>0</v>
      </c>
      <c r="R117" s="2" t="inlineStr"/>
    </row>
    <row r="118" ht="15" customHeight="1">
      <c r="A118" t="inlineStr">
        <is>
          <t>A 14782-2024</t>
        </is>
      </c>
      <c r="B118" s="1" t="n">
        <v>45397.74266203704</v>
      </c>
      <c r="C118" s="1" t="n">
        <v>46141</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54466-2025</t>
        </is>
      </c>
      <c r="B119" s="1" t="n">
        <v>45965.56984953704</v>
      </c>
      <c r="C119" s="1" t="n">
        <v>46141</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52562-2023</t>
        </is>
      </c>
      <c r="B120" s="1" t="n">
        <v>45225</v>
      </c>
      <c r="C120" s="1" t="n">
        <v>46141</v>
      </c>
      <c r="D120" t="inlineStr">
        <is>
          <t>STOCKHOLMS LÄN</t>
        </is>
      </c>
      <c r="E120" t="inlineStr">
        <is>
          <t>VALLENTUNA</t>
        </is>
      </c>
      <c r="G120" t="n">
        <v>3.4</v>
      </c>
      <c r="H120" t="n">
        <v>0</v>
      </c>
      <c r="I120" t="n">
        <v>0</v>
      </c>
      <c r="J120" t="n">
        <v>0</v>
      </c>
      <c r="K120" t="n">
        <v>0</v>
      </c>
      <c r="L120" t="n">
        <v>0</v>
      </c>
      <c r="M120" t="n">
        <v>0</v>
      </c>
      <c r="N120" t="n">
        <v>0</v>
      </c>
      <c r="O120" t="n">
        <v>0</v>
      </c>
      <c r="P120" t="n">
        <v>0</v>
      </c>
      <c r="Q120" t="n">
        <v>0</v>
      </c>
      <c r="R120" s="2" t="inlineStr"/>
    </row>
    <row r="121" ht="15" customHeight="1">
      <c r="A121" t="inlineStr">
        <is>
          <t>A 49530-2023</t>
        </is>
      </c>
      <c r="B121" s="1" t="n">
        <v>45205</v>
      </c>
      <c r="C121" s="1" t="n">
        <v>46141</v>
      </c>
      <c r="D121" t="inlineStr">
        <is>
          <t>STOCKHOLMS LÄN</t>
        </is>
      </c>
      <c r="E121" t="inlineStr">
        <is>
          <t>VALLENTUNA</t>
        </is>
      </c>
      <c r="G121" t="n">
        <v>1.2</v>
      </c>
      <c r="H121" t="n">
        <v>0</v>
      </c>
      <c r="I121" t="n">
        <v>0</v>
      </c>
      <c r="J121" t="n">
        <v>0</v>
      </c>
      <c r="K121" t="n">
        <v>0</v>
      </c>
      <c r="L121" t="n">
        <v>0</v>
      </c>
      <c r="M121" t="n">
        <v>0</v>
      </c>
      <c r="N121" t="n">
        <v>0</v>
      </c>
      <c r="O121" t="n">
        <v>0</v>
      </c>
      <c r="P121" t="n">
        <v>0</v>
      </c>
      <c r="Q121" t="n">
        <v>0</v>
      </c>
      <c r="R121" s="2" t="inlineStr"/>
    </row>
    <row r="122" ht="15" customHeight="1">
      <c r="A122" t="inlineStr">
        <is>
          <t>A 52542-2023</t>
        </is>
      </c>
      <c r="B122" s="1" t="n">
        <v>45225</v>
      </c>
      <c r="C122" s="1" t="n">
        <v>46141</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2318-2024</t>
        </is>
      </c>
      <c r="B123" s="1" t="n">
        <v>45310</v>
      </c>
      <c r="C123" s="1" t="n">
        <v>46141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46141</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9063-2024</t>
        </is>
      </c>
      <c r="B125" s="1" t="n">
        <v>45357.72652777778</v>
      </c>
      <c r="C125" s="1" t="n">
        <v>46141</v>
      </c>
      <c r="D125" t="inlineStr">
        <is>
          <t>STOCKHOLMS LÄN</t>
        </is>
      </c>
      <c r="E125" t="inlineStr">
        <is>
          <t>VALLENTUNA</t>
        </is>
      </c>
      <c r="G125" t="n">
        <v>4.1</v>
      </c>
      <c r="H125" t="n">
        <v>0</v>
      </c>
      <c r="I125" t="n">
        <v>0</v>
      </c>
      <c r="J125" t="n">
        <v>0</v>
      </c>
      <c r="K125" t="n">
        <v>0</v>
      </c>
      <c r="L125" t="n">
        <v>0</v>
      </c>
      <c r="M125" t="n">
        <v>0</v>
      </c>
      <c r="N125" t="n">
        <v>0</v>
      </c>
      <c r="O125" t="n">
        <v>0</v>
      </c>
      <c r="P125" t="n">
        <v>0</v>
      </c>
      <c r="Q125" t="n">
        <v>0</v>
      </c>
      <c r="R125" s="2" t="inlineStr"/>
    </row>
    <row r="126" ht="15" customHeight="1">
      <c r="A126" t="inlineStr">
        <is>
          <t>A 21445-2023</t>
        </is>
      </c>
      <c r="B126" s="1" t="n">
        <v>45063</v>
      </c>
      <c r="C126" s="1" t="n">
        <v>46141</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23923-2025</t>
        </is>
      </c>
      <c r="B127" s="1" t="n">
        <v>45795.39648148148</v>
      </c>
      <c r="C127" s="1" t="n">
        <v>46141</v>
      </c>
      <c r="D127" t="inlineStr">
        <is>
          <t>STOCKHOLMS LÄN</t>
        </is>
      </c>
      <c r="E127" t="inlineStr">
        <is>
          <t>VALLENTUNA</t>
        </is>
      </c>
      <c r="G127" t="n">
        <v>2.3</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46141</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34441-2023</t>
        </is>
      </c>
      <c r="B129" s="1" t="n">
        <v>45139</v>
      </c>
      <c r="C129" s="1" t="n">
        <v>46141</v>
      </c>
      <c r="D129" t="inlineStr">
        <is>
          <t>STOCKHOLMS LÄN</t>
        </is>
      </c>
      <c r="E129" t="inlineStr">
        <is>
          <t>VALLENTUNA</t>
        </is>
      </c>
      <c r="G129" t="n">
        <v>1.6</v>
      </c>
      <c r="H129" t="n">
        <v>0</v>
      </c>
      <c r="I129" t="n">
        <v>0</v>
      </c>
      <c r="J129" t="n">
        <v>0</v>
      </c>
      <c r="K129" t="n">
        <v>0</v>
      </c>
      <c r="L129" t="n">
        <v>0</v>
      </c>
      <c r="M129" t="n">
        <v>0</v>
      </c>
      <c r="N129" t="n">
        <v>0</v>
      </c>
      <c r="O129" t="n">
        <v>0</v>
      </c>
      <c r="P129" t="n">
        <v>0</v>
      </c>
      <c r="Q129" t="n">
        <v>0</v>
      </c>
      <c r="R129" s="2" t="inlineStr"/>
    </row>
    <row r="130" ht="15" customHeight="1">
      <c r="A130" t="inlineStr">
        <is>
          <t>A 34445-2023</t>
        </is>
      </c>
      <c r="B130" s="1" t="n">
        <v>45139</v>
      </c>
      <c r="C130" s="1" t="n">
        <v>46141</v>
      </c>
      <c r="D130" t="inlineStr">
        <is>
          <t>STOCKHOLMS LÄN</t>
        </is>
      </c>
      <c r="E130" t="inlineStr">
        <is>
          <t>VALLENTUNA</t>
        </is>
      </c>
      <c r="G130" t="n">
        <v>0.9</v>
      </c>
      <c r="H130" t="n">
        <v>0</v>
      </c>
      <c r="I130" t="n">
        <v>0</v>
      </c>
      <c r="J130" t="n">
        <v>0</v>
      </c>
      <c r="K130" t="n">
        <v>0</v>
      </c>
      <c r="L130" t="n">
        <v>0</v>
      </c>
      <c r="M130" t="n">
        <v>0</v>
      </c>
      <c r="N130" t="n">
        <v>0</v>
      </c>
      <c r="O130" t="n">
        <v>0</v>
      </c>
      <c r="P130" t="n">
        <v>0</v>
      </c>
      <c r="Q130" t="n">
        <v>0</v>
      </c>
      <c r="R130" s="2" t="inlineStr"/>
    </row>
    <row r="131" ht="15" customHeight="1">
      <c r="A131" t="inlineStr">
        <is>
          <t>A 1385-2024</t>
        </is>
      </c>
      <c r="B131" s="1" t="n">
        <v>45303</v>
      </c>
      <c r="C131" s="1" t="n">
        <v>46141</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60818-2023</t>
        </is>
      </c>
      <c r="B132" s="1" t="n">
        <v>45259</v>
      </c>
      <c r="C132" s="1" t="n">
        <v>46141</v>
      </c>
      <c r="D132" t="inlineStr">
        <is>
          <t>STOCKHOLMS LÄN</t>
        </is>
      </c>
      <c r="E132" t="inlineStr">
        <is>
          <t>VALLENTUNA</t>
        </is>
      </c>
      <c r="G132" t="n">
        <v>9.4</v>
      </c>
      <c r="H132" t="n">
        <v>0</v>
      </c>
      <c r="I132" t="n">
        <v>0</v>
      </c>
      <c r="J132" t="n">
        <v>0</v>
      </c>
      <c r="K132" t="n">
        <v>0</v>
      </c>
      <c r="L132" t="n">
        <v>0</v>
      </c>
      <c r="M132" t="n">
        <v>0</v>
      </c>
      <c r="N132" t="n">
        <v>0</v>
      </c>
      <c r="O132" t="n">
        <v>0</v>
      </c>
      <c r="P132" t="n">
        <v>0</v>
      </c>
      <c r="Q132" t="n">
        <v>0</v>
      </c>
      <c r="R132" s="2" t="inlineStr"/>
    </row>
    <row r="133" ht="15" customHeight="1">
      <c r="A133" t="inlineStr">
        <is>
          <t>A 27870-2025</t>
        </is>
      </c>
      <c r="B133" s="1" t="n">
        <v>45817</v>
      </c>
      <c r="C133" s="1" t="n">
        <v>46141</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7264-2022</t>
        </is>
      </c>
      <c r="B134" s="1" t="n">
        <v>44606</v>
      </c>
      <c r="C134" s="1" t="n">
        <v>46141</v>
      </c>
      <c r="D134" t="inlineStr">
        <is>
          <t>STOCKHOLMS LÄN</t>
        </is>
      </c>
      <c r="E134" t="inlineStr">
        <is>
          <t>VALLENTUNA</t>
        </is>
      </c>
      <c r="G134" t="n">
        <v>2.4</v>
      </c>
      <c r="H134" t="n">
        <v>0</v>
      </c>
      <c r="I134" t="n">
        <v>0</v>
      </c>
      <c r="J134" t="n">
        <v>0</v>
      </c>
      <c r="K134" t="n">
        <v>0</v>
      </c>
      <c r="L134" t="n">
        <v>0</v>
      </c>
      <c r="M134" t="n">
        <v>0</v>
      </c>
      <c r="N134" t="n">
        <v>0</v>
      </c>
      <c r="O134" t="n">
        <v>0</v>
      </c>
      <c r="P134" t="n">
        <v>0</v>
      </c>
      <c r="Q134" t="n">
        <v>0</v>
      </c>
      <c r="R134" s="2" t="inlineStr"/>
    </row>
    <row r="135" ht="15" customHeight="1">
      <c r="A135" t="inlineStr">
        <is>
          <t>A 61646-2025</t>
        </is>
      </c>
      <c r="B135" s="1" t="n">
        <v>46002</v>
      </c>
      <c r="C135" s="1" t="n">
        <v>46141</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25984-2025</t>
        </is>
      </c>
      <c r="B136" s="1" t="n">
        <v>45804.64016203704</v>
      </c>
      <c r="C136" s="1" t="n">
        <v>46141</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414-2026</t>
        </is>
      </c>
      <c r="B137" s="1" t="n">
        <v>46028.76050925926</v>
      </c>
      <c r="C137" s="1" t="n">
        <v>46141</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30902-2025</t>
        </is>
      </c>
      <c r="B138" s="1" t="n">
        <v>45832.36104166666</v>
      </c>
      <c r="C138" s="1" t="n">
        <v>46141</v>
      </c>
      <c r="D138" t="inlineStr">
        <is>
          <t>STOCKHOLMS LÄN</t>
        </is>
      </c>
      <c r="E138" t="inlineStr">
        <is>
          <t>VALLENTUNA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6298-2026</t>
        </is>
      </c>
      <c r="B139" s="1" t="n">
        <v>46055.5656712963</v>
      </c>
      <c r="C139" s="1" t="n">
        <v>46141</v>
      </c>
      <c r="D139" t="inlineStr">
        <is>
          <t>STOCKHOLMS LÄN</t>
        </is>
      </c>
      <c r="E139" t="inlineStr">
        <is>
          <t>VALLENTUNA</t>
        </is>
      </c>
      <c r="G139" t="n">
        <v>3.3</v>
      </c>
      <c r="H139" t="n">
        <v>0</v>
      </c>
      <c r="I139" t="n">
        <v>0</v>
      </c>
      <c r="J139" t="n">
        <v>0</v>
      </c>
      <c r="K139" t="n">
        <v>0</v>
      </c>
      <c r="L139" t="n">
        <v>0</v>
      </c>
      <c r="M139" t="n">
        <v>0</v>
      </c>
      <c r="N139" t="n">
        <v>0</v>
      </c>
      <c r="O139" t="n">
        <v>0</v>
      </c>
      <c r="P139" t="n">
        <v>0</v>
      </c>
      <c r="Q139" t="n">
        <v>0</v>
      </c>
      <c r="R139" s="2" t="inlineStr"/>
    </row>
    <row r="140" ht="15" customHeight="1">
      <c r="A140" t="inlineStr">
        <is>
          <t>A 28431-2025</t>
        </is>
      </c>
      <c r="B140" s="1" t="n">
        <v>45819.38072916667</v>
      </c>
      <c r="C140" s="1" t="n">
        <v>46141</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14799-2026</t>
        </is>
      </c>
      <c r="B141" s="1" t="n">
        <v>46102.82101851852</v>
      </c>
      <c r="C141" s="1" t="n">
        <v>46141</v>
      </c>
      <c r="D141" t="inlineStr">
        <is>
          <t>STOCKHOLMS LÄN</t>
        </is>
      </c>
      <c r="E141" t="inlineStr">
        <is>
          <t>VALLENTUNA</t>
        </is>
      </c>
      <c r="G141" t="n">
        <v>1.2</v>
      </c>
      <c r="H141" t="n">
        <v>0</v>
      </c>
      <c r="I141" t="n">
        <v>0</v>
      </c>
      <c r="J141" t="n">
        <v>0</v>
      </c>
      <c r="K141" t="n">
        <v>0</v>
      </c>
      <c r="L141" t="n">
        <v>0</v>
      </c>
      <c r="M141" t="n">
        <v>0</v>
      </c>
      <c r="N141" t="n">
        <v>0</v>
      </c>
      <c r="O141" t="n">
        <v>0</v>
      </c>
      <c r="P141" t="n">
        <v>0</v>
      </c>
      <c r="Q141" t="n">
        <v>0</v>
      </c>
      <c r="R141" s="2" t="inlineStr"/>
    </row>
    <row r="142" ht="15" customHeight="1">
      <c r="A142" t="inlineStr">
        <is>
          <t>A 44346-2021</t>
        </is>
      </c>
      <c r="B142" s="1" t="n">
        <v>44434</v>
      </c>
      <c r="C142" s="1" t="n">
        <v>46141</v>
      </c>
      <c r="D142" t="inlineStr">
        <is>
          <t>STOCKHOLMS LÄN</t>
        </is>
      </c>
      <c r="E142" t="inlineStr">
        <is>
          <t>VALLENTUNA</t>
        </is>
      </c>
      <c r="G142" t="n">
        <v>3</v>
      </c>
      <c r="H142" t="n">
        <v>0</v>
      </c>
      <c r="I142" t="n">
        <v>0</v>
      </c>
      <c r="J142" t="n">
        <v>0</v>
      </c>
      <c r="K142" t="n">
        <v>0</v>
      </c>
      <c r="L142" t="n">
        <v>0</v>
      </c>
      <c r="M142" t="n">
        <v>0</v>
      </c>
      <c r="N142" t="n">
        <v>0</v>
      </c>
      <c r="O142" t="n">
        <v>0</v>
      </c>
      <c r="P142" t="n">
        <v>0</v>
      </c>
      <c r="Q142" t="n">
        <v>0</v>
      </c>
      <c r="R142" s="2" t="inlineStr"/>
    </row>
    <row r="143" ht="15" customHeight="1">
      <c r="A143" t="inlineStr">
        <is>
          <t>A 17389-2026</t>
        </is>
      </c>
      <c r="B143" s="1" t="n">
        <v>46119.80603009259</v>
      </c>
      <c r="C143" s="1" t="n">
        <v>46141</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17387-2026</t>
        </is>
      </c>
      <c r="B144" s="1" t="n">
        <v>46119.79578703704</v>
      </c>
      <c r="C144" s="1" t="n">
        <v>46141</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17388-2026</t>
        </is>
      </c>
      <c r="B145" s="1" t="n">
        <v>46119.79952546296</v>
      </c>
      <c r="C145" s="1" t="n">
        <v>46141</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12400-2026</t>
        </is>
      </c>
      <c r="B146" s="1" t="n">
        <v>46090.39423611111</v>
      </c>
      <c r="C146" s="1" t="n">
        <v>46141</v>
      </c>
      <c r="D146" t="inlineStr">
        <is>
          <t>STOCKHOLMS LÄN</t>
        </is>
      </c>
      <c r="E146" t="inlineStr">
        <is>
          <t>VALLENTUNA</t>
        </is>
      </c>
      <c r="G146" t="n">
        <v>1.9</v>
      </c>
      <c r="H146" t="n">
        <v>0</v>
      </c>
      <c r="I146" t="n">
        <v>0</v>
      </c>
      <c r="J146" t="n">
        <v>0</v>
      </c>
      <c r="K146" t="n">
        <v>0</v>
      </c>
      <c r="L146" t="n">
        <v>0</v>
      </c>
      <c r="M146" t="n">
        <v>0</v>
      </c>
      <c r="N146" t="n">
        <v>0</v>
      </c>
      <c r="O146" t="n">
        <v>0</v>
      </c>
      <c r="P146" t="n">
        <v>0</v>
      </c>
      <c r="Q146" t="n">
        <v>0</v>
      </c>
      <c r="R146" s="2" t="inlineStr"/>
    </row>
    <row r="147" ht="15" customHeight="1">
      <c r="A147" t="inlineStr">
        <is>
          <t>A 12822-2026</t>
        </is>
      </c>
      <c r="B147" s="1" t="n">
        <v>46092.41358796296</v>
      </c>
      <c r="C147" s="1" t="n">
        <v>46141</v>
      </c>
      <c r="D147" t="inlineStr">
        <is>
          <t>STOCKHOLMS LÄN</t>
        </is>
      </c>
      <c r="E147" t="inlineStr">
        <is>
          <t>VALLENTUNA</t>
        </is>
      </c>
      <c r="G147" t="n">
        <v>2.7</v>
      </c>
      <c r="H147" t="n">
        <v>0</v>
      </c>
      <c r="I147" t="n">
        <v>0</v>
      </c>
      <c r="J147" t="n">
        <v>0</v>
      </c>
      <c r="K147" t="n">
        <v>0</v>
      </c>
      <c r="L147" t="n">
        <v>0</v>
      </c>
      <c r="M147" t="n">
        <v>0</v>
      </c>
      <c r="N147" t="n">
        <v>0</v>
      </c>
      <c r="O147" t="n">
        <v>0</v>
      </c>
      <c r="P147" t="n">
        <v>0</v>
      </c>
      <c r="Q147" t="n">
        <v>0</v>
      </c>
      <c r="R147" s="2" t="inlineStr"/>
    </row>
    <row r="148" ht="15" customHeight="1">
      <c r="A148" t="inlineStr">
        <is>
          <t>A 12819-2026</t>
        </is>
      </c>
      <c r="B148" s="1" t="n">
        <v>46092.40896990741</v>
      </c>
      <c r="C148" s="1" t="n">
        <v>46141</v>
      </c>
      <c r="D148" t="inlineStr">
        <is>
          <t>STOCKHOLMS LÄN</t>
        </is>
      </c>
      <c r="E148" t="inlineStr">
        <is>
          <t>VALLENTUNA</t>
        </is>
      </c>
      <c r="G148" t="n">
        <v>3.5</v>
      </c>
      <c r="H148" t="n">
        <v>0</v>
      </c>
      <c r="I148" t="n">
        <v>0</v>
      </c>
      <c r="J148" t="n">
        <v>0</v>
      </c>
      <c r="K148" t="n">
        <v>0</v>
      </c>
      <c r="L148" t="n">
        <v>0</v>
      </c>
      <c r="M148" t="n">
        <v>0</v>
      </c>
      <c r="N148" t="n">
        <v>0</v>
      </c>
      <c r="O148" t="n">
        <v>0</v>
      </c>
      <c r="P148" t="n">
        <v>0</v>
      </c>
      <c r="Q148" t="n">
        <v>0</v>
      </c>
      <c r="R148" s="2" t="inlineStr"/>
    </row>
    <row r="149" ht="15" customHeight="1">
      <c r="A149" t="inlineStr">
        <is>
          <t>A 12828-2026</t>
        </is>
      </c>
      <c r="B149" s="1" t="n">
        <v>46092.41760416667</v>
      </c>
      <c r="C149" s="1" t="n">
        <v>46141</v>
      </c>
      <c r="D149" t="inlineStr">
        <is>
          <t>STOCKHOLMS LÄN</t>
        </is>
      </c>
      <c r="E149" t="inlineStr">
        <is>
          <t>VALLENTUNA</t>
        </is>
      </c>
      <c r="G149" t="n">
        <v>1</v>
      </c>
      <c r="H149" t="n">
        <v>0</v>
      </c>
      <c r="I149" t="n">
        <v>0</v>
      </c>
      <c r="J149" t="n">
        <v>0</v>
      </c>
      <c r="K149" t="n">
        <v>0</v>
      </c>
      <c r="L149" t="n">
        <v>0</v>
      </c>
      <c r="M149" t="n">
        <v>0</v>
      </c>
      <c r="N149" t="n">
        <v>0</v>
      </c>
      <c r="O149" t="n">
        <v>0</v>
      </c>
      <c r="P149" t="n">
        <v>0</v>
      </c>
      <c r="Q149" t="n">
        <v>0</v>
      </c>
      <c r="R149" s="2" t="inlineStr"/>
    </row>
    <row r="150">
      <c r="A150" t="inlineStr">
        <is>
          <t>A 12830-2026</t>
        </is>
      </c>
      <c r="B150" s="1" t="n">
        <v>46092.42290509259</v>
      </c>
      <c r="C150" s="1" t="n">
        <v>46141</v>
      </c>
      <c r="D150" t="inlineStr">
        <is>
          <t>STOCKHOLMS LÄN</t>
        </is>
      </c>
      <c r="E150" t="inlineStr">
        <is>
          <t>VALLENTUNA</t>
        </is>
      </c>
      <c r="G150" t="n">
        <v>1.6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2026-04-29T10:54:11Z</dcterms:created>
  <dcterms:modified xmlns:dcterms="http://purl.org/dc/terms/" xmlns:xsi="http://www.w3.org/2001/XMLSchema-instance" xsi:type="dcterms:W3CDTF">2026-04-29T10:54:11Z</dcterms:modified>
</cp:coreProperties>
</file>