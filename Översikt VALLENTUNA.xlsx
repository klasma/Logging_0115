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46110</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46110</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46110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46110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46110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46110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46110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46110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46110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46110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46110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46110</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46110</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48717-2024</t>
        </is>
      </c>
      <c r="B15" s="1" t="n">
        <v>45593</v>
      </c>
      <c r="C15" s="1" t="n">
        <v>46110</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46110</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17342-2025</t>
        </is>
      </c>
      <c r="B17" s="1" t="n">
        <v>45756</v>
      </c>
      <c r="C17" s="1" t="n">
        <v>46110</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37456-2023</t>
        </is>
      </c>
      <c r="B18" s="1" t="n">
        <v>45156</v>
      </c>
      <c r="C18" s="1" t="n">
        <v>46110</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46110</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46110</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46110</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21612-2021</t>
        </is>
      </c>
      <c r="B22" s="1" t="n">
        <v>44321</v>
      </c>
      <c r="C22" s="1" t="n">
        <v>46110</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46-2022</t>
        </is>
      </c>
      <c r="B23" s="1" t="n">
        <v>44560</v>
      </c>
      <c r="C23" s="1" t="n">
        <v>46110</v>
      </c>
      <c r="D23" t="inlineStr">
        <is>
          <t>STOCKHOLMS LÄN</t>
        </is>
      </c>
      <c r="E23" t="inlineStr">
        <is>
          <t>VALLENTUNA</t>
        </is>
      </c>
      <c r="F23" t="inlineStr">
        <is>
          <t>Övriga Aktiebolag</t>
        </is>
      </c>
      <c r="G23" t="n">
        <v>7.9</v>
      </c>
      <c r="H23" t="n">
        <v>1</v>
      </c>
      <c r="I23" t="n">
        <v>1</v>
      </c>
      <c r="J23" t="n">
        <v>0</v>
      </c>
      <c r="K23" t="n">
        <v>0</v>
      </c>
      <c r="L23" t="n">
        <v>0</v>
      </c>
      <c r="M23" t="n">
        <v>0</v>
      </c>
      <c r="N23" t="n">
        <v>0</v>
      </c>
      <c r="O23" t="n">
        <v>0</v>
      </c>
      <c r="P23" t="n">
        <v>0</v>
      </c>
      <c r="Q23" t="n">
        <v>2</v>
      </c>
      <c r="R23" s="2" t="inlineStr">
        <is>
          <t>Fällmossa
Blåsippa</t>
        </is>
      </c>
      <c r="S23">
        <f>HYPERLINK("https://klasma.github.io/Logging_0115/artfynd/A 46-2022 artfynd.xlsx", "A 46-2022")</f>
        <v/>
      </c>
      <c r="T23">
        <f>HYPERLINK("https://klasma.github.io/Logging_0115/kartor/A 46-2022 karta.png", "A 46-2022")</f>
        <v/>
      </c>
      <c r="V23">
        <f>HYPERLINK("https://klasma.github.io/Logging_0115/klagomål/A 46-2022 FSC-klagomål.docx", "A 46-2022")</f>
        <v/>
      </c>
      <c r="W23">
        <f>HYPERLINK("https://klasma.github.io/Logging_0115/klagomålsmail/A 46-2022 FSC-klagomål mail.docx", "A 46-2022")</f>
        <v/>
      </c>
      <c r="X23">
        <f>HYPERLINK("https://klasma.github.io/Logging_0115/tillsyn/A 46-2022 tillsynsbegäran.docx", "A 46-2022")</f>
        <v/>
      </c>
      <c r="Y23">
        <f>HYPERLINK("https://klasma.github.io/Logging_0115/tillsynsmail/A 46-2022 tillsynsbegäran mail.docx", "A 46-2022")</f>
        <v/>
      </c>
    </row>
    <row r="24" ht="15" customHeight="1">
      <c r="A24" t="inlineStr">
        <is>
          <t>A 754-2024</t>
        </is>
      </c>
      <c r="B24" s="1" t="n">
        <v>45300</v>
      </c>
      <c r="C24" s="1" t="n">
        <v>46110</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46110</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46110</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46110</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46110</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46110</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46110</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22936-2025</t>
        </is>
      </c>
      <c r="B31" s="1" t="n">
        <v>45790.45738425926</v>
      </c>
      <c r="C31" s="1" t="n">
        <v>46110</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22830-2024</t>
        </is>
      </c>
      <c r="B32" s="1" t="n">
        <v>45448.56583333333</v>
      </c>
      <c r="C32" s="1" t="n">
        <v>46110</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63543-2025</t>
        </is>
      </c>
      <c r="B33" s="1" t="n">
        <v>46013.59207175926</v>
      </c>
      <c r="C33" s="1" t="n">
        <v>46110</v>
      </c>
      <c r="D33" t="inlineStr">
        <is>
          <t>STOCKHOLMS LÄN</t>
        </is>
      </c>
      <c r="E33" t="inlineStr">
        <is>
          <t>VALLENTUNA</t>
        </is>
      </c>
      <c r="G33" t="n">
        <v>3.4</v>
      </c>
      <c r="H33" t="n">
        <v>0</v>
      </c>
      <c r="I33" t="n">
        <v>0</v>
      </c>
      <c r="J33" t="n">
        <v>1</v>
      </c>
      <c r="K33" t="n">
        <v>0</v>
      </c>
      <c r="L33" t="n">
        <v>0</v>
      </c>
      <c r="M33" t="n">
        <v>0</v>
      </c>
      <c r="N33" t="n">
        <v>0</v>
      </c>
      <c r="O33" t="n">
        <v>1</v>
      </c>
      <c r="P33" t="n">
        <v>0</v>
      </c>
      <c r="Q33" t="n">
        <v>1</v>
      </c>
      <c r="R33" s="2" t="inlineStr">
        <is>
          <t>Tallticka</t>
        </is>
      </c>
      <c r="S33">
        <f>HYPERLINK("https://klasma.github.io/Logging_0115/artfynd/A 63543-2025 artfynd.xlsx", "A 63543-2025")</f>
        <v/>
      </c>
      <c r="T33">
        <f>HYPERLINK("https://klasma.github.io/Logging_0115/kartor/A 63543-2025 karta.png", "A 63543-2025")</f>
        <v/>
      </c>
      <c r="V33">
        <f>HYPERLINK("https://klasma.github.io/Logging_0115/klagomål/A 63543-2025 FSC-klagomål.docx", "A 63543-2025")</f>
        <v/>
      </c>
      <c r="W33">
        <f>HYPERLINK("https://klasma.github.io/Logging_0115/klagomålsmail/A 63543-2025 FSC-klagomål mail.docx", "A 63543-2025")</f>
        <v/>
      </c>
      <c r="X33">
        <f>HYPERLINK("https://klasma.github.io/Logging_0115/tillsyn/A 63543-2025 tillsynsbegäran.docx", "A 63543-2025")</f>
        <v/>
      </c>
      <c r="Y33">
        <f>HYPERLINK("https://klasma.github.io/Logging_0115/tillsynsmail/A 63543-2025 tillsynsbegäran mail.docx", "A 63543-2025")</f>
        <v/>
      </c>
    </row>
    <row r="34" ht="15" customHeight="1">
      <c r="A34" t="inlineStr">
        <is>
          <t>A 63539-2025</t>
        </is>
      </c>
      <c r="B34" s="1" t="n">
        <v>46013.58824074074</v>
      </c>
      <c r="C34" s="1" t="n">
        <v>46110</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12401-2026</t>
        </is>
      </c>
      <c r="B35" s="1" t="n">
        <v>46090</v>
      </c>
      <c r="C35" s="1" t="n">
        <v>46110</v>
      </c>
      <c r="D35" t="inlineStr">
        <is>
          <t>STOCKHOLMS LÄN</t>
        </is>
      </c>
      <c r="E35" t="inlineStr">
        <is>
          <t>VALLENTUNA</t>
        </is>
      </c>
      <c r="G35" t="n">
        <v>5.9</v>
      </c>
      <c r="H35" t="n">
        <v>1</v>
      </c>
      <c r="I35" t="n">
        <v>0</v>
      </c>
      <c r="J35" t="n">
        <v>1</v>
      </c>
      <c r="K35" t="n">
        <v>0</v>
      </c>
      <c r="L35" t="n">
        <v>0</v>
      </c>
      <c r="M35" t="n">
        <v>0</v>
      </c>
      <c r="N35" t="n">
        <v>0</v>
      </c>
      <c r="O35" t="n">
        <v>1</v>
      </c>
      <c r="P35" t="n">
        <v>0</v>
      </c>
      <c r="Q35" t="n">
        <v>1</v>
      </c>
      <c r="R35" s="2" t="inlineStr">
        <is>
          <t>Spillkråka</t>
        </is>
      </c>
      <c r="S35">
        <f>HYPERLINK("https://klasma.github.io/Logging_0115/artfynd/A 12401-2026 artfynd.xlsx", "A 12401-2026")</f>
        <v/>
      </c>
      <c r="T35">
        <f>HYPERLINK("https://klasma.github.io/Logging_0115/kartor/A 12401-2026 karta.png", "A 12401-2026")</f>
        <v/>
      </c>
      <c r="V35">
        <f>HYPERLINK("https://klasma.github.io/Logging_0115/klagomål/A 12401-2026 FSC-klagomål.docx", "A 12401-2026")</f>
        <v/>
      </c>
      <c r="W35">
        <f>HYPERLINK("https://klasma.github.io/Logging_0115/klagomålsmail/A 12401-2026 FSC-klagomål mail.docx", "A 12401-2026")</f>
        <v/>
      </c>
      <c r="X35">
        <f>HYPERLINK("https://klasma.github.io/Logging_0115/tillsyn/A 12401-2026 tillsynsbegäran.docx", "A 12401-2026")</f>
        <v/>
      </c>
      <c r="Y35">
        <f>HYPERLINK("https://klasma.github.io/Logging_0115/tillsynsmail/A 12401-2026 tillsynsbegäran mail.docx", "A 12401-2026")</f>
        <v/>
      </c>
      <c r="Z35">
        <f>HYPERLINK("https://klasma.github.io/Logging_0115/fåglar/A 12401-2026 prioriterade fågelarter.docx", "A 12401-2026")</f>
        <v/>
      </c>
    </row>
    <row r="36" ht="15" customHeight="1">
      <c r="A36" t="inlineStr">
        <is>
          <t>A 7890-2023</t>
        </is>
      </c>
      <c r="B36" s="1" t="n">
        <v>44973</v>
      </c>
      <c r="C36" s="1" t="n">
        <v>46110</v>
      </c>
      <c r="D36" t="inlineStr">
        <is>
          <t>STOCKHOLMS LÄN</t>
        </is>
      </c>
      <c r="E36" t="inlineStr">
        <is>
          <t>VALLENTUNA</t>
        </is>
      </c>
      <c r="G36" t="n">
        <v>0.5</v>
      </c>
      <c r="H36" t="n">
        <v>0</v>
      </c>
      <c r="I36" t="n">
        <v>0</v>
      </c>
      <c r="J36" t="n">
        <v>1</v>
      </c>
      <c r="K36" t="n">
        <v>0</v>
      </c>
      <c r="L36" t="n">
        <v>0</v>
      </c>
      <c r="M36" t="n">
        <v>0</v>
      </c>
      <c r="N36" t="n">
        <v>0</v>
      </c>
      <c r="O36" t="n">
        <v>1</v>
      </c>
      <c r="P36" t="n">
        <v>0</v>
      </c>
      <c r="Q36" t="n">
        <v>1</v>
      </c>
      <c r="R36" s="2" t="inlineStr">
        <is>
          <t>Ullticka</t>
        </is>
      </c>
      <c r="S36">
        <f>HYPERLINK("https://klasma.github.io/Logging_0115/artfynd/A 7890-2023 artfynd.xlsx", "A 7890-2023")</f>
        <v/>
      </c>
      <c r="T36">
        <f>HYPERLINK("https://klasma.github.io/Logging_0115/kartor/A 7890-2023 karta.png", "A 7890-2023")</f>
        <v/>
      </c>
      <c r="V36">
        <f>HYPERLINK("https://klasma.github.io/Logging_0115/klagomål/A 7890-2023 FSC-klagomål.docx", "A 7890-2023")</f>
        <v/>
      </c>
      <c r="W36">
        <f>HYPERLINK("https://klasma.github.io/Logging_0115/klagomålsmail/A 7890-2023 FSC-klagomål mail.docx", "A 7890-2023")</f>
        <v/>
      </c>
      <c r="X36">
        <f>HYPERLINK("https://klasma.github.io/Logging_0115/tillsyn/A 7890-2023 tillsynsbegäran.docx", "A 7890-2023")</f>
        <v/>
      </c>
      <c r="Y36">
        <f>HYPERLINK("https://klasma.github.io/Logging_0115/tillsynsmail/A 7890-2023 tillsynsbegäran mail.docx", "A 7890-2023")</f>
        <v/>
      </c>
    </row>
    <row r="37" ht="15" customHeight="1">
      <c r="A37" t="inlineStr">
        <is>
          <t>A 54481-2025</t>
        </is>
      </c>
      <c r="B37" s="1" t="n">
        <v>45965.58837962963</v>
      </c>
      <c r="C37" s="1" t="n">
        <v>46110</v>
      </c>
      <c r="D37" t="inlineStr">
        <is>
          <t>STOCKHOLMS LÄN</t>
        </is>
      </c>
      <c r="E37" t="inlineStr">
        <is>
          <t>VALLENTUNA</t>
        </is>
      </c>
      <c r="G37" t="n">
        <v>1.4</v>
      </c>
      <c r="H37" t="n">
        <v>0</v>
      </c>
      <c r="I37" t="n">
        <v>0</v>
      </c>
      <c r="J37" t="n">
        <v>1</v>
      </c>
      <c r="K37" t="n">
        <v>0</v>
      </c>
      <c r="L37" t="n">
        <v>0</v>
      </c>
      <c r="M37" t="n">
        <v>0</v>
      </c>
      <c r="N37" t="n">
        <v>0</v>
      </c>
      <c r="O37" t="n">
        <v>1</v>
      </c>
      <c r="P37" t="n">
        <v>0</v>
      </c>
      <c r="Q37" t="n">
        <v>1</v>
      </c>
      <c r="R37" s="2" t="inlineStr">
        <is>
          <t>Gullklöver</t>
        </is>
      </c>
      <c r="S37">
        <f>HYPERLINK("https://klasma.github.io/Logging_0115/artfynd/A 54481-2025 artfynd.xlsx", "A 54481-2025")</f>
        <v/>
      </c>
      <c r="T37">
        <f>HYPERLINK("https://klasma.github.io/Logging_0115/kartor/A 54481-2025 karta.png", "A 54481-2025")</f>
        <v/>
      </c>
      <c r="V37">
        <f>HYPERLINK("https://klasma.github.io/Logging_0115/klagomål/A 54481-2025 FSC-klagomål.docx", "A 54481-2025")</f>
        <v/>
      </c>
      <c r="W37">
        <f>HYPERLINK("https://klasma.github.io/Logging_0115/klagomålsmail/A 54481-2025 FSC-klagomål mail.docx", "A 54481-2025")</f>
        <v/>
      </c>
      <c r="X37">
        <f>HYPERLINK("https://klasma.github.io/Logging_0115/tillsyn/A 54481-2025 tillsynsbegäran.docx", "A 54481-2025")</f>
        <v/>
      </c>
      <c r="Y37">
        <f>HYPERLINK("https://klasma.github.io/Logging_0115/tillsynsmail/A 54481-2025 tillsynsbegäran mail.docx", "A 54481-2025")</f>
        <v/>
      </c>
    </row>
    <row r="38" ht="15" customHeight="1">
      <c r="A38" t="inlineStr">
        <is>
          <t>A 21-2022</t>
        </is>
      </c>
      <c r="B38" s="1" t="n">
        <v>44560</v>
      </c>
      <c r="C38" s="1" t="n">
        <v>46110</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46110</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34458-2023</t>
        </is>
      </c>
      <c r="B40" s="1" t="n">
        <v>45139</v>
      </c>
      <c r="C40" s="1" t="n">
        <v>46110</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34460-2023</t>
        </is>
      </c>
      <c r="B41" s="1" t="n">
        <v>45139</v>
      </c>
      <c r="C41" s="1" t="n">
        <v>46110</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46110</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20612-2021</t>
        </is>
      </c>
      <c r="B43" s="1" t="n">
        <v>44315</v>
      </c>
      <c r="C43" s="1" t="n">
        <v>46110</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46110</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46110</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46110</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46110</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46110</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46110</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46110</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46110</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46110</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46110</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46110</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46110</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46110</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46110</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46110</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46110</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46110</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46110</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61027-2023</t>
        </is>
      </c>
      <c r="B62" s="1" t="n">
        <v>45261</v>
      </c>
      <c r="C62" s="1" t="n">
        <v>46110</v>
      </c>
      <c r="D62" t="inlineStr">
        <is>
          <t>STOCKHOLMS LÄN</t>
        </is>
      </c>
      <c r="E62" t="inlineStr">
        <is>
          <t>VALLENTUNA</t>
        </is>
      </c>
      <c r="G62" t="n">
        <v>7.1</v>
      </c>
      <c r="H62" t="n">
        <v>0</v>
      </c>
      <c r="I62" t="n">
        <v>0</v>
      </c>
      <c r="J62" t="n">
        <v>0</v>
      </c>
      <c r="K62" t="n">
        <v>0</v>
      </c>
      <c r="L62" t="n">
        <v>0</v>
      </c>
      <c r="M62" t="n">
        <v>0</v>
      </c>
      <c r="N62" t="n">
        <v>0</v>
      </c>
      <c r="O62" t="n">
        <v>0</v>
      </c>
      <c r="P62" t="n">
        <v>0</v>
      </c>
      <c r="Q62" t="n">
        <v>0</v>
      </c>
      <c r="R62" s="2" t="inlineStr"/>
    </row>
    <row r="63" ht="15" customHeight="1">
      <c r="A63" t="inlineStr">
        <is>
          <t>A 3078-2023</t>
        </is>
      </c>
      <c r="B63" s="1" t="n">
        <v>44946.41527777778</v>
      </c>
      <c r="C63" s="1" t="n">
        <v>46110</v>
      </c>
      <c r="D63" t="inlineStr">
        <is>
          <t>STOCKHOLMS LÄN</t>
        </is>
      </c>
      <c r="E63" t="inlineStr">
        <is>
          <t>VALLENTUNA</t>
        </is>
      </c>
      <c r="G63" t="n">
        <v>3.9</v>
      </c>
      <c r="H63" t="n">
        <v>0</v>
      </c>
      <c r="I63" t="n">
        <v>0</v>
      </c>
      <c r="J63" t="n">
        <v>0</v>
      </c>
      <c r="K63" t="n">
        <v>0</v>
      </c>
      <c r="L63" t="n">
        <v>0</v>
      </c>
      <c r="M63" t="n">
        <v>0</v>
      </c>
      <c r="N63" t="n">
        <v>0</v>
      </c>
      <c r="O63" t="n">
        <v>0</v>
      </c>
      <c r="P63" t="n">
        <v>0</v>
      </c>
      <c r="Q63" t="n">
        <v>0</v>
      </c>
      <c r="R63" s="2" t="inlineStr"/>
    </row>
    <row r="64" ht="15" customHeight="1">
      <c r="A64" t="inlineStr">
        <is>
          <t>A 60795-2023</t>
        </is>
      </c>
      <c r="B64" s="1" t="n">
        <v>45260</v>
      </c>
      <c r="C64" s="1" t="n">
        <v>46110</v>
      </c>
      <c r="D64" t="inlineStr">
        <is>
          <t>STOCKHOLMS LÄN</t>
        </is>
      </c>
      <c r="E64" t="inlineStr">
        <is>
          <t>VALLENTUNA</t>
        </is>
      </c>
      <c r="G64" t="n">
        <v>2.2</v>
      </c>
      <c r="H64" t="n">
        <v>0</v>
      </c>
      <c r="I64" t="n">
        <v>0</v>
      </c>
      <c r="J64" t="n">
        <v>0</v>
      </c>
      <c r="K64" t="n">
        <v>0</v>
      </c>
      <c r="L64" t="n">
        <v>0</v>
      </c>
      <c r="M64" t="n">
        <v>0</v>
      </c>
      <c r="N64" t="n">
        <v>0</v>
      </c>
      <c r="O64" t="n">
        <v>0</v>
      </c>
      <c r="P64" t="n">
        <v>0</v>
      </c>
      <c r="Q64" t="n">
        <v>0</v>
      </c>
      <c r="R64" s="2" t="inlineStr"/>
    </row>
    <row r="65" ht="15" customHeight="1">
      <c r="A65" t="inlineStr">
        <is>
          <t>A 23009-2024</t>
        </is>
      </c>
      <c r="B65" s="1" t="n">
        <v>45450.34506944445</v>
      </c>
      <c r="C65" s="1" t="n">
        <v>46110</v>
      </c>
      <c r="D65" t="inlineStr">
        <is>
          <t>STOCKHOLMS LÄN</t>
        </is>
      </c>
      <c r="E65" t="inlineStr">
        <is>
          <t>VALLENTUNA</t>
        </is>
      </c>
      <c r="G65" t="n">
        <v>1.4</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46110</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46110</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27870-2025</t>
        </is>
      </c>
      <c r="B68" s="1" t="n">
        <v>45817</v>
      </c>
      <c r="C68" s="1" t="n">
        <v>46110</v>
      </c>
      <c r="D68" t="inlineStr">
        <is>
          <t>STOCKHOLMS LÄN</t>
        </is>
      </c>
      <c r="E68" t="inlineStr">
        <is>
          <t>VALLENTUNA</t>
        </is>
      </c>
      <c r="G68" t="n">
        <v>2.3</v>
      </c>
      <c r="H68" t="n">
        <v>0</v>
      </c>
      <c r="I68" t="n">
        <v>0</v>
      </c>
      <c r="J68" t="n">
        <v>0</v>
      </c>
      <c r="K68" t="n">
        <v>0</v>
      </c>
      <c r="L68" t="n">
        <v>0</v>
      </c>
      <c r="M68" t="n">
        <v>0</v>
      </c>
      <c r="N68" t="n">
        <v>0</v>
      </c>
      <c r="O68" t="n">
        <v>0</v>
      </c>
      <c r="P68" t="n">
        <v>0</v>
      </c>
      <c r="Q68" t="n">
        <v>0</v>
      </c>
      <c r="R68" s="2" t="inlineStr"/>
    </row>
    <row r="69" ht="15" customHeight="1">
      <c r="A69" t="inlineStr">
        <is>
          <t>A 23923-2025</t>
        </is>
      </c>
      <c r="B69" s="1" t="n">
        <v>45795.39648148148</v>
      </c>
      <c r="C69" s="1" t="n">
        <v>46110</v>
      </c>
      <c r="D69" t="inlineStr">
        <is>
          <t>STOCKHOLMS LÄN</t>
        </is>
      </c>
      <c r="E69" t="inlineStr">
        <is>
          <t>VALLENTUNA</t>
        </is>
      </c>
      <c r="G69" t="n">
        <v>2.3</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46110</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61646-2025</t>
        </is>
      </c>
      <c r="B71" s="1" t="n">
        <v>46002</v>
      </c>
      <c r="C71" s="1" t="n">
        <v>46110</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25984-2025</t>
        </is>
      </c>
      <c r="B72" s="1" t="n">
        <v>45804.64016203704</v>
      </c>
      <c r="C72" s="1" t="n">
        <v>46110</v>
      </c>
      <c r="D72" t="inlineStr">
        <is>
          <t>STOCKHOLMS LÄN</t>
        </is>
      </c>
      <c r="E72" t="inlineStr">
        <is>
          <t>VALLENTUNA</t>
        </is>
      </c>
      <c r="G72" t="n">
        <v>2.5</v>
      </c>
      <c r="H72" t="n">
        <v>0</v>
      </c>
      <c r="I72" t="n">
        <v>0</v>
      </c>
      <c r="J72" t="n">
        <v>0</v>
      </c>
      <c r="K72" t="n">
        <v>0</v>
      </c>
      <c r="L72" t="n">
        <v>0</v>
      </c>
      <c r="M72" t="n">
        <v>0</v>
      </c>
      <c r="N72" t="n">
        <v>0</v>
      </c>
      <c r="O72" t="n">
        <v>0</v>
      </c>
      <c r="P72" t="n">
        <v>0</v>
      </c>
      <c r="Q72" t="n">
        <v>0</v>
      </c>
      <c r="R72" s="2" t="inlineStr"/>
    </row>
    <row r="73" ht="15" customHeight="1">
      <c r="A73" t="inlineStr">
        <is>
          <t>A 48068-2021</t>
        </is>
      </c>
      <c r="B73" s="1" t="n">
        <v>44449.42270833333</v>
      </c>
      <c r="C73" s="1" t="n">
        <v>46110</v>
      </c>
      <c r="D73" t="inlineStr">
        <is>
          <t>STOCKHOLMS LÄN</t>
        </is>
      </c>
      <c r="E73" t="inlineStr">
        <is>
          <t>VALLENTUNA</t>
        </is>
      </c>
      <c r="G73" t="n">
        <v>1.3</v>
      </c>
      <c r="H73" t="n">
        <v>0</v>
      </c>
      <c r="I73" t="n">
        <v>0</v>
      </c>
      <c r="J73" t="n">
        <v>0</v>
      </c>
      <c r="K73" t="n">
        <v>0</v>
      </c>
      <c r="L73" t="n">
        <v>0</v>
      </c>
      <c r="M73" t="n">
        <v>0</v>
      </c>
      <c r="N73" t="n">
        <v>0</v>
      </c>
      <c r="O73" t="n">
        <v>0</v>
      </c>
      <c r="P73" t="n">
        <v>0</v>
      </c>
      <c r="Q73" t="n">
        <v>0</v>
      </c>
      <c r="R73" s="2" t="inlineStr"/>
    </row>
    <row r="74" ht="15" customHeight="1">
      <c r="A74" t="inlineStr">
        <is>
          <t>A 3937-2022</t>
        </is>
      </c>
      <c r="B74" s="1" t="n">
        <v>44587</v>
      </c>
      <c r="C74" s="1" t="n">
        <v>46110</v>
      </c>
      <c r="D74" t="inlineStr">
        <is>
          <t>STOCKHOLMS LÄN</t>
        </is>
      </c>
      <c r="E74" t="inlineStr">
        <is>
          <t>VALLENTUNA</t>
        </is>
      </c>
      <c r="G74" t="n">
        <v>6.6</v>
      </c>
      <c r="H74" t="n">
        <v>0</v>
      </c>
      <c r="I74" t="n">
        <v>0</v>
      </c>
      <c r="J74" t="n">
        <v>0</v>
      </c>
      <c r="K74" t="n">
        <v>0</v>
      </c>
      <c r="L74" t="n">
        <v>0</v>
      </c>
      <c r="M74" t="n">
        <v>0</v>
      </c>
      <c r="N74" t="n">
        <v>0</v>
      </c>
      <c r="O74" t="n">
        <v>0</v>
      </c>
      <c r="P74" t="n">
        <v>0</v>
      </c>
      <c r="Q74" t="n">
        <v>0</v>
      </c>
      <c r="R74" s="2" t="inlineStr"/>
    </row>
    <row r="75" ht="15" customHeight="1">
      <c r="A75" t="inlineStr">
        <is>
          <t>A 60818-2023</t>
        </is>
      </c>
      <c r="B75" s="1" t="n">
        <v>45259</v>
      </c>
      <c r="C75" s="1" t="n">
        <v>46110</v>
      </c>
      <c r="D75" t="inlineStr">
        <is>
          <t>STOCKHOLMS LÄN</t>
        </is>
      </c>
      <c r="E75" t="inlineStr">
        <is>
          <t>VALLENTUNA</t>
        </is>
      </c>
      <c r="G75" t="n">
        <v>9.4</v>
      </c>
      <c r="H75" t="n">
        <v>0</v>
      </c>
      <c r="I75" t="n">
        <v>0</v>
      </c>
      <c r="J75" t="n">
        <v>0</v>
      </c>
      <c r="K75" t="n">
        <v>0</v>
      </c>
      <c r="L75" t="n">
        <v>0</v>
      </c>
      <c r="M75" t="n">
        <v>0</v>
      </c>
      <c r="N75" t="n">
        <v>0</v>
      </c>
      <c r="O75" t="n">
        <v>0</v>
      </c>
      <c r="P75" t="n">
        <v>0</v>
      </c>
      <c r="Q75" t="n">
        <v>0</v>
      </c>
      <c r="R75" s="2" t="inlineStr"/>
    </row>
    <row r="76" ht="15" customHeight="1">
      <c r="A76" t="inlineStr">
        <is>
          <t>A 44988-2025</t>
        </is>
      </c>
      <c r="B76" s="1" t="n">
        <v>45918.65505787037</v>
      </c>
      <c r="C76" s="1" t="n">
        <v>46110</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7264-2022</t>
        </is>
      </c>
      <c r="B77" s="1" t="n">
        <v>44606</v>
      </c>
      <c r="C77" s="1" t="n">
        <v>46110</v>
      </c>
      <c r="D77" t="inlineStr">
        <is>
          <t>STOCKHOLMS LÄN</t>
        </is>
      </c>
      <c r="E77" t="inlineStr">
        <is>
          <t>VALLENTUNA</t>
        </is>
      </c>
      <c r="G77" t="n">
        <v>2.4</v>
      </c>
      <c r="H77" t="n">
        <v>0</v>
      </c>
      <c r="I77" t="n">
        <v>0</v>
      </c>
      <c r="J77" t="n">
        <v>0</v>
      </c>
      <c r="K77" t="n">
        <v>0</v>
      </c>
      <c r="L77" t="n">
        <v>0</v>
      </c>
      <c r="M77" t="n">
        <v>0</v>
      </c>
      <c r="N77" t="n">
        <v>0</v>
      </c>
      <c r="O77" t="n">
        <v>0</v>
      </c>
      <c r="P77" t="n">
        <v>0</v>
      </c>
      <c r="Q77" t="n">
        <v>0</v>
      </c>
      <c r="R77" s="2" t="inlineStr"/>
    </row>
    <row r="78" ht="15" customHeight="1">
      <c r="A78" t="inlineStr">
        <is>
          <t>A 414-2026</t>
        </is>
      </c>
      <c r="B78" s="1" t="n">
        <v>46028.76050925926</v>
      </c>
      <c r="C78" s="1" t="n">
        <v>46110</v>
      </c>
      <c r="D78" t="inlineStr">
        <is>
          <t>STOCKHOLMS LÄN</t>
        </is>
      </c>
      <c r="E78" t="inlineStr">
        <is>
          <t>VALLENTUNA</t>
        </is>
      </c>
      <c r="G78" t="n">
        <v>2.6</v>
      </c>
      <c r="H78" t="n">
        <v>0</v>
      </c>
      <c r="I78" t="n">
        <v>0</v>
      </c>
      <c r="J78" t="n">
        <v>0</v>
      </c>
      <c r="K78" t="n">
        <v>0</v>
      </c>
      <c r="L78" t="n">
        <v>0</v>
      </c>
      <c r="M78" t="n">
        <v>0</v>
      </c>
      <c r="N78" t="n">
        <v>0</v>
      </c>
      <c r="O78" t="n">
        <v>0</v>
      </c>
      <c r="P78" t="n">
        <v>0</v>
      </c>
      <c r="Q78" t="n">
        <v>0</v>
      </c>
      <c r="R78" s="2" t="inlineStr"/>
    </row>
    <row r="79" ht="15" customHeight="1">
      <c r="A79" t="inlineStr">
        <is>
          <t>A 19356-2025</t>
        </is>
      </c>
      <c r="B79" s="1" t="n">
        <v>45769.62061342593</v>
      </c>
      <c r="C79" s="1" t="n">
        <v>46110</v>
      </c>
      <c r="D79" t="inlineStr">
        <is>
          <t>STOCKHOLMS LÄN</t>
        </is>
      </c>
      <c r="E79" t="inlineStr">
        <is>
          <t>VALLENTUNA</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12562-2023</t>
        </is>
      </c>
      <c r="B80" s="1" t="n">
        <v>45000</v>
      </c>
      <c r="C80" s="1" t="n">
        <v>46110</v>
      </c>
      <c r="D80" t="inlineStr">
        <is>
          <t>STOCKHOLMS LÄN</t>
        </is>
      </c>
      <c r="E80" t="inlineStr">
        <is>
          <t>VALLENTUNA</t>
        </is>
      </c>
      <c r="G80" t="n">
        <v>2.1</v>
      </c>
      <c r="H80" t="n">
        <v>0</v>
      </c>
      <c r="I80" t="n">
        <v>0</v>
      </c>
      <c r="J80" t="n">
        <v>0</v>
      </c>
      <c r="K80" t="n">
        <v>0</v>
      </c>
      <c r="L80" t="n">
        <v>0</v>
      </c>
      <c r="M80" t="n">
        <v>0</v>
      </c>
      <c r="N80" t="n">
        <v>0</v>
      </c>
      <c r="O80" t="n">
        <v>0</v>
      </c>
      <c r="P80" t="n">
        <v>0</v>
      </c>
      <c r="Q80" t="n">
        <v>0</v>
      </c>
      <c r="R80" s="2" t="inlineStr"/>
    </row>
    <row r="81" ht="15" customHeight="1">
      <c r="A81" t="inlineStr">
        <is>
          <t>A 48014-2025</t>
        </is>
      </c>
      <c r="B81" s="1" t="n">
        <v>45932.64520833334</v>
      </c>
      <c r="C81" s="1" t="n">
        <v>46110</v>
      </c>
      <c r="D81" t="inlineStr">
        <is>
          <t>STOCKHOLMS LÄN</t>
        </is>
      </c>
      <c r="E81" t="inlineStr">
        <is>
          <t>VALLENTUNA</t>
        </is>
      </c>
      <c r="G81" t="n">
        <v>0.6</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46110</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24068-2024</t>
        </is>
      </c>
      <c r="B83" s="1" t="n">
        <v>45456</v>
      </c>
      <c r="C83" s="1" t="n">
        <v>46110</v>
      </c>
      <c r="D83" t="inlineStr">
        <is>
          <t>STOCKHOLMS LÄN</t>
        </is>
      </c>
      <c r="E83" t="inlineStr">
        <is>
          <t>VALLENTUNA</t>
        </is>
      </c>
      <c r="G83" t="n">
        <v>7.4</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46110</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30902-2025</t>
        </is>
      </c>
      <c r="B85" s="1" t="n">
        <v>45832.36104166666</v>
      </c>
      <c r="C85" s="1" t="n">
        <v>46110</v>
      </c>
      <c r="D85" t="inlineStr">
        <is>
          <t>STOCKHOLMS LÄN</t>
        </is>
      </c>
      <c r="E85" t="inlineStr">
        <is>
          <t>VALLENTUNA</t>
        </is>
      </c>
      <c r="G85" t="n">
        <v>8.199999999999999</v>
      </c>
      <c r="H85" t="n">
        <v>0</v>
      </c>
      <c r="I85" t="n">
        <v>0</v>
      </c>
      <c r="J85" t="n">
        <v>0</v>
      </c>
      <c r="K85" t="n">
        <v>0</v>
      </c>
      <c r="L85" t="n">
        <v>0</v>
      </c>
      <c r="M85" t="n">
        <v>0</v>
      </c>
      <c r="N85" t="n">
        <v>0</v>
      </c>
      <c r="O85" t="n">
        <v>0</v>
      </c>
      <c r="P85" t="n">
        <v>0</v>
      </c>
      <c r="Q85" t="n">
        <v>0</v>
      </c>
      <c r="R85" s="2" t="inlineStr"/>
    </row>
    <row r="86" ht="15" customHeight="1">
      <c r="A86" t="inlineStr">
        <is>
          <t>A 61442-2024</t>
        </is>
      </c>
      <c r="B86" s="1" t="n">
        <v>45646.47003472222</v>
      </c>
      <c r="C86" s="1" t="n">
        <v>46110</v>
      </c>
      <c r="D86" t="inlineStr">
        <is>
          <t>STOCKHOLMS LÄN</t>
        </is>
      </c>
      <c r="E86" t="inlineStr">
        <is>
          <t>VALLENTUNA</t>
        </is>
      </c>
      <c r="G86" t="n">
        <v>4.6</v>
      </c>
      <c r="H86" t="n">
        <v>0</v>
      </c>
      <c r="I86" t="n">
        <v>0</v>
      </c>
      <c r="J86" t="n">
        <v>0</v>
      </c>
      <c r="K86" t="n">
        <v>0</v>
      </c>
      <c r="L86" t="n">
        <v>0</v>
      </c>
      <c r="M86" t="n">
        <v>0</v>
      </c>
      <c r="N86" t="n">
        <v>0</v>
      </c>
      <c r="O86" t="n">
        <v>0</v>
      </c>
      <c r="P86" t="n">
        <v>0</v>
      </c>
      <c r="Q86" t="n">
        <v>0</v>
      </c>
      <c r="R86" s="2" t="inlineStr"/>
    </row>
    <row r="87" ht="15" customHeight="1">
      <c r="A87" t="inlineStr">
        <is>
          <t>A 12396-2026</t>
        </is>
      </c>
      <c r="B87" s="1" t="n">
        <v>46090.38930555555</v>
      </c>
      <c r="C87" s="1" t="n">
        <v>46110</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12400-2026</t>
        </is>
      </c>
      <c r="B88" s="1" t="n">
        <v>46090.39423611111</v>
      </c>
      <c r="C88" s="1" t="n">
        <v>46110</v>
      </c>
      <c r="D88" t="inlineStr">
        <is>
          <t>STOCKHOLMS LÄN</t>
        </is>
      </c>
      <c r="E88" t="inlineStr">
        <is>
          <t>VALLENTUNA</t>
        </is>
      </c>
      <c r="G88" t="n">
        <v>1.9</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46110</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12819-2026</t>
        </is>
      </c>
      <c r="B90" s="1" t="n">
        <v>46092.40896990741</v>
      </c>
      <c r="C90" s="1" t="n">
        <v>46110</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46110</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54460-2025</t>
        </is>
      </c>
      <c r="B92" s="1" t="n">
        <v>45965.56219907408</v>
      </c>
      <c r="C92" s="1" t="n">
        <v>46110</v>
      </c>
      <c r="D92" t="inlineStr">
        <is>
          <t>STOCKHOLMS LÄN</t>
        </is>
      </c>
      <c r="E92" t="inlineStr">
        <is>
          <t>VALLENTUNA</t>
        </is>
      </c>
      <c r="G92" t="n">
        <v>22.9</v>
      </c>
      <c r="H92" t="n">
        <v>0</v>
      </c>
      <c r="I92" t="n">
        <v>0</v>
      </c>
      <c r="J92" t="n">
        <v>0</v>
      </c>
      <c r="K92" t="n">
        <v>0</v>
      </c>
      <c r="L92" t="n">
        <v>0</v>
      </c>
      <c r="M92" t="n">
        <v>0</v>
      </c>
      <c r="N92" t="n">
        <v>0</v>
      </c>
      <c r="O92" t="n">
        <v>0</v>
      </c>
      <c r="P92" t="n">
        <v>0</v>
      </c>
      <c r="Q92" t="n">
        <v>0</v>
      </c>
      <c r="R92" s="2" t="inlineStr"/>
    </row>
    <row r="93" ht="15" customHeight="1">
      <c r="A93" t="inlineStr">
        <is>
          <t>A 12822-2026</t>
        </is>
      </c>
      <c r="B93" s="1" t="n">
        <v>46092.41358796296</v>
      </c>
      <c r="C93" s="1" t="n">
        <v>46110</v>
      </c>
      <c r="D93" t="inlineStr">
        <is>
          <t>STOCKHOLMS LÄN</t>
        </is>
      </c>
      <c r="E93" t="inlineStr">
        <is>
          <t>VALLENTUNA</t>
        </is>
      </c>
      <c r="G93" t="n">
        <v>2.7</v>
      </c>
      <c r="H93" t="n">
        <v>0</v>
      </c>
      <c r="I93" t="n">
        <v>0</v>
      </c>
      <c r="J93" t="n">
        <v>0</v>
      </c>
      <c r="K93" t="n">
        <v>0</v>
      </c>
      <c r="L93" t="n">
        <v>0</v>
      </c>
      <c r="M93" t="n">
        <v>0</v>
      </c>
      <c r="N93" t="n">
        <v>0</v>
      </c>
      <c r="O93" t="n">
        <v>0</v>
      </c>
      <c r="P93" t="n">
        <v>0</v>
      </c>
      <c r="Q93" t="n">
        <v>0</v>
      </c>
      <c r="R93" s="2" t="inlineStr"/>
    </row>
    <row r="94" ht="15" customHeight="1">
      <c r="A94" t="inlineStr">
        <is>
          <t>A 12828-2026</t>
        </is>
      </c>
      <c r="B94" s="1" t="n">
        <v>46092.41760416667</v>
      </c>
      <c r="C94" s="1" t="n">
        <v>46110</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12830-2026</t>
        </is>
      </c>
      <c r="B95" s="1" t="n">
        <v>46092.42290509259</v>
      </c>
      <c r="C95" s="1" t="n">
        <v>46110</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19503-2023</t>
        </is>
      </c>
      <c r="B96" s="1" t="n">
        <v>45050.47333333334</v>
      </c>
      <c r="C96" s="1" t="n">
        <v>46110</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28431-2025</t>
        </is>
      </c>
      <c r="B97" s="1" t="n">
        <v>45819.38072916667</v>
      </c>
      <c r="C97" s="1" t="n">
        <v>46110</v>
      </c>
      <c r="D97" t="inlineStr">
        <is>
          <t>STOCKHOLMS LÄN</t>
        </is>
      </c>
      <c r="E97" t="inlineStr">
        <is>
          <t>VALLENTUNA</t>
        </is>
      </c>
      <c r="G97" t="n">
        <v>1.5</v>
      </c>
      <c r="H97" t="n">
        <v>0</v>
      </c>
      <c r="I97" t="n">
        <v>0</v>
      </c>
      <c r="J97" t="n">
        <v>0</v>
      </c>
      <c r="K97" t="n">
        <v>0</v>
      </c>
      <c r="L97" t="n">
        <v>0</v>
      </c>
      <c r="M97" t="n">
        <v>0</v>
      </c>
      <c r="N97" t="n">
        <v>0</v>
      </c>
      <c r="O97" t="n">
        <v>0</v>
      </c>
      <c r="P97" t="n">
        <v>0</v>
      </c>
      <c r="Q97" t="n">
        <v>0</v>
      </c>
      <c r="R97" s="2" t="inlineStr"/>
    </row>
    <row r="98" ht="15" customHeight="1">
      <c r="A98" t="inlineStr">
        <is>
          <t>A 6298-2026</t>
        </is>
      </c>
      <c r="B98" s="1" t="n">
        <v>46055.5656712963</v>
      </c>
      <c r="C98" s="1" t="n">
        <v>46110</v>
      </c>
      <c r="D98" t="inlineStr">
        <is>
          <t>STOCKHOLMS LÄN</t>
        </is>
      </c>
      <c r="E98" t="inlineStr">
        <is>
          <t>VALLENTUNA</t>
        </is>
      </c>
      <c r="G98" t="n">
        <v>3.3</v>
      </c>
      <c r="H98" t="n">
        <v>0</v>
      </c>
      <c r="I98" t="n">
        <v>0</v>
      </c>
      <c r="J98" t="n">
        <v>0</v>
      </c>
      <c r="K98" t="n">
        <v>0</v>
      </c>
      <c r="L98" t="n">
        <v>0</v>
      </c>
      <c r="M98" t="n">
        <v>0</v>
      </c>
      <c r="N98" t="n">
        <v>0</v>
      </c>
      <c r="O98" t="n">
        <v>0</v>
      </c>
      <c r="P98" t="n">
        <v>0</v>
      </c>
      <c r="Q98" t="n">
        <v>0</v>
      </c>
      <c r="R98" s="2" t="inlineStr"/>
    </row>
    <row r="99" ht="15" customHeight="1">
      <c r="A99" t="inlineStr">
        <is>
          <t>A 14799-2026</t>
        </is>
      </c>
      <c r="B99" s="1" t="n">
        <v>46102.82101851852</v>
      </c>
      <c r="C99" s="1" t="n">
        <v>46110</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21445-2023</t>
        </is>
      </c>
      <c r="B100" s="1" t="n">
        <v>45063</v>
      </c>
      <c r="C100" s="1" t="n">
        <v>46110</v>
      </c>
      <c r="D100" t="inlineStr">
        <is>
          <t>STOCKHOLMS LÄN</t>
        </is>
      </c>
      <c r="E100" t="inlineStr">
        <is>
          <t>VALLENTUNA</t>
        </is>
      </c>
      <c r="G100" t="n">
        <v>3.1</v>
      </c>
      <c r="H100" t="n">
        <v>0</v>
      </c>
      <c r="I100" t="n">
        <v>0</v>
      </c>
      <c r="J100" t="n">
        <v>0</v>
      </c>
      <c r="K100" t="n">
        <v>0</v>
      </c>
      <c r="L100" t="n">
        <v>0</v>
      </c>
      <c r="M100" t="n">
        <v>0</v>
      </c>
      <c r="N100" t="n">
        <v>0</v>
      </c>
      <c r="O100" t="n">
        <v>0</v>
      </c>
      <c r="P100" t="n">
        <v>0</v>
      </c>
      <c r="Q100" t="n">
        <v>0</v>
      </c>
      <c r="R100" s="2" t="inlineStr"/>
    </row>
    <row r="101" ht="15" customHeight="1">
      <c r="A101" t="inlineStr">
        <is>
          <t>A 22683-2023</t>
        </is>
      </c>
      <c r="B101" s="1" t="n">
        <v>45071</v>
      </c>
      <c r="C101" s="1" t="n">
        <v>46110</v>
      </c>
      <c r="D101" t="inlineStr">
        <is>
          <t>STOCKHOLMS LÄN</t>
        </is>
      </c>
      <c r="E101" t="inlineStr">
        <is>
          <t>VALLENTUNA</t>
        </is>
      </c>
      <c r="G101" t="n">
        <v>1.2</v>
      </c>
      <c r="H101" t="n">
        <v>0</v>
      </c>
      <c r="I101" t="n">
        <v>0</v>
      </c>
      <c r="J101" t="n">
        <v>0</v>
      </c>
      <c r="K101" t="n">
        <v>0</v>
      </c>
      <c r="L101" t="n">
        <v>0</v>
      </c>
      <c r="M101" t="n">
        <v>0</v>
      </c>
      <c r="N101" t="n">
        <v>0</v>
      </c>
      <c r="O101" t="n">
        <v>0</v>
      </c>
      <c r="P101" t="n">
        <v>0</v>
      </c>
      <c r="Q101" t="n">
        <v>0</v>
      </c>
      <c r="R101" s="2" t="inlineStr"/>
    </row>
    <row r="102" ht="15" customHeight="1">
      <c r="A102" t="inlineStr">
        <is>
          <t>A 24943-2024</t>
        </is>
      </c>
      <c r="B102" s="1" t="n">
        <v>45461.62585648148</v>
      </c>
      <c r="C102" s="1" t="n">
        <v>46110</v>
      </c>
      <c r="D102" t="inlineStr">
        <is>
          <t>STOCKHOLMS LÄN</t>
        </is>
      </c>
      <c r="E102" t="inlineStr">
        <is>
          <t>VALLENTUNA</t>
        </is>
      </c>
      <c r="G102" t="n">
        <v>2</v>
      </c>
      <c r="H102" t="n">
        <v>0</v>
      </c>
      <c r="I102" t="n">
        <v>0</v>
      </c>
      <c r="J102" t="n">
        <v>0</v>
      </c>
      <c r="K102" t="n">
        <v>0</v>
      </c>
      <c r="L102" t="n">
        <v>0</v>
      </c>
      <c r="M102" t="n">
        <v>0</v>
      </c>
      <c r="N102" t="n">
        <v>0</v>
      </c>
      <c r="O102" t="n">
        <v>0</v>
      </c>
      <c r="P102" t="n">
        <v>0</v>
      </c>
      <c r="Q102" t="n">
        <v>0</v>
      </c>
      <c r="R102" s="2" t="inlineStr"/>
    </row>
    <row r="103" ht="15" customHeight="1">
      <c r="A103" t="inlineStr">
        <is>
          <t>A 5910-2022</t>
        </is>
      </c>
      <c r="B103" s="1" t="n">
        <v>44597</v>
      </c>
      <c r="C103" s="1" t="n">
        <v>46110</v>
      </c>
      <c r="D103" t="inlineStr">
        <is>
          <t>STOCKHOLMS LÄN</t>
        </is>
      </c>
      <c r="E103" t="inlineStr">
        <is>
          <t>VALLENTUNA</t>
        </is>
      </c>
      <c r="G103" t="n">
        <v>0.6</v>
      </c>
      <c r="H103" t="n">
        <v>0</v>
      </c>
      <c r="I103" t="n">
        <v>0</v>
      </c>
      <c r="J103" t="n">
        <v>0</v>
      </c>
      <c r="K103" t="n">
        <v>0</v>
      </c>
      <c r="L103" t="n">
        <v>0</v>
      </c>
      <c r="M103" t="n">
        <v>0</v>
      </c>
      <c r="N103" t="n">
        <v>0</v>
      </c>
      <c r="O103" t="n">
        <v>0</v>
      </c>
      <c r="P103" t="n">
        <v>0</v>
      </c>
      <c r="Q103" t="n">
        <v>0</v>
      </c>
      <c r="R103" s="2" t="inlineStr"/>
    </row>
    <row r="104" ht="15" customHeight="1">
      <c r="A104" t="inlineStr">
        <is>
          <t>A 44346-2021</t>
        </is>
      </c>
      <c r="B104" s="1" t="n">
        <v>44434</v>
      </c>
      <c r="C104" s="1" t="n">
        <v>46110</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26390-2023</t>
        </is>
      </c>
      <c r="B105" s="1" t="n">
        <v>45086</v>
      </c>
      <c r="C105" s="1" t="n">
        <v>46110</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24707-2023</t>
        </is>
      </c>
      <c r="B106" s="1" t="n">
        <v>45084</v>
      </c>
      <c r="C106" s="1" t="n">
        <v>46110</v>
      </c>
      <c r="D106" t="inlineStr">
        <is>
          <t>STOCKHOLMS LÄN</t>
        </is>
      </c>
      <c r="E106" t="inlineStr">
        <is>
          <t>VALLENTUNA</t>
        </is>
      </c>
      <c r="G106" t="n">
        <v>1.1</v>
      </c>
      <c r="H106" t="n">
        <v>0</v>
      </c>
      <c r="I106" t="n">
        <v>0</v>
      </c>
      <c r="J106" t="n">
        <v>0</v>
      </c>
      <c r="K106" t="n">
        <v>0</v>
      </c>
      <c r="L106" t="n">
        <v>0</v>
      </c>
      <c r="M106" t="n">
        <v>0</v>
      </c>
      <c r="N106" t="n">
        <v>0</v>
      </c>
      <c r="O106" t="n">
        <v>0</v>
      </c>
      <c r="P106" t="n">
        <v>0</v>
      </c>
      <c r="Q106" t="n">
        <v>0</v>
      </c>
      <c r="R106" s="2" t="inlineStr"/>
    </row>
    <row r="107" ht="15" customHeight="1">
      <c r="A107" t="inlineStr">
        <is>
          <t>A 12609-2024</t>
        </is>
      </c>
      <c r="B107" s="1" t="n">
        <v>45382.8109375</v>
      </c>
      <c r="C107" s="1" t="n">
        <v>46110</v>
      </c>
      <c r="D107" t="inlineStr">
        <is>
          <t>STOCKHOLMS LÄN</t>
        </is>
      </c>
      <c r="E107" t="inlineStr">
        <is>
          <t>VALLENTUNA</t>
        </is>
      </c>
      <c r="G107" t="n">
        <v>0.9</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46110</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8565-2025</t>
        </is>
      </c>
      <c r="B109" s="1" t="n">
        <v>45709</v>
      </c>
      <c r="C109" s="1" t="n">
        <v>46110</v>
      </c>
      <c r="D109" t="inlineStr">
        <is>
          <t>STOCKHOLMS LÄN</t>
        </is>
      </c>
      <c r="E109" t="inlineStr">
        <is>
          <t>VALLENTUNA</t>
        </is>
      </c>
      <c r="F109" t="inlineStr">
        <is>
          <t>Kommuner</t>
        </is>
      </c>
      <c r="G109" t="n">
        <v>4.2</v>
      </c>
      <c r="H109" t="n">
        <v>0</v>
      </c>
      <c r="I109" t="n">
        <v>0</v>
      </c>
      <c r="J109" t="n">
        <v>0</v>
      </c>
      <c r="K109" t="n">
        <v>0</v>
      </c>
      <c r="L109" t="n">
        <v>0</v>
      </c>
      <c r="M109" t="n">
        <v>0</v>
      </c>
      <c r="N109" t="n">
        <v>0</v>
      </c>
      <c r="O109" t="n">
        <v>0</v>
      </c>
      <c r="P109" t="n">
        <v>0</v>
      </c>
      <c r="Q109" t="n">
        <v>0</v>
      </c>
      <c r="R109" s="2" t="inlineStr"/>
    </row>
    <row r="110" ht="15" customHeight="1">
      <c r="A110" t="inlineStr">
        <is>
          <t>A 9063-2024</t>
        </is>
      </c>
      <c r="B110" s="1" t="n">
        <v>45357.72652777778</v>
      </c>
      <c r="C110" s="1" t="n">
        <v>46110</v>
      </c>
      <c r="D110" t="inlineStr">
        <is>
          <t>STOCKHOLMS LÄN</t>
        </is>
      </c>
      <c r="E110" t="inlineStr">
        <is>
          <t>VALLENTUNA</t>
        </is>
      </c>
      <c r="G110" t="n">
        <v>4.1</v>
      </c>
      <c r="H110" t="n">
        <v>0</v>
      </c>
      <c r="I110" t="n">
        <v>0</v>
      </c>
      <c r="J110" t="n">
        <v>0</v>
      </c>
      <c r="K110" t="n">
        <v>0</v>
      </c>
      <c r="L110" t="n">
        <v>0</v>
      </c>
      <c r="M110" t="n">
        <v>0</v>
      </c>
      <c r="N110" t="n">
        <v>0</v>
      </c>
      <c r="O110" t="n">
        <v>0</v>
      </c>
      <c r="P110" t="n">
        <v>0</v>
      </c>
      <c r="Q110" t="n">
        <v>0</v>
      </c>
      <c r="R110" s="2" t="inlineStr"/>
    </row>
    <row r="111" ht="15" customHeight="1">
      <c r="A111" t="inlineStr">
        <is>
          <t>A 4803-2024</t>
        </is>
      </c>
      <c r="B111" s="1" t="n">
        <v>45328</v>
      </c>
      <c r="C111" s="1" t="n">
        <v>46110</v>
      </c>
      <c r="D111" t="inlineStr">
        <is>
          <t>STOCKHOLMS LÄN</t>
        </is>
      </c>
      <c r="E111" t="inlineStr">
        <is>
          <t>VALLENTUNA</t>
        </is>
      </c>
      <c r="G111" t="n">
        <v>4.6</v>
      </c>
      <c r="H111" t="n">
        <v>0</v>
      </c>
      <c r="I111" t="n">
        <v>0</v>
      </c>
      <c r="J111" t="n">
        <v>0</v>
      </c>
      <c r="K111" t="n">
        <v>0</v>
      </c>
      <c r="L111" t="n">
        <v>0</v>
      </c>
      <c r="M111" t="n">
        <v>0</v>
      </c>
      <c r="N111" t="n">
        <v>0</v>
      </c>
      <c r="O111" t="n">
        <v>0</v>
      </c>
      <c r="P111" t="n">
        <v>0</v>
      </c>
      <c r="Q111" t="n">
        <v>0</v>
      </c>
      <c r="R111" s="2" t="inlineStr"/>
    </row>
    <row r="112" ht="15" customHeight="1">
      <c r="A112" t="inlineStr">
        <is>
          <t>A 52542-2023</t>
        </is>
      </c>
      <c r="B112" s="1" t="n">
        <v>45225</v>
      </c>
      <c r="C112" s="1" t="n">
        <v>46110</v>
      </c>
      <c r="D112" t="inlineStr">
        <is>
          <t>STOCKHOLMS LÄN</t>
        </is>
      </c>
      <c r="E112" t="inlineStr">
        <is>
          <t>VALLENTUNA</t>
        </is>
      </c>
      <c r="G112" t="n">
        <v>3.8</v>
      </c>
      <c r="H112" t="n">
        <v>0</v>
      </c>
      <c r="I112" t="n">
        <v>0</v>
      </c>
      <c r="J112" t="n">
        <v>0</v>
      </c>
      <c r="K112" t="n">
        <v>0</v>
      </c>
      <c r="L112" t="n">
        <v>0</v>
      </c>
      <c r="M112" t="n">
        <v>0</v>
      </c>
      <c r="N112" t="n">
        <v>0</v>
      </c>
      <c r="O112" t="n">
        <v>0</v>
      </c>
      <c r="P112" t="n">
        <v>0</v>
      </c>
      <c r="Q112" t="n">
        <v>0</v>
      </c>
      <c r="R112" s="2" t="inlineStr"/>
    </row>
    <row r="113" ht="15" customHeight="1">
      <c r="A113" t="inlineStr">
        <is>
          <t>A 11950-2025</t>
        </is>
      </c>
      <c r="B113" s="1" t="n">
        <v>45728.55622685186</v>
      </c>
      <c r="C113" s="1" t="n">
        <v>46110</v>
      </c>
      <c r="D113" t="inlineStr">
        <is>
          <t>STOCKHOLMS LÄN</t>
        </is>
      </c>
      <c r="E113" t="inlineStr">
        <is>
          <t>VALLENTUNA</t>
        </is>
      </c>
      <c r="G113" t="n">
        <v>1.4</v>
      </c>
      <c r="H113" t="n">
        <v>0</v>
      </c>
      <c r="I113" t="n">
        <v>0</v>
      </c>
      <c r="J113" t="n">
        <v>0</v>
      </c>
      <c r="K113" t="n">
        <v>0</v>
      </c>
      <c r="L113" t="n">
        <v>0</v>
      </c>
      <c r="M113" t="n">
        <v>0</v>
      </c>
      <c r="N113" t="n">
        <v>0</v>
      </c>
      <c r="O113" t="n">
        <v>0</v>
      </c>
      <c r="P113" t="n">
        <v>0</v>
      </c>
      <c r="Q113" t="n">
        <v>0</v>
      </c>
      <c r="R113" s="2" t="inlineStr"/>
    </row>
    <row r="114" ht="15" customHeight="1">
      <c r="A114" t="inlineStr">
        <is>
          <t>A 14489-2024</t>
        </is>
      </c>
      <c r="B114" s="1" t="n">
        <v>45394.58053240741</v>
      </c>
      <c r="C114" s="1" t="n">
        <v>46110</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52562-2023</t>
        </is>
      </c>
      <c r="B115" s="1" t="n">
        <v>45225</v>
      </c>
      <c r="C115" s="1" t="n">
        <v>46110</v>
      </c>
      <c r="D115" t="inlineStr">
        <is>
          <t>STOCKHOLMS LÄN</t>
        </is>
      </c>
      <c r="E115" t="inlineStr">
        <is>
          <t>VALLENTUNA</t>
        </is>
      </c>
      <c r="G115" t="n">
        <v>3.4</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46110</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46110</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2318-2024</t>
        </is>
      </c>
      <c r="B118" s="1" t="n">
        <v>45310</v>
      </c>
      <c r="C118" s="1" t="n">
        <v>46110</v>
      </c>
      <c r="D118" t="inlineStr">
        <is>
          <t>STOCKHOLMS LÄN</t>
        </is>
      </c>
      <c r="E118" t="inlineStr">
        <is>
          <t>VALLENTUNA</t>
        </is>
      </c>
      <c r="G118" t="n">
        <v>2.2</v>
      </c>
      <c r="H118" t="n">
        <v>0</v>
      </c>
      <c r="I118" t="n">
        <v>0</v>
      </c>
      <c r="J118" t="n">
        <v>0</v>
      </c>
      <c r="K118" t="n">
        <v>0</v>
      </c>
      <c r="L118" t="n">
        <v>0</v>
      </c>
      <c r="M118" t="n">
        <v>0</v>
      </c>
      <c r="N118" t="n">
        <v>0</v>
      </c>
      <c r="O118" t="n">
        <v>0</v>
      </c>
      <c r="P118" t="n">
        <v>0</v>
      </c>
      <c r="Q118" t="n">
        <v>0</v>
      </c>
      <c r="R118" s="2" t="inlineStr"/>
    </row>
    <row r="119" ht="15" customHeight="1">
      <c r="A119" t="inlineStr">
        <is>
          <t>A 61742-2022</t>
        </is>
      </c>
      <c r="B119" s="1" t="n">
        <v>44917</v>
      </c>
      <c r="C119" s="1" t="n">
        <v>46110</v>
      </c>
      <c r="D119" t="inlineStr">
        <is>
          <t>STOCKHOLMS LÄN</t>
        </is>
      </c>
      <c r="E119" t="inlineStr">
        <is>
          <t>VALLENTUNA</t>
        </is>
      </c>
      <c r="G119" t="n">
        <v>0.5</v>
      </c>
      <c r="H119" t="n">
        <v>0</v>
      </c>
      <c r="I119" t="n">
        <v>0</v>
      </c>
      <c r="J119" t="n">
        <v>0</v>
      </c>
      <c r="K119" t="n">
        <v>0</v>
      </c>
      <c r="L119" t="n">
        <v>0</v>
      </c>
      <c r="M119" t="n">
        <v>0</v>
      </c>
      <c r="N119" t="n">
        <v>0</v>
      </c>
      <c r="O119" t="n">
        <v>0</v>
      </c>
      <c r="P119" t="n">
        <v>0</v>
      </c>
      <c r="Q119" t="n">
        <v>0</v>
      </c>
      <c r="R119" s="2" t="inlineStr"/>
    </row>
    <row r="120" ht="15" customHeight="1">
      <c r="A120" t="inlineStr">
        <is>
          <t>A 3698-2022</t>
        </is>
      </c>
      <c r="B120" s="1" t="n">
        <v>44586</v>
      </c>
      <c r="C120" s="1" t="n">
        <v>46110</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44914.70746527778</v>
      </c>
      <c r="C121" s="1" t="n">
        <v>46110</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46110</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21614-2022</t>
        </is>
      </c>
      <c r="B123" s="1" t="n">
        <v>44706</v>
      </c>
      <c r="C123" s="1" t="n">
        <v>46110</v>
      </c>
      <c r="D123" t="inlineStr">
        <is>
          <t>STOCKHOLMS LÄN</t>
        </is>
      </c>
      <c r="E123" t="inlineStr">
        <is>
          <t>VALLENTUNA</t>
        </is>
      </c>
      <c r="G123" t="n">
        <v>4</v>
      </c>
      <c r="H123" t="n">
        <v>0</v>
      </c>
      <c r="I123" t="n">
        <v>0</v>
      </c>
      <c r="J123" t="n">
        <v>0</v>
      </c>
      <c r="K123" t="n">
        <v>0</v>
      </c>
      <c r="L123" t="n">
        <v>0</v>
      </c>
      <c r="M123" t="n">
        <v>0</v>
      </c>
      <c r="N123" t="n">
        <v>0</v>
      </c>
      <c r="O123" t="n">
        <v>0</v>
      </c>
      <c r="P123" t="n">
        <v>0</v>
      </c>
      <c r="Q123" t="n">
        <v>0</v>
      </c>
      <c r="R123" s="2" t="inlineStr"/>
    </row>
    <row r="124" ht="15" customHeight="1">
      <c r="A124" t="inlineStr">
        <is>
          <t>A 12585-2023</t>
        </is>
      </c>
      <c r="B124" s="1" t="n">
        <v>45000.41373842592</v>
      </c>
      <c r="C124" s="1" t="n">
        <v>46110</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8787-2024</t>
        </is>
      </c>
      <c r="B125" s="1" t="n">
        <v>45356</v>
      </c>
      <c r="C125" s="1" t="n">
        <v>46110</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34441-2023</t>
        </is>
      </c>
      <c r="B126" s="1" t="n">
        <v>45139</v>
      </c>
      <c r="C126" s="1" t="n">
        <v>46110</v>
      </c>
      <c r="D126" t="inlineStr">
        <is>
          <t>STOCKHOLMS LÄN</t>
        </is>
      </c>
      <c r="E126" t="inlineStr">
        <is>
          <t>VALLENTUNA</t>
        </is>
      </c>
      <c r="G126" t="n">
        <v>1.6</v>
      </c>
      <c r="H126" t="n">
        <v>0</v>
      </c>
      <c r="I126" t="n">
        <v>0</v>
      </c>
      <c r="J126" t="n">
        <v>0</v>
      </c>
      <c r="K126" t="n">
        <v>0</v>
      </c>
      <c r="L126" t="n">
        <v>0</v>
      </c>
      <c r="M126" t="n">
        <v>0</v>
      </c>
      <c r="N126" t="n">
        <v>0</v>
      </c>
      <c r="O126" t="n">
        <v>0</v>
      </c>
      <c r="P126" t="n">
        <v>0</v>
      </c>
      <c r="Q126" t="n">
        <v>0</v>
      </c>
      <c r="R126" s="2" t="inlineStr"/>
    </row>
    <row r="127" ht="15" customHeight="1">
      <c r="A127" t="inlineStr">
        <is>
          <t>A 34445-2023</t>
        </is>
      </c>
      <c r="B127" s="1" t="n">
        <v>45139</v>
      </c>
      <c r="C127" s="1" t="n">
        <v>46110</v>
      </c>
      <c r="D127" t="inlineStr">
        <is>
          <t>STOCKHOLMS LÄN</t>
        </is>
      </c>
      <c r="E127" t="inlineStr">
        <is>
          <t>VALLENTUNA</t>
        </is>
      </c>
      <c r="G127" t="n">
        <v>0.9</v>
      </c>
      <c r="H127" t="n">
        <v>0</v>
      </c>
      <c r="I127" t="n">
        <v>0</v>
      </c>
      <c r="J127" t="n">
        <v>0</v>
      </c>
      <c r="K127" t="n">
        <v>0</v>
      </c>
      <c r="L127" t="n">
        <v>0</v>
      </c>
      <c r="M127" t="n">
        <v>0</v>
      </c>
      <c r="N127" t="n">
        <v>0</v>
      </c>
      <c r="O127" t="n">
        <v>0</v>
      </c>
      <c r="P127" t="n">
        <v>0</v>
      </c>
      <c r="Q127" t="n">
        <v>0</v>
      </c>
      <c r="R127" s="2" t="inlineStr"/>
    </row>
    <row r="128" ht="15" customHeight="1">
      <c r="A128" t="inlineStr">
        <is>
          <t>A 23986-2023</t>
        </is>
      </c>
      <c r="B128" s="1" t="n">
        <v>45078</v>
      </c>
      <c r="C128" s="1" t="n">
        <v>46110</v>
      </c>
      <c r="D128" t="inlineStr">
        <is>
          <t>STOCKHOLMS LÄN</t>
        </is>
      </c>
      <c r="E128" t="inlineStr">
        <is>
          <t>VALLENTUNA</t>
        </is>
      </c>
      <c r="F128" t="inlineStr">
        <is>
          <t>Kyrkan</t>
        </is>
      </c>
      <c r="G128" t="n">
        <v>5.7</v>
      </c>
      <c r="H128" t="n">
        <v>0</v>
      </c>
      <c r="I128" t="n">
        <v>0</v>
      </c>
      <c r="J128" t="n">
        <v>0</v>
      </c>
      <c r="K128" t="n">
        <v>0</v>
      </c>
      <c r="L128" t="n">
        <v>0</v>
      </c>
      <c r="M128" t="n">
        <v>0</v>
      </c>
      <c r="N128" t="n">
        <v>0</v>
      </c>
      <c r="O128" t="n">
        <v>0</v>
      </c>
      <c r="P128" t="n">
        <v>0</v>
      </c>
      <c r="Q128" t="n">
        <v>0</v>
      </c>
      <c r="R128" s="2" t="inlineStr"/>
    </row>
    <row r="129" ht="15" customHeight="1">
      <c r="A129" t="inlineStr">
        <is>
          <t>A 15300-2023</t>
        </is>
      </c>
      <c r="B129" s="1" t="n">
        <v>45019</v>
      </c>
      <c r="C129" s="1" t="n">
        <v>46110</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8077-2022</t>
        </is>
      </c>
      <c r="B130" s="1" t="n">
        <v>44609</v>
      </c>
      <c r="C130" s="1" t="n">
        <v>46110</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46110</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29704-2023</t>
        </is>
      </c>
      <c r="B132" s="1" t="n">
        <v>45107</v>
      </c>
      <c r="C132" s="1" t="n">
        <v>46110</v>
      </c>
      <c r="D132" t="inlineStr">
        <is>
          <t>STOCKHOLMS LÄN</t>
        </is>
      </c>
      <c r="E132" t="inlineStr">
        <is>
          <t>VALLENTUNA</t>
        </is>
      </c>
      <c r="G132" t="n">
        <v>3.7</v>
      </c>
      <c r="H132" t="n">
        <v>0</v>
      </c>
      <c r="I132" t="n">
        <v>0</v>
      </c>
      <c r="J132" t="n">
        <v>0</v>
      </c>
      <c r="K132" t="n">
        <v>0</v>
      </c>
      <c r="L132" t="n">
        <v>0</v>
      </c>
      <c r="M132" t="n">
        <v>0</v>
      </c>
      <c r="N132" t="n">
        <v>0</v>
      </c>
      <c r="O132" t="n">
        <v>0</v>
      </c>
      <c r="P132" t="n">
        <v>0</v>
      </c>
      <c r="Q132" t="n">
        <v>0</v>
      </c>
      <c r="R132" s="2" t="inlineStr"/>
    </row>
    <row r="133" ht="15" customHeight="1">
      <c r="A133" t="inlineStr">
        <is>
          <t>A 21765-2023</t>
        </is>
      </c>
      <c r="B133" s="1" t="n">
        <v>45064</v>
      </c>
      <c r="C133" s="1" t="n">
        <v>46110</v>
      </c>
      <c r="D133" t="inlineStr">
        <is>
          <t>STOCKHOLMS LÄN</t>
        </is>
      </c>
      <c r="E133" t="inlineStr">
        <is>
          <t>VALLENTUNA</t>
        </is>
      </c>
      <c r="G133" t="n">
        <v>1.1</v>
      </c>
      <c r="H133" t="n">
        <v>0</v>
      </c>
      <c r="I133" t="n">
        <v>0</v>
      </c>
      <c r="J133" t="n">
        <v>0</v>
      </c>
      <c r="K133" t="n">
        <v>0</v>
      </c>
      <c r="L133" t="n">
        <v>0</v>
      </c>
      <c r="M133" t="n">
        <v>0</v>
      </c>
      <c r="N133" t="n">
        <v>0</v>
      </c>
      <c r="O133" t="n">
        <v>0</v>
      </c>
      <c r="P133" t="n">
        <v>0</v>
      </c>
      <c r="Q133" t="n">
        <v>0</v>
      </c>
      <c r="R133" s="2" t="inlineStr"/>
    </row>
    <row r="134" ht="15" customHeight="1">
      <c r="A134" t="inlineStr">
        <is>
          <t>A 45496-2023</t>
        </is>
      </c>
      <c r="B134" s="1" t="n">
        <v>45194</v>
      </c>
      <c r="C134" s="1" t="n">
        <v>46110</v>
      </c>
      <c r="D134" t="inlineStr">
        <is>
          <t>STOCKHOLMS LÄN</t>
        </is>
      </c>
      <c r="E134" t="inlineStr">
        <is>
          <t>VALLENTUNA</t>
        </is>
      </c>
      <c r="G134" t="n">
        <v>1.2</v>
      </c>
      <c r="H134" t="n">
        <v>0</v>
      </c>
      <c r="I134" t="n">
        <v>0</v>
      </c>
      <c r="J134" t="n">
        <v>0</v>
      </c>
      <c r="K134" t="n">
        <v>0</v>
      </c>
      <c r="L134" t="n">
        <v>0</v>
      </c>
      <c r="M134" t="n">
        <v>0</v>
      </c>
      <c r="N134" t="n">
        <v>0</v>
      </c>
      <c r="O134" t="n">
        <v>0</v>
      </c>
      <c r="P134" t="n">
        <v>0</v>
      </c>
      <c r="Q134" t="n">
        <v>0</v>
      </c>
      <c r="R134" s="2" t="inlineStr"/>
    </row>
    <row r="135" ht="15" customHeight="1">
      <c r="A135" t="inlineStr">
        <is>
          <t>A 45499-2023</t>
        </is>
      </c>
      <c r="B135" s="1" t="n">
        <v>45194</v>
      </c>
      <c r="C135" s="1" t="n">
        <v>46110</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14782-2024</t>
        </is>
      </c>
      <c r="B136" s="1" t="n">
        <v>45397.74266203704</v>
      </c>
      <c r="C136" s="1" t="n">
        <v>46110</v>
      </c>
      <c r="D136" t="inlineStr">
        <is>
          <t>STOCKHOLMS LÄN</t>
        </is>
      </c>
      <c r="E136" t="inlineStr">
        <is>
          <t>VALLENTUNA</t>
        </is>
      </c>
      <c r="G136" t="n">
        <v>3.1</v>
      </c>
      <c r="H136" t="n">
        <v>0</v>
      </c>
      <c r="I136" t="n">
        <v>0</v>
      </c>
      <c r="J136" t="n">
        <v>0</v>
      </c>
      <c r="K136" t="n">
        <v>0</v>
      </c>
      <c r="L136" t="n">
        <v>0</v>
      </c>
      <c r="M136" t="n">
        <v>0</v>
      </c>
      <c r="N136" t="n">
        <v>0</v>
      </c>
      <c r="O136" t="n">
        <v>0</v>
      </c>
      <c r="P136" t="n">
        <v>0</v>
      </c>
      <c r="Q136" t="n">
        <v>0</v>
      </c>
      <c r="R136" s="2" t="inlineStr"/>
    </row>
    <row r="137" ht="15" customHeight="1">
      <c r="A137" t="inlineStr">
        <is>
          <t>A 1385-2024</t>
        </is>
      </c>
      <c r="B137" s="1" t="n">
        <v>45303</v>
      </c>
      <c r="C137" s="1" t="n">
        <v>46110</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14775-2024</t>
        </is>
      </c>
      <c r="B138" s="1" t="n">
        <v>45397.73675925926</v>
      </c>
      <c r="C138" s="1" t="n">
        <v>46110</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735-2024</t>
        </is>
      </c>
      <c r="B139" s="1" t="n">
        <v>45300</v>
      </c>
      <c r="C139" s="1" t="n">
        <v>46110</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17411-2023</t>
        </is>
      </c>
      <c r="B140" s="1" t="n">
        <v>45035.82512731481</v>
      </c>
      <c r="C140" s="1" t="n">
        <v>46110</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45019.41045138889</v>
      </c>
      <c r="C141" s="1" t="n">
        <v>46110</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38102-2024</t>
        </is>
      </c>
      <c r="B142" s="1" t="n">
        <v>45545.36349537037</v>
      </c>
      <c r="C142" s="1" t="n">
        <v>46110</v>
      </c>
      <c r="D142" t="inlineStr">
        <is>
          <t>STOCKHOLMS LÄN</t>
        </is>
      </c>
      <c r="E142" t="inlineStr">
        <is>
          <t>VALLENTUNA</t>
        </is>
      </c>
      <c r="G142" t="n">
        <v>3.2</v>
      </c>
      <c r="H142" t="n">
        <v>0</v>
      </c>
      <c r="I142" t="n">
        <v>0</v>
      </c>
      <c r="J142" t="n">
        <v>0</v>
      </c>
      <c r="K142" t="n">
        <v>0</v>
      </c>
      <c r="L142" t="n">
        <v>0</v>
      </c>
      <c r="M142" t="n">
        <v>0</v>
      </c>
      <c r="N142" t="n">
        <v>0</v>
      </c>
      <c r="O142" t="n">
        <v>0</v>
      </c>
      <c r="P142" t="n">
        <v>0</v>
      </c>
      <c r="Q142" t="n">
        <v>0</v>
      </c>
      <c r="R142" s="2" t="inlineStr"/>
    </row>
    <row r="143" ht="15" customHeight="1">
      <c r="A143" t="inlineStr">
        <is>
          <t>A 17340-2025</t>
        </is>
      </c>
      <c r="B143" s="1" t="n">
        <v>45756</v>
      </c>
      <c r="C143" s="1" t="n">
        <v>46110</v>
      </c>
      <c r="D143" t="inlineStr">
        <is>
          <t>STOCKHOLMS LÄN</t>
        </is>
      </c>
      <c r="E143" t="inlineStr">
        <is>
          <t>VALLENTUNA</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20791-2025</t>
        </is>
      </c>
      <c r="B144" s="1" t="n">
        <v>45776.62738425926</v>
      </c>
      <c r="C144" s="1" t="n">
        <v>46110</v>
      </c>
      <c r="D144" t="inlineStr">
        <is>
          <t>STOCKHOLMS LÄN</t>
        </is>
      </c>
      <c r="E144" t="inlineStr">
        <is>
          <t>VALLENTUNA</t>
        </is>
      </c>
      <c r="G144" t="n">
        <v>1.5</v>
      </c>
      <c r="H144" t="n">
        <v>0</v>
      </c>
      <c r="I144" t="n">
        <v>0</v>
      </c>
      <c r="J144" t="n">
        <v>0</v>
      </c>
      <c r="K144" t="n">
        <v>0</v>
      </c>
      <c r="L144" t="n">
        <v>0</v>
      </c>
      <c r="M144" t="n">
        <v>0</v>
      </c>
      <c r="N144" t="n">
        <v>0</v>
      </c>
      <c r="O144" t="n">
        <v>0</v>
      </c>
      <c r="P144" t="n">
        <v>0</v>
      </c>
      <c r="Q144" t="n">
        <v>0</v>
      </c>
      <c r="R144" s="2" t="inlineStr"/>
    </row>
    <row r="145" ht="15" customHeight="1">
      <c r="A145" t="inlineStr">
        <is>
          <t>A 10073-2024</t>
        </is>
      </c>
      <c r="B145" s="1" t="n">
        <v>45364.40821759259</v>
      </c>
      <c r="C145" s="1" t="n">
        <v>46110</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row r="146" ht="15" customHeight="1">
      <c r="A146" t="inlineStr">
        <is>
          <t>A 34452-2021</t>
        </is>
      </c>
      <c r="B146" s="1" t="n">
        <v>44381</v>
      </c>
      <c r="C146" s="1" t="n">
        <v>46110</v>
      </c>
      <c r="D146" t="inlineStr">
        <is>
          <t>STOCKHOLMS LÄN</t>
        </is>
      </c>
      <c r="E146" t="inlineStr">
        <is>
          <t>VALLENTUNA</t>
        </is>
      </c>
      <c r="G146" t="n">
        <v>14.7</v>
      </c>
      <c r="H146" t="n">
        <v>0</v>
      </c>
      <c r="I146" t="n">
        <v>0</v>
      </c>
      <c r="J146" t="n">
        <v>0</v>
      </c>
      <c r="K146" t="n">
        <v>0</v>
      </c>
      <c r="L146" t="n">
        <v>0</v>
      </c>
      <c r="M146" t="n">
        <v>0</v>
      </c>
      <c r="N146" t="n">
        <v>0</v>
      </c>
      <c r="O146" t="n">
        <v>0</v>
      </c>
      <c r="P146" t="n">
        <v>0</v>
      </c>
      <c r="Q146" t="n">
        <v>0</v>
      </c>
      <c r="R146" s="2" t="inlineStr"/>
    </row>
    <row r="147">
      <c r="A147" t="inlineStr">
        <is>
          <t>A 12621-2024</t>
        </is>
      </c>
      <c r="B147" s="1" t="n">
        <v>45383.6325</v>
      </c>
      <c r="C147" s="1" t="n">
        <v>46110</v>
      </c>
      <c r="D147" t="inlineStr">
        <is>
          <t>STOCKHOLMS LÄN</t>
        </is>
      </c>
      <c r="E147" t="inlineStr">
        <is>
          <t>VALLENTUNA</t>
        </is>
      </c>
      <c r="G147" t="n">
        <v>4.4</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2026-03-29T11:41:09Z</dcterms:created>
  <dcterms:modified xmlns:dcterms="http://purl.org/dc/terms/" xmlns:xsi="http://www.w3.org/2001/XMLSchema-instance" xsi:type="dcterms:W3CDTF">2026-03-29T11:41:09Z</dcterms:modified>
</cp:coreProperties>
</file>