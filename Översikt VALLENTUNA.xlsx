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46174</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46174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46174</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46174</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46174</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46174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46174</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46174</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46174</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46174</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754-2024</t>
        </is>
      </c>
      <c r="B26" s="1" t="n">
        <v>45300</v>
      </c>
      <c r="C26" s="1" t="n">
        <v>46174</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17348-2025</t>
        </is>
      </c>
      <c r="B27" s="1" t="n">
        <v>45756</v>
      </c>
      <c r="C27" s="1" t="n">
        <v>46174</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8817-2025</t>
        </is>
      </c>
      <c r="B28" s="1" t="n">
        <v>45712.70987268518</v>
      </c>
      <c r="C28" s="1" t="n">
        <v>46174</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34458-2023</t>
        </is>
      </c>
      <c r="B29" s="1" t="n">
        <v>45139</v>
      </c>
      <c r="C29" s="1" t="n">
        <v>46174</v>
      </c>
      <c r="D29" t="inlineStr">
        <is>
          <t>STOCKHOLMS LÄN</t>
        </is>
      </c>
      <c r="E29" t="inlineStr">
        <is>
          <t>VALLENTUNA</t>
        </is>
      </c>
      <c r="G29" t="n">
        <v>2.5</v>
      </c>
      <c r="H29" t="n">
        <v>0</v>
      </c>
      <c r="I29" t="n">
        <v>0</v>
      </c>
      <c r="J29" t="n">
        <v>1</v>
      </c>
      <c r="K29" t="n">
        <v>0</v>
      </c>
      <c r="L29" t="n">
        <v>0</v>
      </c>
      <c r="M29" t="n">
        <v>0</v>
      </c>
      <c r="N29" t="n">
        <v>0</v>
      </c>
      <c r="O29" t="n">
        <v>1</v>
      </c>
      <c r="P29" t="n">
        <v>0</v>
      </c>
      <c r="Q29" t="n">
        <v>1</v>
      </c>
      <c r="R29" s="2" t="inlineStr">
        <is>
          <t>Motaggsvamp</t>
        </is>
      </c>
      <c r="S29">
        <f>HYPERLINK("https://klasma.github.io/Logging_0115/artfynd/A 34458-2023 artfynd.xlsx", "A 34458-2023")</f>
        <v/>
      </c>
      <c r="T29">
        <f>HYPERLINK("https://klasma.github.io/Logging_0115/kartor/A 34458-2023 karta.png", "A 34458-2023")</f>
        <v/>
      </c>
      <c r="V29">
        <f>HYPERLINK("https://klasma.github.io/Logging_0115/klagomål/A 34458-2023 FSC-klagomål.docx", "A 34458-2023")</f>
        <v/>
      </c>
      <c r="W29">
        <f>HYPERLINK("https://klasma.github.io/Logging_0115/klagomålsmail/A 34458-2023 FSC-klagomål mail.docx", "A 34458-2023")</f>
        <v/>
      </c>
      <c r="X29">
        <f>HYPERLINK("https://klasma.github.io/Logging_0115/tillsyn/A 34458-2023 tillsynsbegäran.docx", "A 34458-2023")</f>
        <v/>
      </c>
      <c r="Y29">
        <f>HYPERLINK("https://klasma.github.io/Logging_0115/tillsynsmail/A 34458-2023 tillsynsbegäran mail.docx", "A 34458-2023")</f>
        <v/>
      </c>
    </row>
    <row r="30" ht="15" customHeight="1">
      <c r="A30" t="inlineStr">
        <is>
          <t>A 14508-2024</t>
        </is>
      </c>
      <c r="B30" s="1" t="n">
        <v>45394.61583333334</v>
      </c>
      <c r="C30" s="1" t="n">
        <v>46174</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21-2022</t>
        </is>
      </c>
      <c r="B31" s="1" t="n">
        <v>44560</v>
      </c>
      <c r="C31" s="1" t="n">
        <v>46174</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7890-2023</t>
        </is>
      </c>
      <c r="B32" s="1" t="n">
        <v>44973</v>
      </c>
      <c r="C32" s="1" t="n">
        <v>46174</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46174</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21439-2025</t>
        </is>
      </c>
      <c r="B34" s="1" t="n">
        <v>45782.52939814814</v>
      </c>
      <c r="C34" s="1" t="n">
        <v>46174</v>
      </c>
      <c r="D34" t="inlineStr">
        <is>
          <t>STOCKHOLMS LÄN</t>
        </is>
      </c>
      <c r="E34" t="inlineStr">
        <is>
          <t>VALLENTUNA</t>
        </is>
      </c>
      <c r="G34" t="n">
        <v>2.1</v>
      </c>
      <c r="H34" t="n">
        <v>0</v>
      </c>
      <c r="I34" t="n">
        <v>1</v>
      </c>
      <c r="J34" t="n">
        <v>0</v>
      </c>
      <c r="K34" t="n">
        <v>0</v>
      </c>
      <c r="L34" t="n">
        <v>0</v>
      </c>
      <c r="M34" t="n">
        <v>0</v>
      </c>
      <c r="N34" t="n">
        <v>0</v>
      </c>
      <c r="O34" t="n">
        <v>0</v>
      </c>
      <c r="P34" t="n">
        <v>0</v>
      </c>
      <c r="Q34" t="n">
        <v>1</v>
      </c>
      <c r="R34" s="2" t="inlineStr">
        <is>
          <t>Mindre märgborre</t>
        </is>
      </c>
      <c r="S34">
        <f>HYPERLINK("https://klasma.github.io/Logging_0115/artfynd/A 21439-2025 artfynd.xlsx", "A 21439-2025")</f>
        <v/>
      </c>
      <c r="T34">
        <f>HYPERLINK("https://klasma.github.io/Logging_0115/kartor/A 21439-2025 karta.png", "A 21439-2025")</f>
        <v/>
      </c>
      <c r="V34">
        <f>HYPERLINK("https://klasma.github.io/Logging_0115/klagomål/A 21439-2025 FSC-klagomål.docx", "A 21439-2025")</f>
        <v/>
      </c>
      <c r="W34">
        <f>HYPERLINK("https://klasma.github.io/Logging_0115/klagomålsmail/A 21439-2025 FSC-klagomål mail.docx", "A 21439-2025")</f>
        <v/>
      </c>
      <c r="X34">
        <f>HYPERLINK("https://klasma.github.io/Logging_0115/tillsyn/A 21439-2025 tillsynsbegäran.docx", "A 21439-2025")</f>
        <v/>
      </c>
      <c r="Y34">
        <f>HYPERLINK("https://klasma.github.io/Logging_0115/tillsynsmail/A 21439-2025 tillsynsbegäran mail.docx", "A 21439-2025")</f>
        <v/>
      </c>
    </row>
    <row r="35" ht="15" customHeight="1">
      <c r="A35" t="inlineStr">
        <is>
          <t>A 17341-2025</t>
        </is>
      </c>
      <c r="B35" s="1" t="n">
        <v>45756</v>
      </c>
      <c r="C35" s="1" t="n">
        <v>46174</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54481-2025</t>
        </is>
      </c>
      <c r="B36" s="1" t="n">
        <v>45965.58837962963</v>
      </c>
      <c r="C36" s="1" t="n">
        <v>46174</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34460-2023</t>
        </is>
      </c>
      <c r="B37" s="1" t="n">
        <v>45139</v>
      </c>
      <c r="C37" s="1" t="n">
        <v>46174</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22936-2025</t>
        </is>
      </c>
      <c r="B38" s="1" t="n">
        <v>45790.45738425926</v>
      </c>
      <c r="C38" s="1" t="n">
        <v>46174</v>
      </c>
      <c r="D38" t="inlineStr">
        <is>
          <t>STOCKHOLMS LÄN</t>
        </is>
      </c>
      <c r="E38" t="inlineStr">
        <is>
          <t>VALLENTUNA</t>
        </is>
      </c>
      <c r="G38" t="n">
        <v>2.7</v>
      </c>
      <c r="H38" t="n">
        <v>0</v>
      </c>
      <c r="I38" t="n">
        <v>1</v>
      </c>
      <c r="J38" t="n">
        <v>0</v>
      </c>
      <c r="K38" t="n">
        <v>0</v>
      </c>
      <c r="L38" t="n">
        <v>0</v>
      </c>
      <c r="M38" t="n">
        <v>0</v>
      </c>
      <c r="N38" t="n">
        <v>0</v>
      </c>
      <c r="O38" t="n">
        <v>0</v>
      </c>
      <c r="P38" t="n">
        <v>0</v>
      </c>
      <c r="Q38" t="n">
        <v>1</v>
      </c>
      <c r="R38" s="2" t="inlineStr">
        <is>
          <t>Björksplintborre</t>
        </is>
      </c>
      <c r="S38">
        <f>HYPERLINK("https://klasma.github.io/Logging_0115/artfynd/A 22936-2025 artfynd.xlsx", "A 22936-2025")</f>
        <v/>
      </c>
      <c r="T38">
        <f>HYPERLINK("https://klasma.github.io/Logging_0115/kartor/A 22936-2025 karta.png", "A 22936-2025")</f>
        <v/>
      </c>
      <c r="V38">
        <f>HYPERLINK("https://klasma.github.io/Logging_0115/klagomål/A 22936-2025 FSC-klagomål.docx", "A 22936-2025")</f>
        <v/>
      </c>
      <c r="W38">
        <f>HYPERLINK("https://klasma.github.io/Logging_0115/klagomålsmail/A 22936-2025 FSC-klagomål mail.docx", "A 22936-2025")</f>
        <v/>
      </c>
      <c r="X38">
        <f>HYPERLINK("https://klasma.github.io/Logging_0115/tillsyn/A 22936-2025 tillsynsbegäran.docx", "A 22936-2025")</f>
        <v/>
      </c>
      <c r="Y38">
        <f>HYPERLINK("https://klasma.github.io/Logging_0115/tillsynsmail/A 22936-2025 tillsynsbegäran mail.docx", "A 22936-2025")</f>
        <v/>
      </c>
    </row>
    <row r="39" ht="15" customHeight="1">
      <c r="A39" t="inlineStr">
        <is>
          <t>A 63539-2025</t>
        </is>
      </c>
      <c r="B39" s="1" t="n">
        <v>46013.58824074074</v>
      </c>
      <c r="C39" s="1" t="n">
        <v>46174</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63543-2025</t>
        </is>
      </c>
      <c r="B40" s="1" t="n">
        <v>46013.59207175926</v>
      </c>
      <c r="C40" s="1" t="n">
        <v>46174</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12401-2026</t>
        </is>
      </c>
      <c r="B41" s="1" t="n">
        <v>46090</v>
      </c>
      <c r="C41" s="1" t="n">
        <v>46174</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12396-2026</t>
        </is>
      </c>
      <c r="B42" s="1" t="n">
        <v>46090.38930555555</v>
      </c>
      <c r="C42" s="1" t="n">
        <v>46174</v>
      </c>
      <c r="D42" t="inlineStr">
        <is>
          <t>STOCKHOLMS LÄN</t>
        </is>
      </c>
      <c r="E42" t="inlineStr">
        <is>
          <t>VALLENTUNA</t>
        </is>
      </c>
      <c r="G42" t="n">
        <v>3</v>
      </c>
      <c r="H42" t="n">
        <v>1</v>
      </c>
      <c r="I42" t="n">
        <v>0</v>
      </c>
      <c r="J42" t="n">
        <v>1</v>
      </c>
      <c r="K42" t="n">
        <v>0</v>
      </c>
      <c r="L42" t="n">
        <v>0</v>
      </c>
      <c r="M42" t="n">
        <v>0</v>
      </c>
      <c r="N42" t="n">
        <v>0</v>
      </c>
      <c r="O42" t="n">
        <v>1</v>
      </c>
      <c r="P42" t="n">
        <v>0</v>
      </c>
      <c r="Q42" t="n">
        <v>1</v>
      </c>
      <c r="R42" s="2" t="inlineStr">
        <is>
          <t>Spillkråka</t>
        </is>
      </c>
      <c r="S42">
        <f>HYPERLINK("https://klasma.github.io/Logging_0115/artfynd/A 12396-2026 artfynd.xlsx", "A 12396-2026")</f>
        <v/>
      </c>
      <c r="T42">
        <f>HYPERLINK("https://klasma.github.io/Logging_0115/kartor/A 12396-2026 karta.png", "A 12396-2026")</f>
        <v/>
      </c>
      <c r="V42">
        <f>HYPERLINK("https://klasma.github.io/Logging_0115/klagomål/A 12396-2026 FSC-klagomål.docx", "A 12396-2026")</f>
        <v/>
      </c>
      <c r="W42">
        <f>HYPERLINK("https://klasma.github.io/Logging_0115/klagomålsmail/A 12396-2026 FSC-klagomål mail.docx", "A 12396-2026")</f>
        <v/>
      </c>
      <c r="X42">
        <f>HYPERLINK("https://klasma.github.io/Logging_0115/tillsyn/A 12396-2026 tillsynsbegäran.docx", "A 12396-2026")</f>
        <v/>
      </c>
      <c r="Y42">
        <f>HYPERLINK("https://klasma.github.io/Logging_0115/tillsynsmail/A 12396-2026 tillsynsbegäran mail.docx", "A 12396-2026")</f>
        <v/>
      </c>
      <c r="Z42">
        <f>HYPERLINK("https://klasma.github.io/Logging_0115/fåglar/A 12396-2026 prioriterade fågelarter.docx", "A 12396-2026")</f>
        <v/>
      </c>
    </row>
    <row r="43" ht="15" customHeight="1">
      <c r="A43" t="inlineStr">
        <is>
          <t>A 8089-2022</t>
        </is>
      </c>
      <c r="B43" s="1" t="n">
        <v>44609.53716435185</v>
      </c>
      <c r="C43" s="1" t="n">
        <v>46174</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46174</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46174</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46174</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46174</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46174</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46174</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46174</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7276-2022</t>
        </is>
      </c>
      <c r="B52" s="1" t="n">
        <v>44606</v>
      </c>
      <c r="C52" s="1" t="n">
        <v>46174</v>
      </c>
      <c r="D52" t="inlineStr">
        <is>
          <t>STOCKHOLMS LÄN</t>
        </is>
      </c>
      <c r="E52" t="inlineStr">
        <is>
          <t>VALLENTUNA</t>
        </is>
      </c>
      <c r="G52" t="n">
        <v>1.7</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46174</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46174</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46924-2021</t>
        </is>
      </c>
      <c r="B55" s="1" t="n">
        <v>44446</v>
      </c>
      <c r="C55" s="1" t="n">
        <v>46174</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735-2024</t>
        </is>
      </c>
      <c r="B56" s="1" t="n">
        <v>45300</v>
      </c>
      <c r="C56" s="1" t="n">
        <v>46174</v>
      </c>
      <c r="D56" t="inlineStr">
        <is>
          <t>STOCKHOLMS LÄN</t>
        </is>
      </c>
      <c r="E56" t="inlineStr">
        <is>
          <t>VALLENTUNA</t>
        </is>
      </c>
      <c r="G56" t="n">
        <v>1.7</v>
      </c>
      <c r="H56" t="n">
        <v>0</v>
      </c>
      <c r="I56" t="n">
        <v>0</v>
      </c>
      <c r="J56" t="n">
        <v>0</v>
      </c>
      <c r="K56" t="n">
        <v>0</v>
      </c>
      <c r="L56" t="n">
        <v>0</v>
      </c>
      <c r="M56" t="n">
        <v>0</v>
      </c>
      <c r="N56" t="n">
        <v>0</v>
      </c>
      <c r="O56" t="n">
        <v>0</v>
      </c>
      <c r="P56" t="n">
        <v>0</v>
      </c>
      <c r="Q56" t="n">
        <v>0</v>
      </c>
      <c r="R56" s="2" t="inlineStr"/>
    </row>
    <row r="57" ht="15" customHeight="1">
      <c r="A57" t="inlineStr">
        <is>
          <t>A 12585-2023</t>
        </is>
      </c>
      <c r="B57" s="1" t="n">
        <v>45000.41373842592</v>
      </c>
      <c r="C57" s="1" t="n">
        <v>46174</v>
      </c>
      <c r="D57" t="inlineStr">
        <is>
          <t>STOCKHOLMS LÄN</t>
        </is>
      </c>
      <c r="E57" t="inlineStr">
        <is>
          <t>VALLENTUNA</t>
        </is>
      </c>
      <c r="G57" t="n">
        <v>3.7</v>
      </c>
      <c r="H57" t="n">
        <v>0</v>
      </c>
      <c r="I57" t="n">
        <v>0</v>
      </c>
      <c r="J57" t="n">
        <v>0</v>
      </c>
      <c r="K57" t="n">
        <v>0</v>
      </c>
      <c r="L57" t="n">
        <v>0</v>
      </c>
      <c r="M57" t="n">
        <v>0</v>
      </c>
      <c r="N57" t="n">
        <v>0</v>
      </c>
      <c r="O57" t="n">
        <v>0</v>
      </c>
      <c r="P57" t="n">
        <v>0</v>
      </c>
      <c r="Q57" t="n">
        <v>0</v>
      </c>
      <c r="R57" s="2" t="inlineStr"/>
    </row>
    <row r="58" ht="15" customHeight="1">
      <c r="A58" t="inlineStr">
        <is>
          <t>A 8077-2022</t>
        </is>
      </c>
      <c r="B58" s="1" t="n">
        <v>44609</v>
      </c>
      <c r="C58" s="1" t="n">
        <v>46174</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47140-2024</t>
        </is>
      </c>
      <c r="B59" s="1" t="n">
        <v>45586.58753472222</v>
      </c>
      <c r="C59" s="1" t="n">
        <v>46174</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46174</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46174</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46174</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46174</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21765-2023</t>
        </is>
      </c>
      <c r="B64" s="1" t="n">
        <v>45064</v>
      </c>
      <c r="C64" s="1" t="n">
        <v>46174</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21614-2022</t>
        </is>
      </c>
      <c r="B65" s="1" t="n">
        <v>44706</v>
      </c>
      <c r="C65" s="1" t="n">
        <v>46174</v>
      </c>
      <c r="D65" t="inlineStr">
        <is>
          <t>STOCKHOLMS LÄN</t>
        </is>
      </c>
      <c r="E65" t="inlineStr">
        <is>
          <t>VALLENTUNA</t>
        </is>
      </c>
      <c r="G65" t="n">
        <v>4</v>
      </c>
      <c r="H65" t="n">
        <v>0</v>
      </c>
      <c r="I65" t="n">
        <v>0</v>
      </c>
      <c r="J65" t="n">
        <v>0</v>
      </c>
      <c r="K65" t="n">
        <v>0</v>
      </c>
      <c r="L65" t="n">
        <v>0</v>
      </c>
      <c r="M65" t="n">
        <v>0</v>
      </c>
      <c r="N65" t="n">
        <v>0</v>
      </c>
      <c r="O65" t="n">
        <v>0</v>
      </c>
      <c r="P65" t="n">
        <v>0</v>
      </c>
      <c r="Q65" t="n">
        <v>0</v>
      </c>
      <c r="R65" s="2" t="inlineStr"/>
    </row>
    <row r="66" ht="15" customHeight="1">
      <c r="A66" t="inlineStr">
        <is>
          <t>A 23986-2023</t>
        </is>
      </c>
      <c r="B66" s="1" t="n">
        <v>45078</v>
      </c>
      <c r="C66" s="1" t="n">
        <v>46174</v>
      </c>
      <c r="D66" t="inlineStr">
        <is>
          <t>STOCKHOLMS LÄN</t>
        </is>
      </c>
      <c r="E66" t="inlineStr">
        <is>
          <t>VALLENTUNA</t>
        </is>
      </c>
      <c r="F66" t="inlineStr">
        <is>
          <t>Kyrkan</t>
        </is>
      </c>
      <c r="G66" t="n">
        <v>5.7</v>
      </c>
      <c r="H66" t="n">
        <v>0</v>
      </c>
      <c r="I66" t="n">
        <v>0</v>
      </c>
      <c r="J66" t="n">
        <v>0</v>
      </c>
      <c r="K66" t="n">
        <v>0</v>
      </c>
      <c r="L66" t="n">
        <v>0</v>
      </c>
      <c r="M66" t="n">
        <v>0</v>
      </c>
      <c r="N66" t="n">
        <v>0</v>
      </c>
      <c r="O66" t="n">
        <v>0</v>
      </c>
      <c r="P66" t="n">
        <v>0</v>
      </c>
      <c r="Q66" t="n">
        <v>0</v>
      </c>
      <c r="R66" s="2" t="inlineStr"/>
    </row>
    <row r="67" ht="15" customHeight="1">
      <c r="A67" t="inlineStr">
        <is>
          <t>A 19356-2025</t>
        </is>
      </c>
      <c r="B67" s="1" t="n">
        <v>45769.62061342593</v>
      </c>
      <c r="C67" s="1" t="n">
        <v>46174</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46174</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46174</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46174</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11950-2025</t>
        </is>
      </c>
      <c r="B71" s="1" t="n">
        <v>45728.55622685186</v>
      </c>
      <c r="C71" s="1" t="n">
        <v>46174</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46174</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45496-2023</t>
        </is>
      </c>
      <c r="B73" s="1" t="n">
        <v>45194</v>
      </c>
      <c r="C73" s="1" t="n">
        <v>46174</v>
      </c>
      <c r="D73" t="inlineStr">
        <is>
          <t>STOCKHOLMS LÄN</t>
        </is>
      </c>
      <c r="E73" t="inlineStr">
        <is>
          <t>VALLENTUNA</t>
        </is>
      </c>
      <c r="G73" t="n">
        <v>1.2</v>
      </c>
      <c r="H73" t="n">
        <v>0</v>
      </c>
      <c r="I73" t="n">
        <v>0</v>
      </c>
      <c r="J73" t="n">
        <v>0</v>
      </c>
      <c r="K73" t="n">
        <v>0</v>
      </c>
      <c r="L73" t="n">
        <v>0</v>
      </c>
      <c r="M73" t="n">
        <v>0</v>
      </c>
      <c r="N73" t="n">
        <v>0</v>
      </c>
      <c r="O73" t="n">
        <v>0</v>
      </c>
      <c r="P73" t="n">
        <v>0</v>
      </c>
      <c r="Q73" t="n">
        <v>0</v>
      </c>
      <c r="R73" s="2" t="inlineStr"/>
    </row>
    <row r="74" ht="15" customHeight="1">
      <c r="A74" t="inlineStr">
        <is>
          <t>A 29704-2023</t>
        </is>
      </c>
      <c r="B74" s="1" t="n">
        <v>45107</v>
      </c>
      <c r="C74" s="1" t="n">
        <v>46174</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24068-2024</t>
        </is>
      </c>
      <c r="B75" s="1" t="n">
        <v>45456</v>
      </c>
      <c r="C75" s="1" t="n">
        <v>46174</v>
      </c>
      <c r="D75" t="inlineStr">
        <is>
          <t>STOCKHOLMS LÄN</t>
        </is>
      </c>
      <c r="E75" t="inlineStr">
        <is>
          <t>VALLENTUNA</t>
        </is>
      </c>
      <c r="G75" t="n">
        <v>7.4</v>
      </c>
      <c r="H75" t="n">
        <v>0</v>
      </c>
      <c r="I75" t="n">
        <v>0</v>
      </c>
      <c r="J75" t="n">
        <v>0</v>
      </c>
      <c r="K75" t="n">
        <v>0</v>
      </c>
      <c r="L75" t="n">
        <v>0</v>
      </c>
      <c r="M75" t="n">
        <v>0</v>
      </c>
      <c r="N75" t="n">
        <v>0</v>
      </c>
      <c r="O75" t="n">
        <v>0</v>
      </c>
      <c r="P75" t="n">
        <v>0</v>
      </c>
      <c r="Q75" t="n">
        <v>0</v>
      </c>
      <c r="R75" s="2" t="inlineStr"/>
    </row>
    <row r="76" ht="15" customHeight="1">
      <c r="A76" t="inlineStr">
        <is>
          <t>A 3937-2022</t>
        </is>
      </c>
      <c r="B76" s="1" t="n">
        <v>44587</v>
      </c>
      <c r="C76" s="1" t="n">
        <v>46174</v>
      </c>
      <c r="D76" t="inlineStr">
        <is>
          <t>STOCKHOLMS LÄN</t>
        </is>
      </c>
      <c r="E76" t="inlineStr">
        <is>
          <t>VALLENTUNA</t>
        </is>
      </c>
      <c r="G76" t="n">
        <v>6.6</v>
      </c>
      <c r="H76" t="n">
        <v>0</v>
      </c>
      <c r="I76" t="n">
        <v>0</v>
      </c>
      <c r="J76" t="n">
        <v>0</v>
      </c>
      <c r="K76" t="n">
        <v>0</v>
      </c>
      <c r="L76" t="n">
        <v>0</v>
      </c>
      <c r="M76" t="n">
        <v>0</v>
      </c>
      <c r="N76" t="n">
        <v>0</v>
      </c>
      <c r="O76" t="n">
        <v>0</v>
      </c>
      <c r="P76" t="n">
        <v>0</v>
      </c>
      <c r="Q76" t="n">
        <v>0</v>
      </c>
      <c r="R76" s="2" t="inlineStr"/>
    </row>
    <row r="77" ht="15" customHeight="1">
      <c r="A77" t="inlineStr">
        <is>
          <t>A 23013-2024</t>
        </is>
      </c>
      <c r="B77" s="1" t="n">
        <v>45450.35116898148</v>
      </c>
      <c r="C77" s="1" t="n">
        <v>46174</v>
      </c>
      <c r="D77" t="inlineStr">
        <is>
          <t>STOCKHOLMS LÄN</t>
        </is>
      </c>
      <c r="E77" t="inlineStr">
        <is>
          <t>VALLENTUNA</t>
        </is>
      </c>
      <c r="G77" t="n">
        <v>0.4</v>
      </c>
      <c r="H77" t="n">
        <v>0</v>
      </c>
      <c r="I77" t="n">
        <v>0</v>
      </c>
      <c r="J77" t="n">
        <v>0</v>
      </c>
      <c r="K77" t="n">
        <v>0</v>
      </c>
      <c r="L77" t="n">
        <v>0</v>
      </c>
      <c r="M77" t="n">
        <v>0</v>
      </c>
      <c r="N77" t="n">
        <v>0</v>
      </c>
      <c r="O77" t="n">
        <v>0</v>
      </c>
      <c r="P77" t="n">
        <v>0</v>
      </c>
      <c r="Q77" t="n">
        <v>0</v>
      </c>
      <c r="R77" s="2" t="inlineStr"/>
    </row>
    <row r="78" ht="15" customHeight="1">
      <c r="A78" t="inlineStr">
        <is>
          <t>A 3078-2023</t>
        </is>
      </c>
      <c r="B78" s="1" t="n">
        <v>44946.41527777778</v>
      </c>
      <c r="C78" s="1" t="n">
        <v>46174</v>
      </c>
      <c r="D78" t="inlineStr">
        <is>
          <t>STOCKHOLMS LÄN</t>
        </is>
      </c>
      <c r="E78" t="inlineStr">
        <is>
          <t>VALLENTUNA</t>
        </is>
      </c>
      <c r="G78" t="n">
        <v>3.9</v>
      </c>
      <c r="H78" t="n">
        <v>0</v>
      </c>
      <c r="I78" t="n">
        <v>0</v>
      </c>
      <c r="J78" t="n">
        <v>0</v>
      </c>
      <c r="K78" t="n">
        <v>0</v>
      </c>
      <c r="L78" t="n">
        <v>0</v>
      </c>
      <c r="M78" t="n">
        <v>0</v>
      </c>
      <c r="N78" t="n">
        <v>0</v>
      </c>
      <c r="O78" t="n">
        <v>0</v>
      </c>
      <c r="P78" t="n">
        <v>0</v>
      </c>
      <c r="Q78" t="n">
        <v>0</v>
      </c>
      <c r="R78" s="2" t="inlineStr"/>
    </row>
    <row r="79" ht="15" customHeight="1">
      <c r="A79" t="inlineStr">
        <is>
          <t>A 12609-2024</t>
        </is>
      </c>
      <c r="B79" s="1" t="n">
        <v>45382.8109375</v>
      </c>
      <c r="C79" s="1" t="n">
        <v>46174</v>
      </c>
      <c r="D79" t="inlineStr">
        <is>
          <t>STOCKHOLMS LÄN</t>
        </is>
      </c>
      <c r="E79" t="inlineStr">
        <is>
          <t>VALLENTUNA</t>
        </is>
      </c>
      <c r="G79" t="n">
        <v>0.9</v>
      </c>
      <c r="H79" t="n">
        <v>0</v>
      </c>
      <c r="I79" t="n">
        <v>0</v>
      </c>
      <c r="J79" t="n">
        <v>0</v>
      </c>
      <c r="K79" t="n">
        <v>0</v>
      </c>
      <c r="L79" t="n">
        <v>0</v>
      </c>
      <c r="M79" t="n">
        <v>0</v>
      </c>
      <c r="N79" t="n">
        <v>0</v>
      </c>
      <c r="O79" t="n">
        <v>0</v>
      </c>
      <c r="P79" t="n">
        <v>0</v>
      </c>
      <c r="Q79" t="n">
        <v>0</v>
      </c>
      <c r="R79" s="2" t="inlineStr"/>
    </row>
    <row r="80" ht="15" customHeight="1">
      <c r="A80" t="inlineStr">
        <is>
          <t>A 41206-2025</t>
        </is>
      </c>
      <c r="B80" s="1" t="n">
        <v>45898</v>
      </c>
      <c r="C80" s="1" t="n">
        <v>46174</v>
      </c>
      <c r="D80" t="inlineStr">
        <is>
          <t>STOCKHOLMS LÄN</t>
        </is>
      </c>
      <c r="E80" t="inlineStr">
        <is>
          <t>VALLENTUNA</t>
        </is>
      </c>
      <c r="G80" t="n">
        <v>10</v>
      </c>
      <c r="H80" t="n">
        <v>0</v>
      </c>
      <c r="I80" t="n">
        <v>0</v>
      </c>
      <c r="J80" t="n">
        <v>0</v>
      </c>
      <c r="K80" t="n">
        <v>0</v>
      </c>
      <c r="L80" t="n">
        <v>0</v>
      </c>
      <c r="M80" t="n">
        <v>0</v>
      </c>
      <c r="N80" t="n">
        <v>0</v>
      </c>
      <c r="O80" t="n">
        <v>0</v>
      </c>
      <c r="P80" t="n">
        <v>0</v>
      </c>
      <c r="Q80" t="n">
        <v>0</v>
      </c>
      <c r="R80" s="2" t="inlineStr"/>
    </row>
    <row r="81" ht="15" customHeight="1">
      <c r="A81" t="inlineStr">
        <is>
          <t>A 14489-2024</t>
        </is>
      </c>
      <c r="B81" s="1" t="n">
        <v>45394.58053240741</v>
      </c>
      <c r="C81" s="1" t="n">
        <v>46174</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15268-2023</t>
        </is>
      </c>
      <c r="B82" s="1" t="n">
        <v>45019.41045138889</v>
      </c>
      <c r="C82" s="1" t="n">
        <v>46174</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61442-2024</t>
        </is>
      </c>
      <c r="B83" s="1" t="n">
        <v>45646.47003472222</v>
      </c>
      <c r="C83" s="1" t="n">
        <v>46174</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46174</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46174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19503-2023</t>
        </is>
      </c>
      <c r="B86" s="1" t="n">
        <v>45050.47333333334</v>
      </c>
      <c r="C86" s="1" t="n">
        <v>46174</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45499-2023</t>
        </is>
      </c>
      <c r="B87" s="1" t="n">
        <v>45194</v>
      </c>
      <c r="C87" s="1" t="n">
        <v>46174</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4804-2024</t>
        </is>
      </c>
      <c r="B88" s="1" t="n">
        <v>45328</v>
      </c>
      <c r="C88" s="1" t="n">
        <v>46174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4803-2024</t>
        </is>
      </c>
      <c r="B89" s="1" t="n">
        <v>45328</v>
      </c>
      <c r="C89" s="1" t="n">
        <v>46174</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34452-2021</t>
        </is>
      </c>
      <c r="B90" s="1" t="n">
        <v>44381</v>
      </c>
      <c r="C90" s="1" t="n">
        <v>46174</v>
      </c>
      <c r="D90" t="inlineStr">
        <is>
          <t>STOCKHOLMS LÄN</t>
        </is>
      </c>
      <c r="E90" t="inlineStr">
        <is>
          <t>VALLENTUNA</t>
        </is>
      </c>
      <c r="G90" t="n">
        <v>14.7</v>
      </c>
      <c r="H90" t="n">
        <v>0</v>
      </c>
      <c r="I90" t="n">
        <v>0</v>
      </c>
      <c r="J90" t="n">
        <v>0</v>
      </c>
      <c r="K90" t="n">
        <v>0</v>
      </c>
      <c r="L90" t="n">
        <v>0</v>
      </c>
      <c r="M90" t="n">
        <v>0</v>
      </c>
      <c r="N90" t="n">
        <v>0</v>
      </c>
      <c r="O90" t="n">
        <v>0</v>
      </c>
      <c r="P90" t="n">
        <v>0</v>
      </c>
      <c r="Q90" t="n">
        <v>0</v>
      </c>
      <c r="R90" s="2" t="inlineStr"/>
    </row>
    <row r="91" ht="15" customHeight="1">
      <c r="A91" t="inlineStr">
        <is>
          <t>A 20791-2025</t>
        </is>
      </c>
      <c r="B91" s="1" t="n">
        <v>45776.62738425926</v>
      </c>
      <c r="C91" s="1" t="n">
        <v>46174</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3698-2022</t>
        </is>
      </c>
      <c r="B92" s="1" t="n">
        <v>44586</v>
      </c>
      <c r="C92" s="1" t="n">
        <v>46174</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38102-2024</t>
        </is>
      </c>
      <c r="B93" s="1" t="n">
        <v>45545.36349537037</v>
      </c>
      <c r="C93" s="1" t="n">
        <v>46174</v>
      </c>
      <c r="D93" t="inlineStr">
        <is>
          <t>STOCKHOLMS LÄN</t>
        </is>
      </c>
      <c r="E93" t="inlineStr">
        <is>
          <t>VALLENTUNA</t>
        </is>
      </c>
      <c r="G93" t="n">
        <v>3.2</v>
      </c>
      <c r="H93" t="n">
        <v>0</v>
      </c>
      <c r="I93" t="n">
        <v>0</v>
      </c>
      <c r="J93" t="n">
        <v>0</v>
      </c>
      <c r="K93" t="n">
        <v>0</v>
      </c>
      <c r="L93" t="n">
        <v>0</v>
      </c>
      <c r="M93" t="n">
        <v>0</v>
      </c>
      <c r="N93" t="n">
        <v>0</v>
      </c>
      <c r="O93" t="n">
        <v>0</v>
      </c>
      <c r="P93" t="n">
        <v>0</v>
      </c>
      <c r="Q93" t="n">
        <v>0</v>
      </c>
      <c r="R93" s="2" t="inlineStr"/>
    </row>
    <row r="94" ht="15" customHeight="1">
      <c r="A94" t="inlineStr">
        <is>
          <t>A 24707-2023</t>
        </is>
      </c>
      <c r="B94" s="1" t="n">
        <v>45084</v>
      </c>
      <c r="C94" s="1" t="n">
        <v>46174</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10073-2024</t>
        </is>
      </c>
      <c r="B95" s="1" t="n">
        <v>45364.40821759259</v>
      </c>
      <c r="C95" s="1" t="n">
        <v>46174</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44988-2025</t>
        </is>
      </c>
      <c r="B96" s="1" t="n">
        <v>45918.65505787037</v>
      </c>
      <c r="C96" s="1" t="n">
        <v>46174</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12234-2022</t>
        </is>
      </c>
      <c r="B97" s="1" t="n">
        <v>44637</v>
      </c>
      <c r="C97" s="1" t="n">
        <v>46174</v>
      </c>
      <c r="D97" t="inlineStr">
        <is>
          <t>STOCKHOLMS LÄN</t>
        </is>
      </c>
      <c r="E97" t="inlineStr">
        <is>
          <t>VALLENTUNA</t>
        </is>
      </c>
      <c r="G97" t="n">
        <v>2.4</v>
      </c>
      <c r="H97" t="n">
        <v>0</v>
      </c>
      <c r="I97" t="n">
        <v>0</v>
      </c>
      <c r="J97" t="n">
        <v>0</v>
      </c>
      <c r="K97" t="n">
        <v>0</v>
      </c>
      <c r="L97" t="n">
        <v>0</v>
      </c>
      <c r="M97" t="n">
        <v>0</v>
      </c>
      <c r="N97" t="n">
        <v>0</v>
      </c>
      <c r="O97" t="n">
        <v>0</v>
      </c>
      <c r="P97" t="n">
        <v>0</v>
      </c>
      <c r="Q97" t="n">
        <v>0</v>
      </c>
      <c r="R97" s="2" t="inlineStr"/>
    </row>
    <row r="98" ht="15" customHeight="1">
      <c r="A98" t="inlineStr">
        <is>
          <t>A 24943-2024</t>
        </is>
      </c>
      <c r="B98" s="1" t="n">
        <v>45461.62585648148</v>
      </c>
      <c r="C98" s="1" t="n">
        <v>46174</v>
      </c>
      <c r="D98" t="inlineStr">
        <is>
          <t>STOCKHOLMS LÄN</t>
        </is>
      </c>
      <c r="E98" t="inlineStr">
        <is>
          <t>VALLENTUNA</t>
        </is>
      </c>
      <c r="G98" t="n">
        <v>2</v>
      </c>
      <c r="H98" t="n">
        <v>0</v>
      </c>
      <c r="I98" t="n">
        <v>0</v>
      </c>
      <c r="J98" t="n">
        <v>0</v>
      </c>
      <c r="K98" t="n">
        <v>0</v>
      </c>
      <c r="L98" t="n">
        <v>0</v>
      </c>
      <c r="M98" t="n">
        <v>0</v>
      </c>
      <c r="N98" t="n">
        <v>0</v>
      </c>
      <c r="O98" t="n">
        <v>0</v>
      </c>
      <c r="P98" t="n">
        <v>0</v>
      </c>
      <c r="Q98" t="n">
        <v>0</v>
      </c>
      <c r="R98" s="2" t="inlineStr"/>
    </row>
    <row r="99" ht="15" customHeight="1">
      <c r="A99" t="inlineStr">
        <is>
          <t>A 12621-2024</t>
        </is>
      </c>
      <c r="B99" s="1" t="n">
        <v>45383.6325</v>
      </c>
      <c r="C99" s="1" t="n">
        <v>46174</v>
      </c>
      <c r="D99" t="inlineStr">
        <is>
          <t>STOCKHOLMS LÄN</t>
        </is>
      </c>
      <c r="E99" t="inlineStr">
        <is>
          <t>VALLENTUNA</t>
        </is>
      </c>
      <c r="G99" t="n">
        <v>4.4</v>
      </c>
      <c r="H99" t="n">
        <v>0</v>
      </c>
      <c r="I99" t="n">
        <v>0</v>
      </c>
      <c r="J99" t="n">
        <v>0</v>
      </c>
      <c r="K99" t="n">
        <v>0</v>
      </c>
      <c r="L99" t="n">
        <v>0</v>
      </c>
      <c r="M99" t="n">
        <v>0</v>
      </c>
      <c r="N99" t="n">
        <v>0</v>
      </c>
      <c r="O99" t="n">
        <v>0</v>
      </c>
      <c r="P99" t="n">
        <v>0</v>
      </c>
      <c r="Q99" t="n">
        <v>0</v>
      </c>
      <c r="R99" s="2" t="inlineStr"/>
    </row>
    <row r="100" ht="15" customHeight="1">
      <c r="A100" t="inlineStr">
        <is>
          <t>A 5910-2022</t>
        </is>
      </c>
      <c r="B100" s="1" t="n">
        <v>44597</v>
      </c>
      <c r="C100" s="1" t="n">
        <v>46174</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48014-2025</t>
        </is>
      </c>
      <c r="B101" s="1" t="n">
        <v>45932.64520833334</v>
      </c>
      <c r="C101" s="1" t="n">
        <v>46174</v>
      </c>
      <c r="D101" t="inlineStr">
        <is>
          <t>STOCKHOLMS LÄN</t>
        </is>
      </c>
      <c r="E101" t="inlineStr">
        <is>
          <t>VALLENTUNA</t>
        </is>
      </c>
      <c r="G101" t="n">
        <v>0.6</v>
      </c>
      <c r="H101" t="n">
        <v>0</v>
      </c>
      <c r="I101" t="n">
        <v>0</v>
      </c>
      <c r="J101" t="n">
        <v>0</v>
      </c>
      <c r="K101" t="n">
        <v>0</v>
      </c>
      <c r="L101" t="n">
        <v>0</v>
      </c>
      <c r="M101" t="n">
        <v>0</v>
      </c>
      <c r="N101" t="n">
        <v>0</v>
      </c>
      <c r="O101" t="n">
        <v>0</v>
      </c>
      <c r="P101" t="n">
        <v>0</v>
      </c>
      <c r="Q101" t="n">
        <v>0</v>
      </c>
      <c r="R101" s="2" t="inlineStr"/>
    </row>
    <row r="102" ht="15" customHeight="1">
      <c r="A102" t="inlineStr">
        <is>
          <t>A 48038-2025</t>
        </is>
      </c>
      <c r="B102" s="1" t="n">
        <v>45932.66008101852</v>
      </c>
      <c r="C102" s="1" t="n">
        <v>46174</v>
      </c>
      <c r="D102" t="inlineStr">
        <is>
          <t>STOCKHOLMS LÄN</t>
        </is>
      </c>
      <c r="E102" t="inlineStr">
        <is>
          <t>VALLENTUNA</t>
        </is>
      </c>
      <c r="G102" t="n">
        <v>0.5</v>
      </c>
      <c r="H102" t="n">
        <v>0</v>
      </c>
      <c r="I102" t="n">
        <v>0</v>
      </c>
      <c r="J102" t="n">
        <v>0</v>
      </c>
      <c r="K102" t="n">
        <v>0</v>
      </c>
      <c r="L102" t="n">
        <v>0</v>
      </c>
      <c r="M102" t="n">
        <v>0</v>
      </c>
      <c r="N102" t="n">
        <v>0</v>
      </c>
      <c r="O102" t="n">
        <v>0</v>
      </c>
      <c r="P102" t="n">
        <v>0</v>
      </c>
      <c r="Q102" t="n">
        <v>0</v>
      </c>
      <c r="R102" s="2" t="inlineStr"/>
    </row>
    <row r="103" ht="15" customHeight="1">
      <c r="A103" t="inlineStr">
        <is>
          <t>A 60795-2023</t>
        </is>
      </c>
      <c r="B103" s="1" t="n">
        <v>45260</v>
      </c>
      <c r="C103" s="1" t="n">
        <v>46174</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60997-2022</t>
        </is>
      </c>
      <c r="B104" s="1" t="n">
        <v>44914.70746527778</v>
      </c>
      <c r="C104" s="1" t="n">
        <v>46174</v>
      </c>
      <c r="D104" t="inlineStr">
        <is>
          <t>STOCKHOLMS LÄN</t>
        </is>
      </c>
      <c r="E104" t="inlineStr">
        <is>
          <t>VALLENTUNA</t>
        </is>
      </c>
      <c r="G104" t="n">
        <v>1.8</v>
      </c>
      <c r="H104" t="n">
        <v>0</v>
      </c>
      <c r="I104" t="n">
        <v>0</v>
      </c>
      <c r="J104" t="n">
        <v>0</v>
      </c>
      <c r="K104" t="n">
        <v>0</v>
      </c>
      <c r="L104" t="n">
        <v>0</v>
      </c>
      <c r="M104" t="n">
        <v>0</v>
      </c>
      <c r="N104" t="n">
        <v>0</v>
      </c>
      <c r="O104" t="n">
        <v>0</v>
      </c>
      <c r="P104" t="n">
        <v>0</v>
      </c>
      <c r="Q104" t="n">
        <v>0</v>
      </c>
      <c r="R104" s="2" t="inlineStr"/>
    </row>
    <row r="105" ht="15" customHeight="1">
      <c r="A105" t="inlineStr">
        <is>
          <t>A 14775-2024</t>
        </is>
      </c>
      <c r="B105" s="1" t="n">
        <v>45397.73675925926</v>
      </c>
      <c r="C105" s="1" t="n">
        <v>46174</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50784-2025</t>
        </is>
      </c>
      <c r="B106" s="1" t="n">
        <v>45946</v>
      </c>
      <c r="C106" s="1" t="n">
        <v>46174</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8565-2025</t>
        </is>
      </c>
      <c r="B107" s="1" t="n">
        <v>45709</v>
      </c>
      <c r="C107" s="1" t="n">
        <v>46174</v>
      </c>
      <c r="D107" t="inlineStr">
        <is>
          <t>STOCKHOLMS LÄN</t>
        </is>
      </c>
      <c r="E107" t="inlineStr">
        <is>
          <t>VALLENTUNA</t>
        </is>
      </c>
      <c r="F107" t="inlineStr">
        <is>
          <t>Kommuner</t>
        </is>
      </c>
      <c r="G107" t="n">
        <v>4.2</v>
      </c>
      <c r="H107" t="n">
        <v>0</v>
      </c>
      <c r="I107" t="n">
        <v>0</v>
      </c>
      <c r="J107" t="n">
        <v>0</v>
      </c>
      <c r="K107" t="n">
        <v>0</v>
      </c>
      <c r="L107" t="n">
        <v>0</v>
      </c>
      <c r="M107" t="n">
        <v>0</v>
      </c>
      <c r="N107" t="n">
        <v>0</v>
      </c>
      <c r="O107" t="n">
        <v>0</v>
      </c>
      <c r="P107" t="n">
        <v>0</v>
      </c>
      <c r="Q107" t="n">
        <v>0</v>
      </c>
      <c r="R107" s="2" t="inlineStr"/>
    </row>
    <row r="108" ht="15" customHeight="1">
      <c r="A108" t="inlineStr">
        <is>
          <t>A 8787-2024</t>
        </is>
      </c>
      <c r="B108" s="1" t="n">
        <v>45356</v>
      </c>
      <c r="C108" s="1" t="n">
        <v>46174</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22683-2023</t>
        </is>
      </c>
      <c r="B109" s="1" t="n">
        <v>45071</v>
      </c>
      <c r="C109" s="1" t="n">
        <v>46174</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14782-2024</t>
        </is>
      </c>
      <c r="B110" s="1" t="n">
        <v>45397.74266203704</v>
      </c>
      <c r="C110" s="1" t="n">
        <v>46174</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52562-2023</t>
        </is>
      </c>
      <c r="B111" s="1" t="n">
        <v>45225</v>
      </c>
      <c r="C111" s="1" t="n">
        <v>46174</v>
      </c>
      <c r="D111" t="inlineStr">
        <is>
          <t>STOCKHOLMS LÄN</t>
        </is>
      </c>
      <c r="E111" t="inlineStr">
        <is>
          <t>VALLENTUNA</t>
        </is>
      </c>
      <c r="G111" t="n">
        <v>3.4</v>
      </c>
      <c r="H111" t="n">
        <v>0</v>
      </c>
      <c r="I111" t="n">
        <v>0</v>
      </c>
      <c r="J111" t="n">
        <v>0</v>
      </c>
      <c r="K111" t="n">
        <v>0</v>
      </c>
      <c r="L111" t="n">
        <v>0</v>
      </c>
      <c r="M111" t="n">
        <v>0</v>
      </c>
      <c r="N111" t="n">
        <v>0</v>
      </c>
      <c r="O111" t="n">
        <v>0</v>
      </c>
      <c r="P111" t="n">
        <v>0</v>
      </c>
      <c r="Q111" t="n">
        <v>0</v>
      </c>
      <c r="R111" s="2" t="inlineStr"/>
    </row>
    <row r="112" ht="15" customHeight="1">
      <c r="A112" t="inlineStr">
        <is>
          <t>A 49530-2023</t>
        </is>
      </c>
      <c r="B112" s="1" t="n">
        <v>45205</v>
      </c>
      <c r="C112" s="1" t="n">
        <v>46174</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52542-2023</t>
        </is>
      </c>
      <c r="B113" s="1" t="n">
        <v>45225</v>
      </c>
      <c r="C113" s="1" t="n">
        <v>46174</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17411-2023</t>
        </is>
      </c>
      <c r="B114" s="1" t="n">
        <v>45035.82512731481</v>
      </c>
      <c r="C114" s="1" t="n">
        <v>46174</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2318-2024</t>
        </is>
      </c>
      <c r="B115" s="1" t="n">
        <v>45310</v>
      </c>
      <c r="C115" s="1" t="n">
        <v>46174</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9063-2024</t>
        </is>
      </c>
      <c r="B116" s="1" t="n">
        <v>45357.72652777778</v>
      </c>
      <c r="C116" s="1" t="n">
        <v>46174</v>
      </c>
      <c r="D116" t="inlineStr">
        <is>
          <t>STOCKHOLMS LÄN</t>
        </is>
      </c>
      <c r="E116" t="inlineStr">
        <is>
          <t>VALLENTUNA</t>
        </is>
      </c>
      <c r="G116" t="n">
        <v>4.1</v>
      </c>
      <c r="H116" t="n">
        <v>0</v>
      </c>
      <c r="I116" t="n">
        <v>0</v>
      </c>
      <c r="J116" t="n">
        <v>0</v>
      </c>
      <c r="K116" t="n">
        <v>0</v>
      </c>
      <c r="L116" t="n">
        <v>0</v>
      </c>
      <c r="M116" t="n">
        <v>0</v>
      </c>
      <c r="N116" t="n">
        <v>0</v>
      </c>
      <c r="O116" t="n">
        <v>0</v>
      </c>
      <c r="P116" t="n">
        <v>0</v>
      </c>
      <c r="Q116" t="n">
        <v>0</v>
      </c>
      <c r="R116" s="2" t="inlineStr"/>
    </row>
    <row r="117" ht="15" customHeight="1">
      <c r="A117" t="inlineStr">
        <is>
          <t>A 27868-2025</t>
        </is>
      </c>
      <c r="B117" s="1" t="n">
        <v>45817</v>
      </c>
      <c r="C117" s="1" t="n">
        <v>46174</v>
      </c>
      <c r="D117" t="inlineStr">
        <is>
          <t>STOCKHOLMS LÄN</t>
        </is>
      </c>
      <c r="E117" t="inlineStr">
        <is>
          <t>VALLENTUNA</t>
        </is>
      </c>
      <c r="G117" t="n">
        <v>2.1</v>
      </c>
      <c r="H117" t="n">
        <v>0</v>
      </c>
      <c r="I117" t="n">
        <v>0</v>
      </c>
      <c r="J117" t="n">
        <v>0</v>
      </c>
      <c r="K117" t="n">
        <v>0</v>
      </c>
      <c r="L117" t="n">
        <v>0</v>
      </c>
      <c r="M117" t="n">
        <v>0</v>
      </c>
      <c r="N117" t="n">
        <v>0</v>
      </c>
      <c r="O117" t="n">
        <v>0</v>
      </c>
      <c r="P117" t="n">
        <v>0</v>
      </c>
      <c r="Q117" t="n">
        <v>0</v>
      </c>
      <c r="R117" s="2" t="inlineStr"/>
    </row>
    <row r="118" ht="15" customHeight="1">
      <c r="A118" t="inlineStr">
        <is>
          <t>A 21445-2023</t>
        </is>
      </c>
      <c r="B118" s="1" t="n">
        <v>45063</v>
      </c>
      <c r="C118" s="1" t="n">
        <v>46174</v>
      </c>
      <c r="D118" t="inlineStr">
        <is>
          <t>STOCKHOLMS LÄN</t>
        </is>
      </c>
      <c r="E118" t="inlineStr">
        <is>
          <t>VALLENTUNA</t>
        </is>
      </c>
      <c r="G118" t="n">
        <v>3.1</v>
      </c>
      <c r="H118" t="n">
        <v>0</v>
      </c>
      <c r="I118" t="n">
        <v>0</v>
      </c>
      <c r="J118" t="n">
        <v>0</v>
      </c>
      <c r="K118" t="n">
        <v>0</v>
      </c>
      <c r="L118" t="n">
        <v>0</v>
      </c>
      <c r="M118" t="n">
        <v>0</v>
      </c>
      <c r="N118" t="n">
        <v>0</v>
      </c>
      <c r="O118" t="n">
        <v>0</v>
      </c>
      <c r="P118" t="n">
        <v>0</v>
      </c>
      <c r="Q118" t="n">
        <v>0</v>
      </c>
      <c r="R118" s="2" t="inlineStr"/>
    </row>
    <row r="119" ht="15" customHeight="1">
      <c r="A119" t="inlineStr">
        <is>
          <t>A 54460-2025</t>
        </is>
      </c>
      <c r="B119" s="1" t="n">
        <v>45965.56219907408</v>
      </c>
      <c r="C119" s="1" t="n">
        <v>46174</v>
      </c>
      <c r="D119" t="inlineStr">
        <is>
          <t>STOCKHOLMS LÄN</t>
        </is>
      </c>
      <c r="E119" t="inlineStr">
        <is>
          <t>VALLENTUNA</t>
        </is>
      </c>
      <c r="G119" t="n">
        <v>22.9</v>
      </c>
      <c r="H119" t="n">
        <v>0</v>
      </c>
      <c r="I119" t="n">
        <v>0</v>
      </c>
      <c r="J119" t="n">
        <v>0</v>
      </c>
      <c r="K119" t="n">
        <v>0</v>
      </c>
      <c r="L119" t="n">
        <v>0</v>
      </c>
      <c r="M119" t="n">
        <v>0</v>
      </c>
      <c r="N119" t="n">
        <v>0</v>
      </c>
      <c r="O119" t="n">
        <v>0</v>
      </c>
      <c r="P119" t="n">
        <v>0</v>
      </c>
      <c r="Q119" t="n">
        <v>0</v>
      </c>
      <c r="R119" s="2" t="inlineStr"/>
    </row>
    <row r="120" ht="15" customHeight="1">
      <c r="A120" t="inlineStr">
        <is>
          <t>A 1385-2024</t>
        </is>
      </c>
      <c r="B120" s="1" t="n">
        <v>45303</v>
      </c>
      <c r="C120" s="1" t="n">
        <v>46174</v>
      </c>
      <c r="D120" t="inlineStr">
        <is>
          <t>STOCKHOLMS LÄN</t>
        </is>
      </c>
      <c r="E120" t="inlineStr">
        <is>
          <t>VALLENTUNA</t>
        </is>
      </c>
      <c r="G120" t="n">
        <v>2.6</v>
      </c>
      <c r="H120" t="n">
        <v>0</v>
      </c>
      <c r="I120" t="n">
        <v>0</v>
      </c>
      <c r="J120" t="n">
        <v>0</v>
      </c>
      <c r="K120" t="n">
        <v>0</v>
      </c>
      <c r="L120" t="n">
        <v>0</v>
      </c>
      <c r="M120" t="n">
        <v>0</v>
      </c>
      <c r="N120" t="n">
        <v>0</v>
      </c>
      <c r="O120" t="n">
        <v>0</v>
      </c>
      <c r="P120" t="n">
        <v>0</v>
      </c>
      <c r="Q120" t="n">
        <v>0</v>
      </c>
      <c r="R120" s="2" t="inlineStr"/>
    </row>
    <row r="121" ht="15" customHeight="1">
      <c r="A121" t="inlineStr">
        <is>
          <t>A 54466-2025</t>
        </is>
      </c>
      <c r="B121" s="1" t="n">
        <v>45965.56984953704</v>
      </c>
      <c r="C121" s="1" t="n">
        <v>46174</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34441-2023</t>
        </is>
      </c>
      <c r="B122" s="1" t="n">
        <v>45139</v>
      </c>
      <c r="C122" s="1" t="n">
        <v>46174</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34445-2023</t>
        </is>
      </c>
      <c r="B123" s="1" t="n">
        <v>45139</v>
      </c>
      <c r="C123" s="1" t="n">
        <v>46174</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60818-2023</t>
        </is>
      </c>
      <c r="B124" s="1" t="n">
        <v>45259</v>
      </c>
      <c r="C124" s="1" t="n">
        <v>46174</v>
      </c>
      <c r="D124" t="inlineStr">
        <is>
          <t>STOCKHOLMS LÄN</t>
        </is>
      </c>
      <c r="E124" t="inlineStr">
        <is>
          <t>VALLENTUNA</t>
        </is>
      </c>
      <c r="G124" t="n">
        <v>9.4</v>
      </c>
      <c r="H124" t="n">
        <v>0</v>
      </c>
      <c r="I124" t="n">
        <v>0</v>
      </c>
      <c r="J124" t="n">
        <v>0</v>
      </c>
      <c r="K124" t="n">
        <v>0</v>
      </c>
      <c r="L124" t="n">
        <v>0</v>
      </c>
      <c r="M124" t="n">
        <v>0</v>
      </c>
      <c r="N124" t="n">
        <v>0</v>
      </c>
      <c r="O124" t="n">
        <v>0</v>
      </c>
      <c r="P124" t="n">
        <v>0</v>
      </c>
      <c r="Q124" t="n">
        <v>0</v>
      </c>
      <c r="R124" s="2" t="inlineStr"/>
    </row>
    <row r="125" ht="15" customHeight="1">
      <c r="A125" t="inlineStr">
        <is>
          <t>A 20914-2026</t>
        </is>
      </c>
      <c r="B125" s="1" t="n">
        <v>46142</v>
      </c>
      <c r="C125" s="1" t="n">
        <v>46174</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24740-2026</t>
        </is>
      </c>
      <c r="B126" s="1" t="n">
        <v>46171.5815162037</v>
      </c>
      <c r="C126" s="1" t="n">
        <v>46174</v>
      </c>
      <c r="D126" t="inlineStr">
        <is>
          <t>STOCKHOLMS LÄN</t>
        </is>
      </c>
      <c r="E126" t="inlineStr">
        <is>
          <t>VALLENTUNA</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46381-2023</t>
        </is>
      </c>
      <c r="B127" s="1" t="n">
        <v>45193</v>
      </c>
      <c r="C127" s="1" t="n">
        <v>46174</v>
      </c>
      <c r="D127" t="inlineStr">
        <is>
          <t>STOCKHOLMS LÄN</t>
        </is>
      </c>
      <c r="E127" t="inlineStr">
        <is>
          <t>VALLENTUNA</t>
        </is>
      </c>
      <c r="G127" t="n">
        <v>2.9</v>
      </c>
      <c r="H127" t="n">
        <v>0</v>
      </c>
      <c r="I127" t="n">
        <v>0</v>
      </c>
      <c r="J127" t="n">
        <v>0</v>
      </c>
      <c r="K127" t="n">
        <v>0</v>
      </c>
      <c r="L127" t="n">
        <v>0</v>
      </c>
      <c r="M127" t="n">
        <v>0</v>
      </c>
      <c r="N127" t="n">
        <v>0</v>
      </c>
      <c r="O127" t="n">
        <v>0</v>
      </c>
      <c r="P127" t="n">
        <v>0</v>
      </c>
      <c r="Q127" t="n">
        <v>0</v>
      </c>
      <c r="R127" s="2" t="inlineStr"/>
    </row>
    <row r="128" ht="15" customHeight="1">
      <c r="A128" t="inlineStr">
        <is>
          <t>A 23009-2024</t>
        </is>
      </c>
      <c r="B128" s="1" t="n">
        <v>45450.34506944445</v>
      </c>
      <c r="C128" s="1" t="n">
        <v>46174</v>
      </c>
      <c r="D128" t="inlineStr">
        <is>
          <t>STOCKHOLMS LÄN</t>
        </is>
      </c>
      <c r="E128" t="inlineStr">
        <is>
          <t>VALLENTUNA</t>
        </is>
      </c>
      <c r="G128" t="n">
        <v>1.4</v>
      </c>
      <c r="H128" t="n">
        <v>0</v>
      </c>
      <c r="I128" t="n">
        <v>0</v>
      </c>
      <c r="J128" t="n">
        <v>0</v>
      </c>
      <c r="K128" t="n">
        <v>0</v>
      </c>
      <c r="L128" t="n">
        <v>0</v>
      </c>
      <c r="M128" t="n">
        <v>0</v>
      </c>
      <c r="N128" t="n">
        <v>0</v>
      </c>
      <c r="O128" t="n">
        <v>0</v>
      </c>
      <c r="P128" t="n">
        <v>0</v>
      </c>
      <c r="Q128" t="n">
        <v>0</v>
      </c>
      <c r="R128" s="2" t="inlineStr"/>
    </row>
    <row r="129" ht="15" customHeight="1">
      <c r="A129" t="inlineStr">
        <is>
          <t>A 61027-2023</t>
        </is>
      </c>
      <c r="B129" s="1" t="n">
        <v>45261</v>
      </c>
      <c r="C129" s="1" t="n">
        <v>46174</v>
      </c>
      <c r="D129" t="inlineStr">
        <is>
          <t>STOCKHOLMS LÄN</t>
        </is>
      </c>
      <c r="E129" t="inlineStr">
        <is>
          <t>VALLENTUNA</t>
        </is>
      </c>
      <c r="G129" t="n">
        <v>7.1</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46174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23923-2025</t>
        </is>
      </c>
      <c r="B131" s="1" t="n">
        <v>45795.39648148148</v>
      </c>
      <c r="C131" s="1" t="n">
        <v>46174</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27870-2025</t>
        </is>
      </c>
      <c r="B132" s="1" t="n">
        <v>45817</v>
      </c>
      <c r="C132" s="1" t="n">
        <v>46174</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61646-2025</t>
        </is>
      </c>
      <c r="B133" s="1" t="n">
        <v>46002</v>
      </c>
      <c r="C133" s="1" t="n">
        <v>46174</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25984-2025</t>
        </is>
      </c>
      <c r="B134" s="1" t="n">
        <v>45804.64016203704</v>
      </c>
      <c r="C134" s="1" t="n">
        <v>46174</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414-2026</t>
        </is>
      </c>
      <c r="B135" s="1" t="n">
        <v>46028.76050925926</v>
      </c>
      <c r="C135" s="1" t="n">
        <v>46174</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30902-2025</t>
        </is>
      </c>
      <c r="B136" s="1" t="n">
        <v>45832.36104166666</v>
      </c>
      <c r="C136" s="1" t="n">
        <v>46174</v>
      </c>
      <c r="D136" t="inlineStr">
        <is>
          <t>STOCKHOLMS LÄN</t>
        </is>
      </c>
      <c r="E136" t="inlineStr">
        <is>
          <t>VALLENTUNA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6298-2026</t>
        </is>
      </c>
      <c r="B137" s="1" t="n">
        <v>46055.5656712963</v>
      </c>
      <c r="C137" s="1" t="n">
        <v>46174</v>
      </c>
      <c r="D137" t="inlineStr">
        <is>
          <t>STOCKHOLMS LÄN</t>
        </is>
      </c>
      <c r="E137" t="inlineStr">
        <is>
          <t>VALLENTUNA</t>
        </is>
      </c>
      <c r="G137" t="n">
        <v>3.3</v>
      </c>
      <c r="H137" t="n">
        <v>0</v>
      </c>
      <c r="I137" t="n">
        <v>0</v>
      </c>
      <c r="J137" t="n">
        <v>0</v>
      </c>
      <c r="K137" t="n">
        <v>0</v>
      </c>
      <c r="L137" t="n">
        <v>0</v>
      </c>
      <c r="M137" t="n">
        <v>0</v>
      </c>
      <c r="N137" t="n">
        <v>0</v>
      </c>
      <c r="O137" t="n">
        <v>0</v>
      </c>
      <c r="P137" t="n">
        <v>0</v>
      </c>
      <c r="Q137" t="n">
        <v>0</v>
      </c>
      <c r="R137" s="2" t="inlineStr"/>
    </row>
    <row r="138" ht="15" customHeight="1">
      <c r="A138" t="inlineStr">
        <is>
          <t>A 28431-2025</t>
        </is>
      </c>
      <c r="B138" s="1" t="n">
        <v>45819.38072916667</v>
      </c>
      <c r="C138" s="1" t="n">
        <v>46174</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12400-2026</t>
        </is>
      </c>
      <c r="B139" s="1" t="n">
        <v>46090.39423611111</v>
      </c>
      <c r="C139" s="1" t="n">
        <v>46174</v>
      </c>
      <c r="D139" t="inlineStr">
        <is>
          <t>STOCKHOLMS LÄN</t>
        </is>
      </c>
      <c r="E139" t="inlineStr">
        <is>
          <t>VALLENTUNA</t>
        </is>
      </c>
      <c r="G139" t="n">
        <v>1.9</v>
      </c>
      <c r="H139" t="n">
        <v>0</v>
      </c>
      <c r="I139" t="n">
        <v>0</v>
      </c>
      <c r="J139" t="n">
        <v>0</v>
      </c>
      <c r="K139" t="n">
        <v>0</v>
      </c>
      <c r="L139" t="n">
        <v>0</v>
      </c>
      <c r="M139" t="n">
        <v>0</v>
      </c>
      <c r="N139" t="n">
        <v>0</v>
      </c>
      <c r="O139" t="n">
        <v>0</v>
      </c>
      <c r="P139" t="n">
        <v>0</v>
      </c>
      <c r="Q139" t="n">
        <v>0</v>
      </c>
      <c r="R139" s="2" t="inlineStr"/>
    </row>
    <row r="140" ht="15" customHeight="1">
      <c r="A140" t="inlineStr">
        <is>
          <t>A 12822-2026</t>
        </is>
      </c>
      <c r="B140" s="1" t="n">
        <v>46092.41358796296</v>
      </c>
      <c r="C140" s="1" t="n">
        <v>46174</v>
      </c>
      <c r="D140" t="inlineStr">
        <is>
          <t>STOCKHOLMS LÄN</t>
        </is>
      </c>
      <c r="E140" t="inlineStr">
        <is>
          <t>VALLENTUNA</t>
        </is>
      </c>
      <c r="G140" t="n">
        <v>2.7</v>
      </c>
      <c r="H140" t="n">
        <v>0</v>
      </c>
      <c r="I140" t="n">
        <v>0</v>
      </c>
      <c r="J140" t="n">
        <v>0</v>
      </c>
      <c r="K140" t="n">
        <v>0</v>
      </c>
      <c r="L140" t="n">
        <v>0</v>
      </c>
      <c r="M140" t="n">
        <v>0</v>
      </c>
      <c r="N140" t="n">
        <v>0</v>
      </c>
      <c r="O140" t="n">
        <v>0</v>
      </c>
      <c r="P140" t="n">
        <v>0</v>
      </c>
      <c r="Q140" t="n">
        <v>0</v>
      </c>
      <c r="R140" s="2" t="inlineStr"/>
    </row>
    <row r="141" ht="15" customHeight="1">
      <c r="A141" t="inlineStr">
        <is>
          <t>A 12819-2026</t>
        </is>
      </c>
      <c r="B141" s="1" t="n">
        <v>46092.40896990741</v>
      </c>
      <c r="C141" s="1" t="n">
        <v>46174</v>
      </c>
      <c r="D141" t="inlineStr">
        <is>
          <t>STOCKHOLMS LÄN</t>
        </is>
      </c>
      <c r="E141" t="inlineStr">
        <is>
          <t>VALLENTUNA</t>
        </is>
      </c>
      <c r="G141" t="n">
        <v>3.5</v>
      </c>
      <c r="H141" t="n">
        <v>0</v>
      </c>
      <c r="I141" t="n">
        <v>0</v>
      </c>
      <c r="J141" t="n">
        <v>0</v>
      </c>
      <c r="K141" t="n">
        <v>0</v>
      </c>
      <c r="L141" t="n">
        <v>0</v>
      </c>
      <c r="M141" t="n">
        <v>0</v>
      </c>
      <c r="N141" t="n">
        <v>0</v>
      </c>
      <c r="O141" t="n">
        <v>0</v>
      </c>
      <c r="P141" t="n">
        <v>0</v>
      </c>
      <c r="Q141" t="n">
        <v>0</v>
      </c>
      <c r="R141" s="2" t="inlineStr"/>
    </row>
    <row r="142" ht="15" customHeight="1">
      <c r="A142" t="inlineStr">
        <is>
          <t>A 12828-2026</t>
        </is>
      </c>
      <c r="B142" s="1" t="n">
        <v>46092.41760416667</v>
      </c>
      <c r="C142" s="1" t="n">
        <v>46174</v>
      </c>
      <c r="D142" t="inlineStr">
        <is>
          <t>STOCKHOLMS LÄN</t>
        </is>
      </c>
      <c r="E142" t="inlineStr">
        <is>
          <t>VALLENTUNA</t>
        </is>
      </c>
      <c r="G142" t="n">
        <v>1</v>
      </c>
      <c r="H142" t="n">
        <v>0</v>
      </c>
      <c r="I142" t="n">
        <v>0</v>
      </c>
      <c r="J142" t="n">
        <v>0</v>
      </c>
      <c r="K142" t="n">
        <v>0</v>
      </c>
      <c r="L142" t="n">
        <v>0</v>
      </c>
      <c r="M142" t="n">
        <v>0</v>
      </c>
      <c r="N142" t="n">
        <v>0</v>
      </c>
      <c r="O142" t="n">
        <v>0</v>
      </c>
      <c r="P142" t="n">
        <v>0</v>
      </c>
      <c r="Q142" t="n">
        <v>0</v>
      </c>
      <c r="R142" s="2" t="inlineStr"/>
    </row>
    <row r="143" ht="15" customHeight="1">
      <c r="A143" t="inlineStr">
        <is>
          <t>A 12830-2026</t>
        </is>
      </c>
      <c r="B143" s="1" t="n">
        <v>46092.42290509259</v>
      </c>
      <c r="C143" s="1" t="n">
        <v>46174</v>
      </c>
      <c r="D143" t="inlineStr">
        <is>
          <t>STOCKHOLMS LÄN</t>
        </is>
      </c>
      <c r="E143" t="inlineStr">
        <is>
          <t>VALLENTUNA</t>
        </is>
      </c>
      <c r="G143" t="n">
        <v>1.6</v>
      </c>
      <c r="H143" t="n">
        <v>0</v>
      </c>
      <c r="I143" t="n">
        <v>0</v>
      </c>
      <c r="J143" t="n">
        <v>0</v>
      </c>
      <c r="K143" t="n">
        <v>0</v>
      </c>
      <c r="L143" t="n">
        <v>0</v>
      </c>
      <c r="M143" t="n">
        <v>0</v>
      </c>
      <c r="N143" t="n">
        <v>0</v>
      </c>
      <c r="O143" t="n">
        <v>0</v>
      </c>
      <c r="P143" t="n">
        <v>0</v>
      </c>
      <c r="Q143" t="n">
        <v>0</v>
      </c>
      <c r="R143" s="2" t="inlineStr"/>
    </row>
    <row r="144" ht="15" customHeight="1">
      <c r="A144" t="inlineStr">
        <is>
          <t>A 44346-2021</t>
        </is>
      </c>
      <c r="B144" s="1" t="n">
        <v>44434</v>
      </c>
      <c r="C144" s="1" t="n">
        <v>46174</v>
      </c>
      <c r="D144" t="inlineStr">
        <is>
          <t>STOCKHOLMS LÄN</t>
        </is>
      </c>
      <c r="E144" t="inlineStr">
        <is>
          <t>VALLENTUNA</t>
        </is>
      </c>
      <c r="G144" t="n">
        <v>3</v>
      </c>
      <c r="H144" t="n">
        <v>0</v>
      </c>
      <c r="I144" t="n">
        <v>0</v>
      </c>
      <c r="J144" t="n">
        <v>0</v>
      </c>
      <c r="K144" t="n">
        <v>0</v>
      </c>
      <c r="L144" t="n">
        <v>0</v>
      </c>
      <c r="M144" t="n">
        <v>0</v>
      </c>
      <c r="N144" t="n">
        <v>0</v>
      </c>
      <c r="O144" t="n">
        <v>0</v>
      </c>
      <c r="P144" t="n">
        <v>0</v>
      </c>
      <c r="Q144" t="n">
        <v>0</v>
      </c>
      <c r="R144" s="2" t="inlineStr"/>
    </row>
    <row r="145" ht="15" customHeight="1">
      <c r="A145" t="inlineStr">
        <is>
          <t>A 20910-2026</t>
        </is>
      </c>
      <c r="B145" s="1" t="n">
        <v>46142.46608796297</v>
      </c>
      <c r="C145" s="1" t="n">
        <v>46174</v>
      </c>
      <c r="D145" t="inlineStr">
        <is>
          <t>STOCKHOLMS LÄN</t>
        </is>
      </c>
      <c r="E145" t="inlineStr">
        <is>
          <t>VALLENTUNA</t>
        </is>
      </c>
      <c r="G145" t="n">
        <v>1.8</v>
      </c>
      <c r="H145" t="n">
        <v>0</v>
      </c>
      <c r="I145" t="n">
        <v>0</v>
      </c>
      <c r="J145" t="n">
        <v>0</v>
      </c>
      <c r="K145" t="n">
        <v>0</v>
      </c>
      <c r="L145" t="n">
        <v>0</v>
      </c>
      <c r="M145" t="n">
        <v>0</v>
      </c>
      <c r="N145" t="n">
        <v>0</v>
      </c>
      <c r="O145" t="n">
        <v>0</v>
      </c>
      <c r="P145" t="n">
        <v>0</v>
      </c>
      <c r="Q145" t="n">
        <v>0</v>
      </c>
      <c r="R145" s="2" t="inlineStr"/>
    </row>
    <row r="146" ht="15" customHeight="1">
      <c r="A146" t="inlineStr">
        <is>
          <t>A 14799-2026</t>
        </is>
      </c>
      <c r="B146" s="1" t="n">
        <v>46102.82101851852</v>
      </c>
      <c r="C146" s="1" t="n">
        <v>46174</v>
      </c>
      <c r="D146" t="inlineStr">
        <is>
          <t>STOCKHOLMS LÄN</t>
        </is>
      </c>
      <c r="E146" t="inlineStr">
        <is>
          <t>VALLENTUNA</t>
        </is>
      </c>
      <c r="G146" t="n">
        <v>1.2</v>
      </c>
      <c r="H146" t="n">
        <v>0</v>
      </c>
      <c r="I146" t="n">
        <v>0</v>
      </c>
      <c r="J146" t="n">
        <v>0</v>
      </c>
      <c r="K146" t="n">
        <v>0</v>
      </c>
      <c r="L146" t="n">
        <v>0</v>
      </c>
      <c r="M146" t="n">
        <v>0</v>
      </c>
      <c r="N146" t="n">
        <v>0</v>
      </c>
      <c r="O146" t="n">
        <v>0</v>
      </c>
      <c r="P146" t="n">
        <v>0</v>
      </c>
      <c r="Q146" t="n">
        <v>0</v>
      </c>
      <c r="R146" s="2" t="inlineStr"/>
    </row>
    <row r="147" ht="15" customHeight="1">
      <c r="A147" t="inlineStr">
        <is>
          <t>A 17387-2026</t>
        </is>
      </c>
      <c r="B147" s="1" t="n">
        <v>46119.79578703704</v>
      </c>
      <c r="C147" s="1" t="n">
        <v>46174</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17388-2026</t>
        </is>
      </c>
      <c r="B148" s="1" t="n">
        <v>46119.79952546296</v>
      </c>
      <c r="C148" s="1" t="n">
        <v>46174</v>
      </c>
      <c r="D148" t="inlineStr">
        <is>
          <t>STOCKHOLMS LÄN</t>
        </is>
      </c>
      <c r="E148" t="inlineStr">
        <is>
          <t>VALLENTUNA</t>
        </is>
      </c>
      <c r="G148" t="n">
        <v>2.9</v>
      </c>
      <c r="H148" t="n">
        <v>0</v>
      </c>
      <c r="I148" t="n">
        <v>0</v>
      </c>
      <c r="J148" t="n">
        <v>0</v>
      </c>
      <c r="K148" t="n">
        <v>0</v>
      </c>
      <c r="L148" t="n">
        <v>0</v>
      </c>
      <c r="M148" t="n">
        <v>0</v>
      </c>
      <c r="N148" t="n">
        <v>0</v>
      </c>
      <c r="O148" t="n">
        <v>0</v>
      </c>
      <c r="P148" t="n">
        <v>0</v>
      </c>
      <c r="Q148" t="n">
        <v>0</v>
      </c>
      <c r="R148" s="2" t="inlineStr"/>
    </row>
    <row r="149">
      <c r="A149" t="inlineStr">
        <is>
          <t>A 17389-2026</t>
        </is>
      </c>
      <c r="B149" s="1" t="n">
        <v>46119.80603009259</v>
      </c>
      <c r="C149" s="1" t="n">
        <v>46174</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2026-06-01T10:55:32Z</dcterms:created>
  <dcterms:modified xmlns:dcterms="http://purl.org/dc/terms/" xmlns:xsi="http://www.w3.org/2001/XMLSchema-instance" xsi:type="dcterms:W3CDTF">2026-06-01T10:55:32Z</dcterms:modified>
</cp:coreProperties>
</file>