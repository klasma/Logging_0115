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46142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46142</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46142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46142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46142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46142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46142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46142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46142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46142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46142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46142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46142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46142</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46142</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46142</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46142</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46142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46142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46142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46142</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46142</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46142</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46142</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46142</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46142</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46142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46142</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46142</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46142</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46142</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12396-2026</t>
        </is>
      </c>
      <c r="B33" s="1" t="n">
        <v>46090.38930555555</v>
      </c>
      <c r="C33" s="1" t="n">
        <v>46142</v>
      </c>
      <c r="D33" t="inlineStr">
        <is>
          <t>STOCKHOLMS LÄN</t>
        </is>
      </c>
      <c r="E33" t="inlineStr">
        <is>
          <t>VALLENTUNA</t>
        </is>
      </c>
      <c r="G33" t="n">
        <v>3</v>
      </c>
      <c r="H33" t="n">
        <v>1</v>
      </c>
      <c r="I33" t="n">
        <v>0</v>
      </c>
      <c r="J33" t="n">
        <v>1</v>
      </c>
      <c r="K33" t="n">
        <v>0</v>
      </c>
      <c r="L33" t="n">
        <v>0</v>
      </c>
      <c r="M33" t="n">
        <v>0</v>
      </c>
      <c r="N33" t="n">
        <v>0</v>
      </c>
      <c r="O33" t="n">
        <v>1</v>
      </c>
      <c r="P33" t="n">
        <v>0</v>
      </c>
      <c r="Q33" t="n">
        <v>1</v>
      </c>
      <c r="R33" s="2" t="inlineStr">
        <is>
          <t>Spillkråka</t>
        </is>
      </c>
      <c r="S33">
        <f>HYPERLINK("https://klasma.github.io/Logging_0115/artfynd/A 12396-2026 artfynd.xlsx", "A 12396-2026")</f>
        <v/>
      </c>
      <c r="T33">
        <f>HYPERLINK("https://klasma.github.io/Logging_0115/kartor/A 12396-2026 karta.png", "A 12396-2026")</f>
        <v/>
      </c>
      <c r="V33">
        <f>HYPERLINK("https://klasma.github.io/Logging_0115/klagomål/A 12396-2026 FSC-klagomål.docx", "A 12396-2026")</f>
        <v/>
      </c>
      <c r="W33">
        <f>HYPERLINK("https://klasma.github.io/Logging_0115/klagomålsmail/A 12396-2026 FSC-klagomål mail.docx", "A 12396-2026")</f>
        <v/>
      </c>
      <c r="X33">
        <f>HYPERLINK("https://klasma.github.io/Logging_0115/tillsyn/A 12396-2026 tillsynsbegäran.docx", "A 12396-2026")</f>
        <v/>
      </c>
      <c r="Y33">
        <f>HYPERLINK("https://klasma.github.io/Logging_0115/tillsynsmail/A 12396-2026 tillsynsbegäran mail.docx", "A 12396-2026")</f>
        <v/>
      </c>
      <c r="Z33">
        <f>HYPERLINK("https://klasma.github.io/Logging_0115/fåglar/A 12396-2026 prioriterade fågelarter.docx", "A 12396-2026")</f>
        <v/>
      </c>
    </row>
    <row r="34" ht="15" customHeight="1">
      <c r="A34" t="inlineStr">
        <is>
          <t>A 12401-2026</t>
        </is>
      </c>
      <c r="B34" s="1" t="n">
        <v>46090</v>
      </c>
      <c r="C34" s="1" t="n">
        <v>46142</v>
      </c>
      <c r="D34" t="inlineStr">
        <is>
          <t>STOCKHOLMS LÄN</t>
        </is>
      </c>
      <c r="E34" t="inlineStr">
        <is>
          <t>VALLENTUNA</t>
        </is>
      </c>
      <c r="G34" t="n">
        <v>5.9</v>
      </c>
      <c r="H34" t="n">
        <v>1</v>
      </c>
      <c r="I34" t="n">
        <v>0</v>
      </c>
      <c r="J34" t="n">
        <v>1</v>
      </c>
      <c r="K34" t="n">
        <v>0</v>
      </c>
      <c r="L34" t="n">
        <v>0</v>
      </c>
      <c r="M34" t="n">
        <v>0</v>
      </c>
      <c r="N34" t="n">
        <v>0</v>
      </c>
      <c r="O34" t="n">
        <v>1</v>
      </c>
      <c r="P34" t="n">
        <v>0</v>
      </c>
      <c r="Q34" t="n">
        <v>1</v>
      </c>
      <c r="R34" s="2" t="inlineStr">
        <is>
          <t>Spillkråka</t>
        </is>
      </c>
      <c r="S34">
        <f>HYPERLINK("https://klasma.github.io/Logging_0115/artfynd/A 12401-2026 artfynd.xlsx", "A 12401-2026")</f>
        <v/>
      </c>
      <c r="T34">
        <f>HYPERLINK("https://klasma.github.io/Logging_0115/kartor/A 12401-2026 karta.png", "A 12401-2026")</f>
        <v/>
      </c>
      <c r="V34">
        <f>HYPERLINK("https://klasma.github.io/Logging_0115/klagomål/A 12401-2026 FSC-klagomål.docx", "A 12401-2026")</f>
        <v/>
      </c>
      <c r="W34">
        <f>HYPERLINK("https://klasma.github.io/Logging_0115/klagomålsmail/A 12401-2026 FSC-klagomål mail.docx", "A 12401-2026")</f>
        <v/>
      </c>
      <c r="X34">
        <f>HYPERLINK("https://klasma.github.io/Logging_0115/tillsyn/A 12401-2026 tillsynsbegäran.docx", "A 12401-2026")</f>
        <v/>
      </c>
      <c r="Y34">
        <f>HYPERLINK("https://klasma.github.io/Logging_0115/tillsynsmail/A 12401-2026 tillsynsbegäran mail.docx", "A 12401-2026")</f>
        <v/>
      </c>
      <c r="Z34">
        <f>HYPERLINK("https://klasma.github.io/Logging_0115/fåglar/A 12401-2026 prioriterade fågelarter.docx", "A 12401-2026")</f>
        <v/>
      </c>
    </row>
    <row r="35" ht="15" customHeight="1">
      <c r="A35" t="inlineStr">
        <is>
          <t>A 21-2022</t>
        </is>
      </c>
      <c r="B35" s="1" t="n">
        <v>44560</v>
      </c>
      <c r="C35" s="1" t="n">
        <v>46142</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54481-2025</t>
        </is>
      </c>
      <c r="B36" s="1" t="n">
        <v>45965.58837962963</v>
      </c>
      <c r="C36" s="1" t="n">
        <v>46142</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17341-2025</t>
        </is>
      </c>
      <c r="B37" s="1" t="n">
        <v>45756</v>
      </c>
      <c r="C37" s="1" t="n">
        <v>46142</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63543-2025</t>
        </is>
      </c>
      <c r="B38" s="1" t="n">
        <v>46013.59207175926</v>
      </c>
      <c r="C38" s="1" t="n">
        <v>46142</v>
      </c>
      <c r="D38" t="inlineStr">
        <is>
          <t>STOCKHOLMS LÄN</t>
        </is>
      </c>
      <c r="E38" t="inlineStr">
        <is>
          <t>VALLENTUNA</t>
        </is>
      </c>
      <c r="G38" t="n">
        <v>3.4</v>
      </c>
      <c r="H38" t="n">
        <v>0</v>
      </c>
      <c r="I38" t="n">
        <v>0</v>
      </c>
      <c r="J38" t="n">
        <v>1</v>
      </c>
      <c r="K38" t="n">
        <v>0</v>
      </c>
      <c r="L38" t="n">
        <v>0</v>
      </c>
      <c r="M38" t="n">
        <v>0</v>
      </c>
      <c r="N38" t="n">
        <v>0</v>
      </c>
      <c r="O38" t="n">
        <v>1</v>
      </c>
      <c r="P38" t="n">
        <v>0</v>
      </c>
      <c r="Q38" t="n">
        <v>1</v>
      </c>
      <c r="R38" s="2" t="inlineStr">
        <is>
          <t>Tallticka</t>
        </is>
      </c>
      <c r="S38">
        <f>HYPERLINK("https://klasma.github.io/Logging_0115/artfynd/A 63543-2025 artfynd.xlsx", "A 63543-2025")</f>
        <v/>
      </c>
      <c r="T38">
        <f>HYPERLINK("https://klasma.github.io/Logging_0115/kartor/A 63543-2025 karta.png", "A 63543-2025")</f>
        <v/>
      </c>
      <c r="V38">
        <f>HYPERLINK("https://klasma.github.io/Logging_0115/klagomål/A 63543-2025 FSC-klagomål.docx", "A 63543-2025")</f>
        <v/>
      </c>
      <c r="W38">
        <f>HYPERLINK("https://klasma.github.io/Logging_0115/klagomålsmail/A 63543-2025 FSC-klagomål mail.docx", "A 63543-2025")</f>
        <v/>
      </c>
      <c r="X38">
        <f>HYPERLINK("https://klasma.github.io/Logging_0115/tillsyn/A 63543-2025 tillsynsbegäran.docx", "A 63543-2025")</f>
        <v/>
      </c>
      <c r="Y38">
        <f>HYPERLINK("https://klasma.github.io/Logging_0115/tillsynsmail/A 63543-2025 tillsynsbegäran mail.docx", "A 63543-2025")</f>
        <v/>
      </c>
    </row>
    <row r="39" ht="15" customHeight="1">
      <c r="A39" t="inlineStr">
        <is>
          <t>A 63539-2025</t>
        </is>
      </c>
      <c r="B39" s="1" t="n">
        <v>46013.58824074074</v>
      </c>
      <c r="C39" s="1" t="n">
        <v>46142</v>
      </c>
      <c r="D39" t="inlineStr">
        <is>
          <t>STOCKHOLMS LÄN</t>
        </is>
      </c>
      <c r="E39" t="inlineStr">
        <is>
          <t>VALLENTUNA</t>
        </is>
      </c>
      <c r="G39" t="n">
        <v>1.1</v>
      </c>
      <c r="H39" t="n">
        <v>0</v>
      </c>
      <c r="I39" t="n">
        <v>1</v>
      </c>
      <c r="J39" t="n">
        <v>0</v>
      </c>
      <c r="K39" t="n">
        <v>0</v>
      </c>
      <c r="L39" t="n">
        <v>0</v>
      </c>
      <c r="M39" t="n">
        <v>0</v>
      </c>
      <c r="N39" t="n">
        <v>0</v>
      </c>
      <c r="O39" t="n">
        <v>0</v>
      </c>
      <c r="P39" t="n">
        <v>0</v>
      </c>
      <c r="Q39" t="n">
        <v>1</v>
      </c>
      <c r="R39" s="2" t="inlineStr">
        <is>
          <t>Vårärt</t>
        </is>
      </c>
      <c r="S39">
        <f>HYPERLINK("https://klasma.github.io/Logging_0115/artfynd/A 63539-2025 artfynd.xlsx", "A 63539-2025")</f>
        <v/>
      </c>
      <c r="T39">
        <f>HYPERLINK("https://klasma.github.io/Logging_0115/kartor/A 63539-2025 karta.png", "A 63539-2025")</f>
        <v/>
      </c>
      <c r="V39">
        <f>HYPERLINK("https://klasma.github.io/Logging_0115/klagomål/A 63539-2025 FSC-klagomål.docx", "A 63539-2025")</f>
        <v/>
      </c>
      <c r="W39">
        <f>HYPERLINK("https://klasma.github.io/Logging_0115/klagomålsmail/A 63539-2025 FSC-klagomål mail.docx", "A 63539-2025")</f>
        <v/>
      </c>
      <c r="X39">
        <f>HYPERLINK("https://klasma.github.io/Logging_0115/tillsyn/A 63539-2025 tillsynsbegäran.docx", "A 63539-2025")</f>
        <v/>
      </c>
      <c r="Y39">
        <f>HYPERLINK("https://klasma.github.io/Logging_0115/tillsynsmail/A 63539-2025 tillsynsbegäran mail.docx", "A 63539-2025")</f>
        <v/>
      </c>
    </row>
    <row r="40" ht="15" customHeight="1">
      <c r="A40" t="inlineStr">
        <is>
          <t>A 34458-2023</t>
        </is>
      </c>
      <c r="B40" s="1" t="n">
        <v>45139</v>
      </c>
      <c r="C40" s="1" t="n">
        <v>46142</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46142</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46142</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22936-2025</t>
        </is>
      </c>
      <c r="B43" s="1" t="n">
        <v>45790.45738425926</v>
      </c>
      <c r="C43" s="1" t="n">
        <v>46142</v>
      </c>
      <c r="D43" t="inlineStr">
        <is>
          <t>STOCKHOLMS LÄN</t>
        </is>
      </c>
      <c r="E43" t="inlineStr">
        <is>
          <t>VALLENTUNA</t>
        </is>
      </c>
      <c r="G43" t="n">
        <v>2.7</v>
      </c>
      <c r="H43" t="n">
        <v>0</v>
      </c>
      <c r="I43" t="n">
        <v>1</v>
      </c>
      <c r="J43" t="n">
        <v>0</v>
      </c>
      <c r="K43" t="n">
        <v>0</v>
      </c>
      <c r="L43" t="n">
        <v>0</v>
      </c>
      <c r="M43" t="n">
        <v>0</v>
      </c>
      <c r="N43" t="n">
        <v>0</v>
      </c>
      <c r="O43" t="n">
        <v>0</v>
      </c>
      <c r="P43" t="n">
        <v>0</v>
      </c>
      <c r="Q43" t="n">
        <v>1</v>
      </c>
      <c r="R43" s="2" t="inlineStr">
        <is>
          <t>Björksplintborre</t>
        </is>
      </c>
      <c r="S43">
        <f>HYPERLINK("https://klasma.github.io/Logging_0115/artfynd/A 22936-2025 artfynd.xlsx", "A 22936-2025")</f>
        <v/>
      </c>
      <c r="T43">
        <f>HYPERLINK("https://klasma.github.io/Logging_0115/kartor/A 22936-2025 karta.png", "A 22936-2025")</f>
        <v/>
      </c>
      <c r="V43">
        <f>HYPERLINK("https://klasma.github.io/Logging_0115/klagomål/A 22936-2025 FSC-klagomål.docx", "A 22936-2025")</f>
        <v/>
      </c>
      <c r="W43">
        <f>HYPERLINK("https://klasma.github.io/Logging_0115/klagomålsmail/A 22936-2025 FSC-klagomål mail.docx", "A 22936-2025")</f>
        <v/>
      </c>
      <c r="X43">
        <f>HYPERLINK("https://klasma.github.io/Logging_0115/tillsyn/A 22936-2025 tillsynsbegäran.docx", "A 22936-2025")</f>
        <v/>
      </c>
      <c r="Y43">
        <f>HYPERLINK("https://klasma.github.io/Logging_0115/tillsynsmail/A 22936-2025 tillsynsbegäran mail.docx", "A 22936-2025")</f>
        <v/>
      </c>
    </row>
    <row r="44" ht="15" customHeight="1">
      <c r="A44" t="inlineStr">
        <is>
          <t>A 8089-2022</t>
        </is>
      </c>
      <c r="B44" s="1" t="n">
        <v>44609.53716435185</v>
      </c>
      <c r="C44" s="1" t="n">
        <v>46142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46142</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46142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46142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46142</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46142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46142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46142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46142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46142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46142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46142</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46142</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46142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46142</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46142</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46142</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3078-2023</t>
        </is>
      </c>
      <c r="B61" s="1" t="n">
        <v>44946.41527777778</v>
      </c>
      <c r="C61" s="1" t="n">
        <v>46142</v>
      </c>
      <c r="D61" t="inlineStr">
        <is>
          <t>STOCKHOLMS LÄN</t>
        </is>
      </c>
      <c r="E61" t="inlineStr">
        <is>
          <t>VALLENTUNA</t>
        </is>
      </c>
      <c r="G61" t="n">
        <v>3.9</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46142</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14480-2024</t>
        </is>
      </c>
      <c r="B63" s="1" t="n">
        <v>45394.56777777777</v>
      </c>
      <c r="C63" s="1" t="n">
        <v>46142</v>
      </c>
      <c r="D63" t="inlineStr">
        <is>
          <t>STOCKHOLMS LÄN</t>
        </is>
      </c>
      <c r="E63" t="inlineStr">
        <is>
          <t>VALLENTUNA</t>
        </is>
      </c>
      <c r="G63" t="n">
        <v>1.8</v>
      </c>
      <c r="H63" t="n">
        <v>0</v>
      </c>
      <c r="I63" t="n">
        <v>0</v>
      </c>
      <c r="J63" t="n">
        <v>0</v>
      </c>
      <c r="K63" t="n">
        <v>0</v>
      </c>
      <c r="L63" t="n">
        <v>0</v>
      </c>
      <c r="M63" t="n">
        <v>0</v>
      </c>
      <c r="N63" t="n">
        <v>0</v>
      </c>
      <c r="O63" t="n">
        <v>0</v>
      </c>
      <c r="P63" t="n">
        <v>0</v>
      </c>
      <c r="Q63" t="n">
        <v>0</v>
      </c>
      <c r="R63" s="2" t="inlineStr"/>
    </row>
    <row r="64" ht="15" customHeight="1">
      <c r="A64" t="inlineStr">
        <is>
          <t>A 30913-2021</t>
        </is>
      </c>
      <c r="B64" s="1" t="n">
        <v>44365</v>
      </c>
      <c r="C64" s="1" t="n">
        <v>46142</v>
      </c>
      <c r="D64" t="inlineStr">
        <is>
          <t>STOCKHOLMS LÄN</t>
        </is>
      </c>
      <c r="E64" t="inlineStr">
        <is>
          <t>VALLENTUNA</t>
        </is>
      </c>
      <c r="F64" t="inlineStr">
        <is>
          <t>Övriga Aktiebolag</t>
        </is>
      </c>
      <c r="G64" t="n">
        <v>3.3</v>
      </c>
      <c r="H64" t="n">
        <v>0</v>
      </c>
      <c r="I64" t="n">
        <v>0</v>
      </c>
      <c r="J64" t="n">
        <v>0</v>
      </c>
      <c r="K64" t="n">
        <v>0</v>
      </c>
      <c r="L64" t="n">
        <v>0</v>
      </c>
      <c r="M64" t="n">
        <v>0</v>
      </c>
      <c r="N64" t="n">
        <v>0</v>
      </c>
      <c r="O64" t="n">
        <v>0</v>
      </c>
      <c r="P64" t="n">
        <v>0</v>
      </c>
      <c r="Q64" t="n">
        <v>0</v>
      </c>
      <c r="R64" s="2" t="inlineStr"/>
    </row>
    <row r="65" ht="15" customHeight="1">
      <c r="A65" t="inlineStr">
        <is>
          <t>A 48068-2021</t>
        </is>
      </c>
      <c r="B65" s="1" t="n">
        <v>44449.42270833333</v>
      </c>
      <c r="C65" s="1" t="n">
        <v>46142</v>
      </c>
      <c r="D65" t="inlineStr">
        <is>
          <t>STOCKHOLMS LÄN</t>
        </is>
      </c>
      <c r="E65" t="inlineStr">
        <is>
          <t>VALLENTUNA</t>
        </is>
      </c>
      <c r="G65" t="n">
        <v>1.3</v>
      </c>
      <c r="H65" t="n">
        <v>0</v>
      </c>
      <c r="I65" t="n">
        <v>0</v>
      </c>
      <c r="J65" t="n">
        <v>0</v>
      </c>
      <c r="K65" t="n">
        <v>0</v>
      </c>
      <c r="L65" t="n">
        <v>0</v>
      </c>
      <c r="M65" t="n">
        <v>0</v>
      </c>
      <c r="N65" t="n">
        <v>0</v>
      </c>
      <c r="O65" t="n">
        <v>0</v>
      </c>
      <c r="P65" t="n">
        <v>0</v>
      </c>
      <c r="Q65" t="n">
        <v>0</v>
      </c>
      <c r="R65" s="2" t="inlineStr"/>
    </row>
    <row r="66" ht="15" customHeight="1">
      <c r="A66" t="inlineStr">
        <is>
          <t>A 3937-2022</t>
        </is>
      </c>
      <c r="B66" s="1" t="n">
        <v>44587</v>
      </c>
      <c r="C66" s="1" t="n">
        <v>46142</v>
      </c>
      <c r="D66" t="inlineStr">
        <is>
          <t>STOCKHOLMS LÄN</t>
        </is>
      </c>
      <c r="E66" t="inlineStr">
        <is>
          <t>VALLENTUNA</t>
        </is>
      </c>
      <c r="G66" t="n">
        <v>6.6</v>
      </c>
      <c r="H66" t="n">
        <v>0</v>
      </c>
      <c r="I66" t="n">
        <v>0</v>
      </c>
      <c r="J66" t="n">
        <v>0</v>
      </c>
      <c r="K66" t="n">
        <v>0</v>
      </c>
      <c r="L66" t="n">
        <v>0</v>
      </c>
      <c r="M66" t="n">
        <v>0</v>
      </c>
      <c r="N66" t="n">
        <v>0</v>
      </c>
      <c r="O66" t="n">
        <v>0</v>
      </c>
      <c r="P66" t="n">
        <v>0</v>
      </c>
      <c r="Q66" t="n">
        <v>0</v>
      </c>
      <c r="R66" s="2" t="inlineStr"/>
    </row>
    <row r="67" ht="15" customHeight="1">
      <c r="A67" t="inlineStr">
        <is>
          <t>A 60818-2023</t>
        </is>
      </c>
      <c r="B67" s="1" t="n">
        <v>45259</v>
      </c>
      <c r="C67" s="1" t="n">
        <v>46142</v>
      </c>
      <c r="D67" t="inlineStr">
        <is>
          <t>STOCKHOLMS LÄN</t>
        </is>
      </c>
      <c r="E67" t="inlineStr">
        <is>
          <t>VALLENTUNA</t>
        </is>
      </c>
      <c r="G67" t="n">
        <v>9.4</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46142</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6298-2026</t>
        </is>
      </c>
      <c r="B69" s="1" t="n">
        <v>46055.5656712963</v>
      </c>
      <c r="C69" s="1" t="n">
        <v>46142</v>
      </c>
      <c r="D69" t="inlineStr">
        <is>
          <t>STOCKHOLMS LÄN</t>
        </is>
      </c>
      <c r="E69" t="inlineStr">
        <is>
          <t>VALLENTUNA</t>
        </is>
      </c>
      <c r="G69" t="n">
        <v>3.3</v>
      </c>
      <c r="H69" t="n">
        <v>0</v>
      </c>
      <c r="I69" t="n">
        <v>0</v>
      </c>
      <c r="J69" t="n">
        <v>0</v>
      </c>
      <c r="K69" t="n">
        <v>0</v>
      </c>
      <c r="L69" t="n">
        <v>0</v>
      </c>
      <c r="M69" t="n">
        <v>0</v>
      </c>
      <c r="N69" t="n">
        <v>0</v>
      </c>
      <c r="O69" t="n">
        <v>0</v>
      </c>
      <c r="P69" t="n">
        <v>0</v>
      </c>
      <c r="Q69" t="n">
        <v>0</v>
      </c>
      <c r="R69" s="2" t="inlineStr"/>
    </row>
    <row r="70" ht="15" customHeight="1">
      <c r="A70" t="inlineStr">
        <is>
          <t>A 30902-2025</t>
        </is>
      </c>
      <c r="B70" s="1" t="n">
        <v>45832.36104166666</v>
      </c>
      <c r="C70" s="1" t="n">
        <v>46142</v>
      </c>
      <c r="D70" t="inlineStr">
        <is>
          <t>STOCKHOLMS LÄN</t>
        </is>
      </c>
      <c r="E70" t="inlineStr">
        <is>
          <t>VALLENTUNA</t>
        </is>
      </c>
      <c r="G70" t="n">
        <v>8.199999999999999</v>
      </c>
      <c r="H70" t="n">
        <v>0</v>
      </c>
      <c r="I70" t="n">
        <v>0</v>
      </c>
      <c r="J70" t="n">
        <v>0</v>
      </c>
      <c r="K70" t="n">
        <v>0</v>
      </c>
      <c r="L70" t="n">
        <v>0</v>
      </c>
      <c r="M70" t="n">
        <v>0</v>
      </c>
      <c r="N70" t="n">
        <v>0</v>
      </c>
      <c r="O70" t="n">
        <v>0</v>
      </c>
      <c r="P70" t="n">
        <v>0</v>
      </c>
      <c r="Q70" t="n">
        <v>0</v>
      </c>
      <c r="R70" s="2" t="inlineStr"/>
    </row>
    <row r="71" ht="15" customHeight="1">
      <c r="A71" t="inlineStr">
        <is>
          <t>A 19356-2025</t>
        </is>
      </c>
      <c r="B71" s="1" t="n">
        <v>45769.62061342593</v>
      </c>
      <c r="C71" s="1" t="n">
        <v>46142</v>
      </c>
      <c r="D71" t="inlineStr">
        <is>
          <t>STOCKHOLMS LÄN</t>
        </is>
      </c>
      <c r="E71" t="inlineStr">
        <is>
          <t>VALLENTUNA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12562-2023</t>
        </is>
      </c>
      <c r="B72" s="1" t="n">
        <v>45000</v>
      </c>
      <c r="C72" s="1" t="n">
        <v>46142</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14799-2026</t>
        </is>
      </c>
      <c r="B73" s="1" t="n">
        <v>46102.82101851852</v>
      </c>
      <c r="C73" s="1" t="n">
        <v>46142</v>
      </c>
      <c r="D73" t="inlineStr">
        <is>
          <t>STOCKHOLMS LÄN</t>
        </is>
      </c>
      <c r="E73" t="inlineStr">
        <is>
          <t>VALLENTUNA</t>
        </is>
      </c>
      <c r="G73" t="n">
        <v>1.2</v>
      </c>
      <c r="H73" t="n">
        <v>0</v>
      </c>
      <c r="I73" t="n">
        <v>0</v>
      </c>
      <c r="J73" t="n">
        <v>0</v>
      </c>
      <c r="K73" t="n">
        <v>0</v>
      </c>
      <c r="L73" t="n">
        <v>0</v>
      </c>
      <c r="M73" t="n">
        <v>0</v>
      </c>
      <c r="N73" t="n">
        <v>0</v>
      </c>
      <c r="O73" t="n">
        <v>0</v>
      </c>
      <c r="P73" t="n">
        <v>0</v>
      </c>
      <c r="Q73" t="n">
        <v>0</v>
      </c>
      <c r="R73" s="2" t="inlineStr"/>
    </row>
    <row r="74" ht="15" customHeight="1">
      <c r="A74" t="inlineStr">
        <is>
          <t>A 28431-2025</t>
        </is>
      </c>
      <c r="B74" s="1" t="n">
        <v>45819.38072916667</v>
      </c>
      <c r="C74" s="1" t="n">
        <v>46142</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24068-2024</t>
        </is>
      </c>
      <c r="B75" s="1" t="n">
        <v>45456</v>
      </c>
      <c r="C75" s="1" t="n">
        <v>46142</v>
      </c>
      <c r="D75" t="inlineStr">
        <is>
          <t>STOCKHOLMS LÄN</t>
        </is>
      </c>
      <c r="E75" t="inlineStr">
        <is>
          <t>VALLENTUNA</t>
        </is>
      </c>
      <c r="G75" t="n">
        <v>7.4</v>
      </c>
      <c r="H75" t="n">
        <v>0</v>
      </c>
      <c r="I75" t="n">
        <v>0</v>
      </c>
      <c r="J75" t="n">
        <v>0</v>
      </c>
      <c r="K75" t="n">
        <v>0</v>
      </c>
      <c r="L75" t="n">
        <v>0</v>
      </c>
      <c r="M75" t="n">
        <v>0</v>
      </c>
      <c r="N75" t="n">
        <v>0</v>
      </c>
      <c r="O75" t="n">
        <v>0</v>
      </c>
      <c r="P75" t="n">
        <v>0</v>
      </c>
      <c r="Q75" t="n">
        <v>0</v>
      </c>
      <c r="R75" s="2" t="inlineStr"/>
    </row>
    <row r="76" ht="15" customHeight="1">
      <c r="A76" t="inlineStr">
        <is>
          <t>A 41206-2025</t>
        </is>
      </c>
      <c r="B76" s="1" t="n">
        <v>45898</v>
      </c>
      <c r="C76" s="1" t="n">
        <v>46142</v>
      </c>
      <c r="D76" t="inlineStr">
        <is>
          <t>STOCKHOLMS LÄN</t>
        </is>
      </c>
      <c r="E76" t="inlineStr">
        <is>
          <t>VALLENTUNA</t>
        </is>
      </c>
      <c r="G76" t="n">
        <v>10</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46142</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17389-2026</t>
        </is>
      </c>
      <c r="B78" s="1" t="n">
        <v>46119.80603009259</v>
      </c>
      <c r="C78" s="1" t="n">
        <v>46142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17387-2026</t>
        </is>
      </c>
      <c r="B79" s="1" t="n">
        <v>46119.79578703704</v>
      </c>
      <c r="C79" s="1" t="n">
        <v>46142</v>
      </c>
      <c r="D79" t="inlineStr">
        <is>
          <t>STOCKHOLMS LÄN</t>
        </is>
      </c>
      <c r="E79" t="inlineStr">
        <is>
          <t>VALLENTUNA</t>
        </is>
      </c>
      <c r="G79" t="n">
        <v>1.2</v>
      </c>
      <c r="H79" t="n">
        <v>0</v>
      </c>
      <c r="I79" t="n">
        <v>0</v>
      </c>
      <c r="J79" t="n">
        <v>0</v>
      </c>
      <c r="K79" t="n">
        <v>0</v>
      </c>
      <c r="L79" t="n">
        <v>0</v>
      </c>
      <c r="M79" t="n">
        <v>0</v>
      </c>
      <c r="N79" t="n">
        <v>0</v>
      </c>
      <c r="O79" t="n">
        <v>0</v>
      </c>
      <c r="P79" t="n">
        <v>0</v>
      </c>
      <c r="Q79" t="n">
        <v>0</v>
      </c>
      <c r="R79" s="2" t="inlineStr"/>
    </row>
    <row r="80" ht="15" customHeight="1">
      <c r="A80" t="inlineStr">
        <is>
          <t>A 17388-2026</t>
        </is>
      </c>
      <c r="B80" s="1" t="n">
        <v>46119.79952546296</v>
      </c>
      <c r="C80" s="1" t="n">
        <v>46142</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46142</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19503-2023</t>
        </is>
      </c>
      <c r="B82" s="1" t="n">
        <v>45050.47333333334</v>
      </c>
      <c r="C82" s="1" t="n">
        <v>46142</v>
      </c>
      <c r="D82" t="inlineStr">
        <is>
          <t>STOCKHOLMS LÄN</t>
        </is>
      </c>
      <c r="E82" t="inlineStr">
        <is>
          <t>VALLENTUNA</t>
        </is>
      </c>
      <c r="G82" t="n">
        <v>0.7</v>
      </c>
      <c r="H82" t="n">
        <v>0</v>
      </c>
      <c r="I82" t="n">
        <v>0</v>
      </c>
      <c r="J82" t="n">
        <v>0</v>
      </c>
      <c r="K82" t="n">
        <v>0</v>
      </c>
      <c r="L82" t="n">
        <v>0</v>
      </c>
      <c r="M82" t="n">
        <v>0</v>
      </c>
      <c r="N82" t="n">
        <v>0</v>
      </c>
      <c r="O82" t="n">
        <v>0</v>
      </c>
      <c r="P82" t="n">
        <v>0</v>
      </c>
      <c r="Q82" t="n">
        <v>0</v>
      </c>
      <c r="R82" s="2" t="inlineStr"/>
    </row>
    <row r="83" ht="15" customHeight="1">
      <c r="A83" t="inlineStr">
        <is>
          <t>A 12400-2026</t>
        </is>
      </c>
      <c r="B83" s="1" t="n">
        <v>46090.39423611111</v>
      </c>
      <c r="C83" s="1" t="n">
        <v>46142</v>
      </c>
      <c r="D83" t="inlineStr">
        <is>
          <t>STOCKHOLMS LÄN</t>
        </is>
      </c>
      <c r="E83" t="inlineStr">
        <is>
          <t>VALLENTUNA</t>
        </is>
      </c>
      <c r="G83" t="n">
        <v>1.9</v>
      </c>
      <c r="H83" t="n">
        <v>0</v>
      </c>
      <c r="I83" t="n">
        <v>0</v>
      </c>
      <c r="J83" t="n">
        <v>0</v>
      </c>
      <c r="K83" t="n">
        <v>0</v>
      </c>
      <c r="L83" t="n">
        <v>0</v>
      </c>
      <c r="M83" t="n">
        <v>0</v>
      </c>
      <c r="N83" t="n">
        <v>0</v>
      </c>
      <c r="O83" t="n">
        <v>0</v>
      </c>
      <c r="P83" t="n">
        <v>0</v>
      </c>
      <c r="Q83" t="n">
        <v>0</v>
      </c>
      <c r="R83" s="2" t="inlineStr"/>
    </row>
    <row r="84" ht="15" customHeight="1">
      <c r="A84" t="inlineStr">
        <is>
          <t>A 12819-2026</t>
        </is>
      </c>
      <c r="B84" s="1" t="n">
        <v>46092.40896990741</v>
      </c>
      <c r="C84" s="1" t="n">
        <v>46142</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12830-2026</t>
        </is>
      </c>
      <c r="B85" s="1" t="n">
        <v>46092.42290509259</v>
      </c>
      <c r="C85" s="1" t="n">
        <v>46142</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21445-2023</t>
        </is>
      </c>
      <c r="B86" s="1" t="n">
        <v>45063</v>
      </c>
      <c r="C86" s="1" t="n">
        <v>46142</v>
      </c>
      <c r="D86" t="inlineStr">
        <is>
          <t>STOCKHOLMS LÄN</t>
        </is>
      </c>
      <c r="E86" t="inlineStr">
        <is>
          <t>VALLENTUNA</t>
        </is>
      </c>
      <c r="G86" t="n">
        <v>3.1</v>
      </c>
      <c r="H86" t="n">
        <v>0</v>
      </c>
      <c r="I86" t="n">
        <v>0</v>
      </c>
      <c r="J86" t="n">
        <v>0</v>
      </c>
      <c r="K86" t="n">
        <v>0</v>
      </c>
      <c r="L86" t="n">
        <v>0</v>
      </c>
      <c r="M86" t="n">
        <v>0</v>
      </c>
      <c r="N86" t="n">
        <v>0</v>
      </c>
      <c r="O86" t="n">
        <v>0</v>
      </c>
      <c r="P86" t="n">
        <v>0</v>
      </c>
      <c r="Q86" t="n">
        <v>0</v>
      </c>
      <c r="R86" s="2" t="inlineStr"/>
    </row>
    <row r="87" ht="15" customHeight="1">
      <c r="A87" t="inlineStr">
        <is>
          <t>A 22683-2023</t>
        </is>
      </c>
      <c r="B87" s="1" t="n">
        <v>45071</v>
      </c>
      <c r="C87" s="1" t="n">
        <v>46142</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12822-2026</t>
        </is>
      </c>
      <c r="B88" s="1" t="n">
        <v>46092.41358796296</v>
      </c>
      <c r="C88" s="1" t="n">
        <v>46142</v>
      </c>
      <c r="D88" t="inlineStr">
        <is>
          <t>STOCKHOLMS LÄN</t>
        </is>
      </c>
      <c r="E88" t="inlineStr">
        <is>
          <t>VALLENTUNA</t>
        </is>
      </c>
      <c r="G88" t="n">
        <v>2.7</v>
      </c>
      <c r="H88" t="n">
        <v>0</v>
      </c>
      <c r="I88" t="n">
        <v>0</v>
      </c>
      <c r="J88" t="n">
        <v>0</v>
      </c>
      <c r="K88" t="n">
        <v>0</v>
      </c>
      <c r="L88" t="n">
        <v>0</v>
      </c>
      <c r="M88" t="n">
        <v>0</v>
      </c>
      <c r="N88" t="n">
        <v>0</v>
      </c>
      <c r="O88" t="n">
        <v>0</v>
      </c>
      <c r="P88" t="n">
        <v>0</v>
      </c>
      <c r="Q88" t="n">
        <v>0</v>
      </c>
      <c r="R88" s="2" t="inlineStr"/>
    </row>
    <row r="89" ht="15" customHeight="1">
      <c r="A89" t="inlineStr">
        <is>
          <t>A 12828-2026</t>
        </is>
      </c>
      <c r="B89" s="1" t="n">
        <v>46092.41760416667</v>
      </c>
      <c r="C89" s="1" t="n">
        <v>46142</v>
      </c>
      <c r="D89" t="inlineStr">
        <is>
          <t>STOCKHOLMS LÄN</t>
        </is>
      </c>
      <c r="E89" t="inlineStr">
        <is>
          <t>VALLENTUNA</t>
        </is>
      </c>
      <c r="G89" t="n">
        <v>1</v>
      </c>
      <c r="H89" t="n">
        <v>0</v>
      </c>
      <c r="I89" t="n">
        <v>0</v>
      </c>
      <c r="J89" t="n">
        <v>0</v>
      </c>
      <c r="K89" t="n">
        <v>0</v>
      </c>
      <c r="L89" t="n">
        <v>0</v>
      </c>
      <c r="M89" t="n">
        <v>0</v>
      </c>
      <c r="N89" t="n">
        <v>0</v>
      </c>
      <c r="O89" t="n">
        <v>0</v>
      </c>
      <c r="P89" t="n">
        <v>0</v>
      </c>
      <c r="Q89" t="n">
        <v>0</v>
      </c>
      <c r="R89" s="2" t="inlineStr"/>
    </row>
    <row r="90" ht="15" customHeight="1">
      <c r="A90" t="inlineStr">
        <is>
          <t>A 24943-2024</t>
        </is>
      </c>
      <c r="B90" s="1" t="n">
        <v>45461.62585648148</v>
      </c>
      <c r="C90" s="1" t="n">
        <v>46142</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46142</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44988-2025</t>
        </is>
      </c>
      <c r="B92" s="1" t="n">
        <v>45918.65505787037</v>
      </c>
      <c r="C92" s="1" t="n">
        <v>46142</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26390-2023</t>
        </is>
      </c>
      <c r="B93" s="1" t="n">
        <v>45086</v>
      </c>
      <c r="C93" s="1" t="n">
        <v>46142</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48014-2025</t>
        </is>
      </c>
      <c r="B94" s="1" t="n">
        <v>45932.64520833334</v>
      </c>
      <c r="C94" s="1" t="n">
        <v>46142</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48038-2025</t>
        </is>
      </c>
      <c r="B95" s="1" t="n">
        <v>45932.66008101852</v>
      </c>
      <c r="C95" s="1" t="n">
        <v>46142</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46142</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12609-2024</t>
        </is>
      </c>
      <c r="B97" s="1" t="n">
        <v>45382.8109375</v>
      </c>
      <c r="C97" s="1" t="n">
        <v>46142</v>
      </c>
      <c r="D97" t="inlineStr">
        <is>
          <t>STOCKHOLMS LÄN</t>
        </is>
      </c>
      <c r="E97" t="inlineStr">
        <is>
          <t>VALLENTUNA</t>
        </is>
      </c>
      <c r="G97" t="n">
        <v>0.9</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46142</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50784-2025</t>
        </is>
      </c>
      <c r="B99" s="1" t="n">
        <v>45946</v>
      </c>
      <c r="C99" s="1" t="n">
        <v>46142</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8565-2025</t>
        </is>
      </c>
      <c r="B100" s="1" t="n">
        <v>45709</v>
      </c>
      <c r="C100" s="1" t="n">
        <v>46142</v>
      </c>
      <c r="D100" t="inlineStr">
        <is>
          <t>STOCKHOLMS LÄN</t>
        </is>
      </c>
      <c r="E100" t="inlineStr">
        <is>
          <t>VALLENTUNA</t>
        </is>
      </c>
      <c r="F100" t="inlineStr">
        <is>
          <t>Kommuner</t>
        </is>
      </c>
      <c r="G100" t="n">
        <v>4.2</v>
      </c>
      <c r="H100" t="n">
        <v>0</v>
      </c>
      <c r="I100" t="n">
        <v>0</v>
      </c>
      <c r="J100" t="n">
        <v>0</v>
      </c>
      <c r="K100" t="n">
        <v>0</v>
      </c>
      <c r="L100" t="n">
        <v>0</v>
      </c>
      <c r="M100" t="n">
        <v>0</v>
      </c>
      <c r="N100" t="n">
        <v>0</v>
      </c>
      <c r="O100" t="n">
        <v>0</v>
      </c>
      <c r="P100" t="n">
        <v>0</v>
      </c>
      <c r="Q100" t="n">
        <v>0</v>
      </c>
      <c r="R100" s="2" t="inlineStr"/>
    </row>
    <row r="101" ht="15" customHeight="1">
      <c r="A101" t="inlineStr">
        <is>
          <t>A 9063-2024</t>
        </is>
      </c>
      <c r="B101" s="1" t="n">
        <v>45357.72652777778</v>
      </c>
      <c r="C101" s="1" t="n">
        <v>46142</v>
      </c>
      <c r="D101" t="inlineStr">
        <is>
          <t>STOCKHOLMS LÄN</t>
        </is>
      </c>
      <c r="E101" t="inlineStr">
        <is>
          <t>VALLENTUNA</t>
        </is>
      </c>
      <c r="G101" t="n">
        <v>4.1</v>
      </c>
      <c r="H101" t="n">
        <v>0</v>
      </c>
      <c r="I101" t="n">
        <v>0</v>
      </c>
      <c r="J101" t="n">
        <v>0</v>
      </c>
      <c r="K101" t="n">
        <v>0</v>
      </c>
      <c r="L101" t="n">
        <v>0</v>
      </c>
      <c r="M101" t="n">
        <v>0</v>
      </c>
      <c r="N101" t="n">
        <v>0</v>
      </c>
      <c r="O101" t="n">
        <v>0</v>
      </c>
      <c r="P101" t="n">
        <v>0</v>
      </c>
      <c r="Q101" t="n">
        <v>0</v>
      </c>
      <c r="R101" s="2" t="inlineStr"/>
    </row>
    <row r="102" ht="15" customHeight="1">
      <c r="A102" t="inlineStr">
        <is>
          <t>A 4803-2024</t>
        </is>
      </c>
      <c r="B102" s="1" t="n">
        <v>45328</v>
      </c>
      <c r="C102" s="1" t="n">
        <v>46142</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52542-2023</t>
        </is>
      </c>
      <c r="B103" s="1" t="n">
        <v>45225</v>
      </c>
      <c r="C103" s="1" t="n">
        <v>46142</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27868-2025</t>
        </is>
      </c>
      <c r="B104" s="1" t="n">
        <v>45817</v>
      </c>
      <c r="C104" s="1" t="n">
        <v>46142</v>
      </c>
      <c r="D104" t="inlineStr">
        <is>
          <t>STOCKHOLMS LÄN</t>
        </is>
      </c>
      <c r="E104" t="inlineStr">
        <is>
          <t>VALLENTUNA</t>
        </is>
      </c>
      <c r="G104" t="n">
        <v>2.1</v>
      </c>
      <c r="H104" t="n">
        <v>0</v>
      </c>
      <c r="I104" t="n">
        <v>0</v>
      </c>
      <c r="J104" t="n">
        <v>0</v>
      </c>
      <c r="K104" t="n">
        <v>0</v>
      </c>
      <c r="L104" t="n">
        <v>0</v>
      </c>
      <c r="M104" t="n">
        <v>0</v>
      </c>
      <c r="N104" t="n">
        <v>0</v>
      </c>
      <c r="O104" t="n">
        <v>0</v>
      </c>
      <c r="P104" t="n">
        <v>0</v>
      </c>
      <c r="Q104" t="n">
        <v>0</v>
      </c>
      <c r="R104" s="2" t="inlineStr"/>
    </row>
    <row r="105" ht="15" customHeight="1">
      <c r="A105" t="inlineStr">
        <is>
          <t>A 54466-2025</t>
        </is>
      </c>
      <c r="B105" s="1" t="n">
        <v>45965.56984953704</v>
      </c>
      <c r="C105" s="1" t="n">
        <v>46142</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54460-2025</t>
        </is>
      </c>
      <c r="B106" s="1" t="n">
        <v>45965.56219907408</v>
      </c>
      <c r="C106" s="1" t="n">
        <v>46142</v>
      </c>
      <c r="D106" t="inlineStr">
        <is>
          <t>STOCKHOLMS LÄN</t>
        </is>
      </c>
      <c r="E106" t="inlineStr">
        <is>
          <t>VALLENTUNA</t>
        </is>
      </c>
      <c r="G106" t="n">
        <v>22.9</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45728.55622685186</v>
      </c>
      <c r="C107" s="1" t="n">
        <v>46142</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14489-2024</t>
        </is>
      </c>
      <c r="B108" s="1" t="n">
        <v>45394.58053240741</v>
      </c>
      <c r="C108" s="1" t="n">
        <v>46142</v>
      </c>
      <c r="D108" t="inlineStr">
        <is>
          <t>STOCKHOLMS LÄN</t>
        </is>
      </c>
      <c r="E108" t="inlineStr">
        <is>
          <t>VALLENTUNA</t>
        </is>
      </c>
      <c r="G108" t="n">
        <v>2.3</v>
      </c>
      <c r="H108" t="n">
        <v>0</v>
      </c>
      <c r="I108" t="n">
        <v>0</v>
      </c>
      <c r="J108" t="n">
        <v>0</v>
      </c>
      <c r="K108" t="n">
        <v>0</v>
      </c>
      <c r="L108" t="n">
        <v>0</v>
      </c>
      <c r="M108" t="n">
        <v>0</v>
      </c>
      <c r="N108" t="n">
        <v>0</v>
      </c>
      <c r="O108" t="n">
        <v>0</v>
      </c>
      <c r="P108" t="n">
        <v>0</v>
      </c>
      <c r="Q108" t="n">
        <v>0</v>
      </c>
      <c r="R108" s="2" t="inlineStr"/>
    </row>
    <row r="109" ht="15" customHeight="1">
      <c r="A109" t="inlineStr">
        <is>
          <t>A 52562-2023</t>
        </is>
      </c>
      <c r="B109" s="1" t="n">
        <v>45225</v>
      </c>
      <c r="C109" s="1" t="n">
        <v>46142</v>
      </c>
      <c r="D109" t="inlineStr">
        <is>
          <t>STOCKHOLMS LÄN</t>
        </is>
      </c>
      <c r="E109" t="inlineStr">
        <is>
          <t>VALLENTUNA</t>
        </is>
      </c>
      <c r="G109" t="n">
        <v>3.4</v>
      </c>
      <c r="H109" t="n">
        <v>0</v>
      </c>
      <c r="I109" t="n">
        <v>0</v>
      </c>
      <c r="J109" t="n">
        <v>0</v>
      </c>
      <c r="K109" t="n">
        <v>0</v>
      </c>
      <c r="L109" t="n">
        <v>0</v>
      </c>
      <c r="M109" t="n">
        <v>0</v>
      </c>
      <c r="N109" t="n">
        <v>0</v>
      </c>
      <c r="O109" t="n">
        <v>0</v>
      </c>
      <c r="P109" t="n">
        <v>0</v>
      </c>
      <c r="Q109" t="n">
        <v>0</v>
      </c>
      <c r="R109" s="2" t="inlineStr"/>
    </row>
    <row r="110" ht="15" customHeight="1">
      <c r="A110" t="inlineStr">
        <is>
          <t>A 27870-2025</t>
        </is>
      </c>
      <c r="B110" s="1" t="n">
        <v>45817</v>
      </c>
      <c r="C110" s="1" t="n">
        <v>46142</v>
      </c>
      <c r="D110" t="inlineStr">
        <is>
          <t>STOCKHOLMS LÄN</t>
        </is>
      </c>
      <c r="E110" t="inlineStr">
        <is>
          <t>VALLENTUNA</t>
        </is>
      </c>
      <c r="G110" t="n">
        <v>2.3</v>
      </c>
      <c r="H110" t="n">
        <v>0</v>
      </c>
      <c r="I110" t="n">
        <v>0</v>
      </c>
      <c r="J110" t="n">
        <v>0</v>
      </c>
      <c r="K110" t="n">
        <v>0</v>
      </c>
      <c r="L110" t="n">
        <v>0</v>
      </c>
      <c r="M110" t="n">
        <v>0</v>
      </c>
      <c r="N110" t="n">
        <v>0</v>
      </c>
      <c r="O110" t="n">
        <v>0</v>
      </c>
      <c r="P110" t="n">
        <v>0</v>
      </c>
      <c r="Q110" t="n">
        <v>0</v>
      </c>
      <c r="R110" s="2" t="inlineStr"/>
    </row>
    <row r="111" ht="15" customHeight="1">
      <c r="A111" t="inlineStr">
        <is>
          <t>A 4804-2024</t>
        </is>
      </c>
      <c r="B111" s="1" t="n">
        <v>45328</v>
      </c>
      <c r="C111" s="1" t="n">
        <v>46142</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46142</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46142</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61646-2025</t>
        </is>
      </c>
      <c r="B114" s="1" t="n">
        <v>46002</v>
      </c>
      <c r="C114" s="1" t="n">
        <v>46142</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61742-2022</t>
        </is>
      </c>
      <c r="B115" s="1" t="n">
        <v>44917</v>
      </c>
      <c r="C115" s="1" t="n">
        <v>46142</v>
      </c>
      <c r="D115" t="inlineStr">
        <is>
          <t>STOCKHOLMS LÄN</t>
        </is>
      </c>
      <c r="E115" t="inlineStr">
        <is>
          <t>VALLENTUNA</t>
        </is>
      </c>
      <c r="G115" t="n">
        <v>0.5</v>
      </c>
      <c r="H115" t="n">
        <v>0</v>
      </c>
      <c r="I115" t="n">
        <v>0</v>
      </c>
      <c r="J115" t="n">
        <v>0</v>
      </c>
      <c r="K115" t="n">
        <v>0</v>
      </c>
      <c r="L115" t="n">
        <v>0</v>
      </c>
      <c r="M115" t="n">
        <v>0</v>
      </c>
      <c r="N115" t="n">
        <v>0</v>
      </c>
      <c r="O115" t="n">
        <v>0</v>
      </c>
      <c r="P115" t="n">
        <v>0</v>
      </c>
      <c r="Q115" t="n">
        <v>0</v>
      </c>
      <c r="R115" s="2" t="inlineStr"/>
    </row>
    <row r="116" ht="15" customHeight="1">
      <c r="A116" t="inlineStr">
        <is>
          <t>A 3698-2022</t>
        </is>
      </c>
      <c r="B116" s="1" t="n">
        <v>44586</v>
      </c>
      <c r="C116" s="1" t="n">
        <v>46142</v>
      </c>
      <c r="D116" t="inlineStr">
        <is>
          <t>STOCKHOLMS LÄN</t>
        </is>
      </c>
      <c r="E116" t="inlineStr">
        <is>
          <t>VALLENTUNA</t>
        </is>
      </c>
      <c r="G116" t="n">
        <v>2.9</v>
      </c>
      <c r="H116" t="n">
        <v>0</v>
      </c>
      <c r="I116" t="n">
        <v>0</v>
      </c>
      <c r="J116" t="n">
        <v>0</v>
      </c>
      <c r="K116" t="n">
        <v>0</v>
      </c>
      <c r="L116" t="n">
        <v>0</v>
      </c>
      <c r="M116" t="n">
        <v>0</v>
      </c>
      <c r="N116" t="n">
        <v>0</v>
      </c>
      <c r="O116" t="n">
        <v>0</v>
      </c>
      <c r="P116" t="n">
        <v>0</v>
      </c>
      <c r="Q116" t="n">
        <v>0</v>
      </c>
      <c r="R116" s="2" t="inlineStr"/>
    </row>
    <row r="117" ht="15" customHeight="1">
      <c r="A117" t="inlineStr">
        <is>
          <t>A 414-2026</t>
        </is>
      </c>
      <c r="B117" s="1" t="n">
        <v>46028.76050925926</v>
      </c>
      <c r="C117" s="1" t="n">
        <v>46142</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60997-2022</t>
        </is>
      </c>
      <c r="B118" s="1" t="n">
        <v>44914.70746527778</v>
      </c>
      <c r="C118" s="1" t="n">
        <v>46142</v>
      </c>
      <c r="D118" t="inlineStr">
        <is>
          <t>STOCKHOLMS LÄN</t>
        </is>
      </c>
      <c r="E118" t="inlineStr">
        <is>
          <t>VALLENTUNA</t>
        </is>
      </c>
      <c r="G118" t="n">
        <v>1.8</v>
      </c>
      <c r="H118" t="n">
        <v>0</v>
      </c>
      <c r="I118" t="n">
        <v>0</v>
      </c>
      <c r="J118" t="n">
        <v>0</v>
      </c>
      <c r="K118" t="n">
        <v>0</v>
      </c>
      <c r="L118" t="n">
        <v>0</v>
      </c>
      <c r="M118" t="n">
        <v>0</v>
      </c>
      <c r="N118" t="n">
        <v>0</v>
      </c>
      <c r="O118" t="n">
        <v>0</v>
      </c>
      <c r="P118" t="n">
        <v>0</v>
      </c>
      <c r="Q118" t="n">
        <v>0</v>
      </c>
      <c r="R118" s="2" t="inlineStr"/>
    </row>
    <row r="119" ht="15" customHeight="1">
      <c r="A119" t="inlineStr">
        <is>
          <t>A 12234-2022</t>
        </is>
      </c>
      <c r="B119" s="1" t="n">
        <v>44637</v>
      </c>
      <c r="C119" s="1" t="n">
        <v>46142</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21614-2022</t>
        </is>
      </c>
      <c r="B120" s="1" t="n">
        <v>44706</v>
      </c>
      <c r="C120" s="1" t="n">
        <v>46142</v>
      </c>
      <c r="D120" t="inlineStr">
        <is>
          <t>STOCKHOLMS LÄN</t>
        </is>
      </c>
      <c r="E120" t="inlineStr">
        <is>
          <t>VALLENTUNA</t>
        </is>
      </c>
      <c r="G120" t="n">
        <v>4</v>
      </c>
      <c r="H120" t="n">
        <v>0</v>
      </c>
      <c r="I120" t="n">
        <v>0</v>
      </c>
      <c r="J120" t="n">
        <v>0</v>
      </c>
      <c r="K120" t="n">
        <v>0</v>
      </c>
      <c r="L120" t="n">
        <v>0</v>
      </c>
      <c r="M120" t="n">
        <v>0</v>
      </c>
      <c r="N120" t="n">
        <v>0</v>
      </c>
      <c r="O120" t="n">
        <v>0</v>
      </c>
      <c r="P120" t="n">
        <v>0</v>
      </c>
      <c r="Q120" t="n">
        <v>0</v>
      </c>
      <c r="R120" s="2" t="inlineStr"/>
    </row>
    <row r="121" ht="15" customHeight="1">
      <c r="A121" t="inlineStr">
        <is>
          <t>A 12585-2023</t>
        </is>
      </c>
      <c r="B121" s="1" t="n">
        <v>45000.41373842592</v>
      </c>
      <c r="C121" s="1" t="n">
        <v>46142</v>
      </c>
      <c r="D121" t="inlineStr">
        <is>
          <t>STOCKHOLMS LÄN</t>
        </is>
      </c>
      <c r="E121" t="inlineStr">
        <is>
          <t>VALLENTUNA</t>
        </is>
      </c>
      <c r="G121" t="n">
        <v>3.7</v>
      </c>
      <c r="H121" t="n">
        <v>0</v>
      </c>
      <c r="I121" t="n">
        <v>0</v>
      </c>
      <c r="J121" t="n">
        <v>0</v>
      </c>
      <c r="K121" t="n">
        <v>0</v>
      </c>
      <c r="L121" t="n">
        <v>0</v>
      </c>
      <c r="M121" t="n">
        <v>0</v>
      </c>
      <c r="N121" t="n">
        <v>0</v>
      </c>
      <c r="O121" t="n">
        <v>0</v>
      </c>
      <c r="P121" t="n">
        <v>0</v>
      </c>
      <c r="Q121" t="n">
        <v>0</v>
      </c>
      <c r="R121" s="2" t="inlineStr"/>
    </row>
    <row r="122" ht="15" customHeight="1">
      <c r="A122" t="inlineStr">
        <is>
          <t>A 8787-2024</t>
        </is>
      </c>
      <c r="B122" s="1" t="n">
        <v>45356</v>
      </c>
      <c r="C122" s="1" t="n">
        <v>46142</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46142</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46142</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23986-2023</t>
        </is>
      </c>
      <c r="B125" s="1" t="n">
        <v>45078</v>
      </c>
      <c r="C125" s="1" t="n">
        <v>46142</v>
      </c>
      <c r="D125" t="inlineStr">
        <is>
          <t>STOCKHOLMS LÄN</t>
        </is>
      </c>
      <c r="E125" t="inlineStr">
        <is>
          <t>VALLENTUNA</t>
        </is>
      </c>
      <c r="F125" t="inlineStr">
        <is>
          <t>Kyrkan</t>
        </is>
      </c>
      <c r="G125" t="n">
        <v>5.7</v>
      </c>
      <c r="H125" t="n">
        <v>0</v>
      </c>
      <c r="I125" t="n">
        <v>0</v>
      </c>
      <c r="J125" t="n">
        <v>0</v>
      </c>
      <c r="K125" t="n">
        <v>0</v>
      </c>
      <c r="L125" t="n">
        <v>0</v>
      </c>
      <c r="M125" t="n">
        <v>0</v>
      </c>
      <c r="N125" t="n">
        <v>0</v>
      </c>
      <c r="O125" t="n">
        <v>0</v>
      </c>
      <c r="P125" t="n">
        <v>0</v>
      </c>
      <c r="Q125" t="n">
        <v>0</v>
      </c>
      <c r="R125" s="2" t="inlineStr"/>
    </row>
    <row r="126" ht="15" customHeight="1">
      <c r="A126" t="inlineStr">
        <is>
          <t>A 15300-2023</t>
        </is>
      </c>
      <c r="B126" s="1" t="n">
        <v>45019</v>
      </c>
      <c r="C126" s="1" t="n">
        <v>46142</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8077-2022</t>
        </is>
      </c>
      <c r="B127" s="1" t="n">
        <v>44609</v>
      </c>
      <c r="C127" s="1" t="n">
        <v>46142</v>
      </c>
      <c r="D127" t="inlineStr">
        <is>
          <t>STOCKHOLMS LÄN</t>
        </is>
      </c>
      <c r="E127" t="inlineStr">
        <is>
          <t>VALLENTUNA</t>
        </is>
      </c>
      <c r="G127" t="n">
        <v>1.3</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46142</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29704-2023</t>
        </is>
      </c>
      <c r="B129" s="1" t="n">
        <v>45107</v>
      </c>
      <c r="C129" s="1" t="n">
        <v>46142</v>
      </c>
      <c r="D129" t="inlineStr">
        <is>
          <t>STOCKHOLMS LÄN</t>
        </is>
      </c>
      <c r="E129" t="inlineStr">
        <is>
          <t>VALLENTUNA</t>
        </is>
      </c>
      <c r="G129" t="n">
        <v>3.7</v>
      </c>
      <c r="H129" t="n">
        <v>0</v>
      </c>
      <c r="I129" t="n">
        <v>0</v>
      </c>
      <c r="J129" t="n">
        <v>0</v>
      </c>
      <c r="K129" t="n">
        <v>0</v>
      </c>
      <c r="L129" t="n">
        <v>0</v>
      </c>
      <c r="M129" t="n">
        <v>0</v>
      </c>
      <c r="N129" t="n">
        <v>0</v>
      </c>
      <c r="O129" t="n">
        <v>0</v>
      </c>
      <c r="P129" t="n">
        <v>0</v>
      </c>
      <c r="Q129" t="n">
        <v>0</v>
      </c>
      <c r="R129" s="2" t="inlineStr"/>
    </row>
    <row r="130" ht="15" customHeight="1">
      <c r="A130" t="inlineStr">
        <is>
          <t>A 21765-2023</t>
        </is>
      </c>
      <c r="B130" s="1" t="n">
        <v>45064</v>
      </c>
      <c r="C130" s="1" t="n">
        <v>46142</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45496-2023</t>
        </is>
      </c>
      <c r="B131" s="1" t="n">
        <v>45194</v>
      </c>
      <c r="C131" s="1" t="n">
        <v>46142</v>
      </c>
      <c r="D131" t="inlineStr">
        <is>
          <t>STOCKHOLMS LÄN</t>
        </is>
      </c>
      <c r="E131" t="inlineStr">
        <is>
          <t>VALLENTUNA</t>
        </is>
      </c>
      <c r="G131" t="n">
        <v>1.2</v>
      </c>
      <c r="H131" t="n">
        <v>0</v>
      </c>
      <c r="I131" t="n">
        <v>0</v>
      </c>
      <c r="J131" t="n">
        <v>0</v>
      </c>
      <c r="K131" t="n">
        <v>0</v>
      </c>
      <c r="L131" t="n">
        <v>0</v>
      </c>
      <c r="M131" t="n">
        <v>0</v>
      </c>
      <c r="N131" t="n">
        <v>0</v>
      </c>
      <c r="O131" t="n">
        <v>0</v>
      </c>
      <c r="P131" t="n">
        <v>0</v>
      </c>
      <c r="Q131" t="n">
        <v>0</v>
      </c>
      <c r="R131" s="2" t="inlineStr"/>
    </row>
    <row r="132" ht="15" customHeight="1">
      <c r="A132" t="inlineStr">
        <is>
          <t>A 45499-2023</t>
        </is>
      </c>
      <c r="B132" s="1" t="n">
        <v>45194</v>
      </c>
      <c r="C132" s="1" t="n">
        <v>46142</v>
      </c>
      <c r="D132" t="inlineStr">
        <is>
          <t>STOCKHOLMS LÄN</t>
        </is>
      </c>
      <c r="E132" t="inlineStr">
        <is>
          <t>VALLENTUNA</t>
        </is>
      </c>
      <c r="G132" t="n">
        <v>2.5</v>
      </c>
      <c r="H132" t="n">
        <v>0</v>
      </c>
      <c r="I132" t="n">
        <v>0</v>
      </c>
      <c r="J132" t="n">
        <v>0</v>
      </c>
      <c r="K132" t="n">
        <v>0</v>
      </c>
      <c r="L132" t="n">
        <v>0</v>
      </c>
      <c r="M132" t="n">
        <v>0</v>
      </c>
      <c r="N132" t="n">
        <v>0</v>
      </c>
      <c r="O132" t="n">
        <v>0</v>
      </c>
      <c r="P132" t="n">
        <v>0</v>
      </c>
      <c r="Q132" t="n">
        <v>0</v>
      </c>
      <c r="R132" s="2" t="inlineStr"/>
    </row>
    <row r="133" ht="15" customHeight="1">
      <c r="A133" t="inlineStr">
        <is>
          <t>A 14782-2024</t>
        </is>
      </c>
      <c r="B133" s="1" t="n">
        <v>45397.74266203704</v>
      </c>
      <c r="C133" s="1" t="n">
        <v>46142</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1385-2024</t>
        </is>
      </c>
      <c r="B134" s="1" t="n">
        <v>45303</v>
      </c>
      <c r="C134" s="1" t="n">
        <v>46142</v>
      </c>
      <c r="D134" t="inlineStr">
        <is>
          <t>STOCKHOLMS LÄN</t>
        </is>
      </c>
      <c r="E134" t="inlineStr">
        <is>
          <t>VALLENTUNA</t>
        </is>
      </c>
      <c r="G134" t="n">
        <v>2.6</v>
      </c>
      <c r="H134" t="n">
        <v>0</v>
      </c>
      <c r="I134" t="n">
        <v>0</v>
      </c>
      <c r="J134" t="n">
        <v>0</v>
      </c>
      <c r="K134" t="n">
        <v>0</v>
      </c>
      <c r="L134" t="n">
        <v>0</v>
      </c>
      <c r="M134" t="n">
        <v>0</v>
      </c>
      <c r="N134" t="n">
        <v>0</v>
      </c>
      <c r="O134" t="n">
        <v>0</v>
      </c>
      <c r="P134" t="n">
        <v>0</v>
      </c>
      <c r="Q134" t="n">
        <v>0</v>
      </c>
      <c r="R134" s="2" t="inlineStr"/>
    </row>
    <row r="135" ht="15" customHeight="1">
      <c r="A135" t="inlineStr">
        <is>
          <t>A 14775-2024</t>
        </is>
      </c>
      <c r="B135" s="1" t="n">
        <v>45397.73675925926</v>
      </c>
      <c r="C135" s="1" t="n">
        <v>46142</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735-2024</t>
        </is>
      </c>
      <c r="B136" s="1" t="n">
        <v>45300</v>
      </c>
      <c r="C136" s="1" t="n">
        <v>46142</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17411-2023</t>
        </is>
      </c>
      <c r="B137" s="1" t="n">
        <v>45035.82512731481</v>
      </c>
      <c r="C137" s="1" t="n">
        <v>46142</v>
      </c>
      <c r="D137" t="inlineStr">
        <is>
          <t>STOCKHOLMS LÄN</t>
        </is>
      </c>
      <c r="E137" t="inlineStr">
        <is>
          <t>VALLENTUNA</t>
        </is>
      </c>
      <c r="G137" t="n">
        <v>0.7</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45019.41045138889</v>
      </c>
      <c r="C138" s="1" t="n">
        <v>46142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38102-2024</t>
        </is>
      </c>
      <c r="B139" s="1" t="n">
        <v>45545.36349537037</v>
      </c>
      <c r="C139" s="1" t="n">
        <v>46142</v>
      </c>
      <c r="D139" t="inlineStr">
        <is>
          <t>STOCKHOLMS LÄN</t>
        </is>
      </c>
      <c r="E139" t="inlineStr">
        <is>
          <t>VALLENTUNA</t>
        </is>
      </c>
      <c r="G139" t="n">
        <v>3.2</v>
      </c>
      <c r="H139" t="n">
        <v>0</v>
      </c>
      <c r="I139" t="n">
        <v>0</v>
      </c>
      <c r="J139" t="n">
        <v>0</v>
      </c>
      <c r="K139" t="n">
        <v>0</v>
      </c>
      <c r="L139" t="n">
        <v>0</v>
      </c>
      <c r="M139" t="n">
        <v>0</v>
      </c>
      <c r="N139" t="n">
        <v>0</v>
      </c>
      <c r="O139" t="n">
        <v>0</v>
      </c>
      <c r="P139" t="n">
        <v>0</v>
      </c>
      <c r="Q139" t="n">
        <v>0</v>
      </c>
      <c r="R139" s="2" t="inlineStr"/>
    </row>
    <row r="140" ht="15" customHeight="1">
      <c r="A140" t="inlineStr">
        <is>
          <t>A 17340-2025</t>
        </is>
      </c>
      <c r="B140" s="1" t="n">
        <v>45756</v>
      </c>
      <c r="C140" s="1" t="n">
        <v>46142</v>
      </c>
      <c r="D140" t="inlineStr">
        <is>
          <t>STOCKHOLMS LÄN</t>
        </is>
      </c>
      <c r="E140" t="inlineStr">
        <is>
          <t>VALLENTUNA</t>
        </is>
      </c>
      <c r="F140" t="inlineStr">
        <is>
          <t>Övriga Aktiebolag</t>
        </is>
      </c>
      <c r="G140" t="n">
        <v>2.6</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46142</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46142</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ht="15" customHeight="1">
      <c r="A143" t="inlineStr">
        <is>
          <t>A 34452-2021</t>
        </is>
      </c>
      <c r="B143" s="1" t="n">
        <v>44381</v>
      </c>
      <c r="C143" s="1" t="n">
        <v>46142</v>
      </c>
      <c r="D143" t="inlineStr">
        <is>
          <t>STOCKHOLMS LÄN</t>
        </is>
      </c>
      <c r="E143" t="inlineStr">
        <is>
          <t>VALLENTUNA</t>
        </is>
      </c>
      <c r="G143" t="n">
        <v>14.7</v>
      </c>
      <c r="H143" t="n">
        <v>0</v>
      </c>
      <c r="I143" t="n">
        <v>0</v>
      </c>
      <c r="J143" t="n">
        <v>0</v>
      </c>
      <c r="K143" t="n">
        <v>0</v>
      </c>
      <c r="L143" t="n">
        <v>0</v>
      </c>
      <c r="M143" t="n">
        <v>0</v>
      </c>
      <c r="N143" t="n">
        <v>0</v>
      </c>
      <c r="O143" t="n">
        <v>0</v>
      </c>
      <c r="P143" t="n">
        <v>0</v>
      </c>
      <c r="Q143" t="n">
        <v>0</v>
      </c>
      <c r="R143" s="2" t="inlineStr"/>
    </row>
    <row r="144" ht="15" customHeight="1">
      <c r="A144" t="inlineStr">
        <is>
          <t>A 12621-2024</t>
        </is>
      </c>
      <c r="B144" s="1" t="n">
        <v>45383.6325</v>
      </c>
      <c r="C144" s="1" t="n">
        <v>46142</v>
      </c>
      <c r="D144" t="inlineStr">
        <is>
          <t>STOCKHOLMS LÄN</t>
        </is>
      </c>
      <c r="E144" t="inlineStr">
        <is>
          <t>VALLENTUNA</t>
        </is>
      </c>
      <c r="G144" t="n">
        <v>4.4</v>
      </c>
      <c r="H144" t="n">
        <v>0</v>
      </c>
      <c r="I144" t="n">
        <v>0</v>
      </c>
      <c r="J144" t="n">
        <v>0</v>
      </c>
      <c r="K144" t="n">
        <v>0</v>
      </c>
      <c r="L144" t="n">
        <v>0</v>
      </c>
      <c r="M144" t="n">
        <v>0</v>
      </c>
      <c r="N144" t="n">
        <v>0</v>
      </c>
      <c r="O144" t="n">
        <v>0</v>
      </c>
      <c r="P144" t="n">
        <v>0</v>
      </c>
      <c r="Q144" t="n">
        <v>0</v>
      </c>
      <c r="R144" s="2" t="inlineStr"/>
    </row>
    <row r="145" ht="15" customHeight="1">
      <c r="A145" t="inlineStr">
        <is>
          <t>A 46381-2023</t>
        </is>
      </c>
      <c r="B145" s="1" t="n">
        <v>45193</v>
      </c>
      <c r="C145" s="1" t="n">
        <v>46142</v>
      </c>
      <c r="D145" t="inlineStr">
        <is>
          <t>STOCKHOLMS LÄN</t>
        </is>
      </c>
      <c r="E145" t="inlineStr">
        <is>
          <t>VALLENTUNA</t>
        </is>
      </c>
      <c r="G145" t="n">
        <v>2.9</v>
      </c>
      <c r="H145" t="n">
        <v>0</v>
      </c>
      <c r="I145" t="n">
        <v>0</v>
      </c>
      <c r="J145" t="n">
        <v>0</v>
      </c>
      <c r="K145" t="n">
        <v>0</v>
      </c>
      <c r="L145" t="n">
        <v>0</v>
      </c>
      <c r="M145" t="n">
        <v>0</v>
      </c>
      <c r="N145" t="n">
        <v>0</v>
      </c>
      <c r="O145" t="n">
        <v>0</v>
      </c>
      <c r="P145" t="n">
        <v>0</v>
      </c>
      <c r="Q145" t="n">
        <v>0</v>
      </c>
      <c r="R145" s="2" t="inlineStr"/>
    </row>
    <row r="146" ht="15" customHeight="1">
      <c r="A146" t="inlineStr">
        <is>
          <t>A 61027-2023</t>
        </is>
      </c>
      <c r="B146" s="1" t="n">
        <v>45261</v>
      </c>
      <c r="C146" s="1" t="n">
        <v>46142</v>
      </c>
      <c r="D146" t="inlineStr">
        <is>
          <t>STOCKHOLMS LÄN</t>
        </is>
      </c>
      <c r="E146" t="inlineStr">
        <is>
          <t>VALLENTUNA</t>
        </is>
      </c>
      <c r="G146" t="n">
        <v>7.1</v>
      </c>
      <c r="H146" t="n">
        <v>0</v>
      </c>
      <c r="I146" t="n">
        <v>0</v>
      </c>
      <c r="J146" t="n">
        <v>0</v>
      </c>
      <c r="K146" t="n">
        <v>0</v>
      </c>
      <c r="L146" t="n">
        <v>0</v>
      </c>
      <c r="M146" t="n">
        <v>0</v>
      </c>
      <c r="N146" t="n">
        <v>0</v>
      </c>
      <c r="O146" t="n">
        <v>0</v>
      </c>
      <c r="P146" t="n">
        <v>0</v>
      </c>
      <c r="Q146" t="n">
        <v>0</v>
      </c>
      <c r="R146" s="2" t="inlineStr"/>
    </row>
    <row r="147" ht="15" customHeight="1">
      <c r="A147" t="inlineStr">
        <is>
          <t>A 23009-2024</t>
        </is>
      </c>
      <c r="B147" s="1" t="n">
        <v>45450.34506944445</v>
      </c>
      <c r="C147" s="1" t="n">
        <v>46142</v>
      </c>
      <c r="D147" t="inlineStr">
        <is>
          <t>STOCKHOLMS LÄN</t>
        </is>
      </c>
      <c r="E147" t="inlineStr">
        <is>
          <t>VALLENTUNA</t>
        </is>
      </c>
      <c r="G147" t="n">
        <v>1.4</v>
      </c>
      <c r="H147" t="n">
        <v>0</v>
      </c>
      <c r="I147" t="n">
        <v>0</v>
      </c>
      <c r="J147" t="n">
        <v>0</v>
      </c>
      <c r="K147" t="n">
        <v>0</v>
      </c>
      <c r="L147" t="n">
        <v>0</v>
      </c>
      <c r="M147" t="n">
        <v>0</v>
      </c>
      <c r="N147" t="n">
        <v>0</v>
      </c>
      <c r="O147" t="n">
        <v>0</v>
      </c>
      <c r="P147" t="n">
        <v>0</v>
      </c>
      <c r="Q147" t="n">
        <v>0</v>
      </c>
      <c r="R147" s="2" t="inlineStr"/>
    </row>
    <row r="148" ht="15" customHeight="1">
      <c r="A148" t="inlineStr">
        <is>
          <t>A 23923-2025</t>
        </is>
      </c>
      <c r="B148" s="1" t="n">
        <v>45795.39648148148</v>
      </c>
      <c r="C148" s="1" t="n">
        <v>46142</v>
      </c>
      <c r="D148" t="inlineStr">
        <is>
          <t>STOCKHOLMS LÄN</t>
        </is>
      </c>
      <c r="E148" t="inlineStr">
        <is>
          <t>VALLENTUNA</t>
        </is>
      </c>
      <c r="G148" t="n">
        <v>2.3</v>
      </c>
      <c r="H148" t="n">
        <v>0</v>
      </c>
      <c r="I148" t="n">
        <v>0</v>
      </c>
      <c r="J148" t="n">
        <v>0</v>
      </c>
      <c r="K148" t="n">
        <v>0</v>
      </c>
      <c r="L148" t="n">
        <v>0</v>
      </c>
      <c r="M148" t="n">
        <v>0</v>
      </c>
      <c r="N148" t="n">
        <v>0</v>
      </c>
      <c r="O148" t="n">
        <v>0</v>
      </c>
      <c r="P148" t="n">
        <v>0</v>
      </c>
      <c r="Q148" t="n">
        <v>0</v>
      </c>
      <c r="R148" s="2" t="inlineStr"/>
    </row>
    <row r="149">
      <c r="A149" t="inlineStr">
        <is>
          <t>A 25984-2025</t>
        </is>
      </c>
      <c r="B149" s="1" t="n">
        <v>45804.64016203704</v>
      </c>
      <c r="C149" s="1" t="n">
        <v>46142</v>
      </c>
      <c r="D149" t="inlineStr">
        <is>
          <t>STOCKHOLMS LÄN</t>
        </is>
      </c>
      <c r="E149" t="inlineStr">
        <is>
          <t>VALLENTUNA</t>
        </is>
      </c>
      <c r="G149" t="n">
        <v>2.5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2026-04-30T11:04:58Z</dcterms:created>
  <dcterms:modified xmlns:dcterms="http://purl.org/dc/terms/" xmlns:xsi="http://www.w3.org/2001/XMLSchema-instance" xsi:type="dcterms:W3CDTF">2026-04-30T11:04:58Z</dcterms:modified>
</cp:coreProperties>
</file>