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46042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46042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46042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46042</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46042</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46042</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46042</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46042</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46042</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46042</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46042</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46042</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46042</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46042</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46042</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46042</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46042</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46042</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63543-2025</t>
        </is>
      </c>
      <c r="B31" s="1" t="n">
        <v>46013.59207175926</v>
      </c>
      <c r="C31" s="1" t="n">
        <v>46042</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63539-2025</t>
        </is>
      </c>
      <c r="B32" s="1" t="n">
        <v>46013.58824074074</v>
      </c>
      <c r="C32" s="1" t="n">
        <v>46042</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34460-2023</t>
        </is>
      </c>
      <c r="B33" s="1" t="n">
        <v>45139</v>
      </c>
      <c r="C33" s="1" t="n">
        <v>46042</v>
      </c>
      <c r="D33" t="inlineStr">
        <is>
          <t>STOCKHOLMS LÄN</t>
        </is>
      </c>
      <c r="E33" t="inlineStr">
        <is>
          <t>VALLENTUNA</t>
        </is>
      </c>
      <c r="G33" t="n">
        <v>1.7</v>
      </c>
      <c r="H33" t="n">
        <v>0</v>
      </c>
      <c r="I33" t="n">
        <v>0</v>
      </c>
      <c r="J33" t="n">
        <v>1</v>
      </c>
      <c r="K33" t="n">
        <v>0</v>
      </c>
      <c r="L33" t="n">
        <v>0</v>
      </c>
      <c r="M33" t="n">
        <v>0</v>
      </c>
      <c r="N33" t="n">
        <v>0</v>
      </c>
      <c r="O33" t="n">
        <v>1</v>
      </c>
      <c r="P33" t="n">
        <v>0</v>
      </c>
      <c r="Q33" t="n">
        <v>1</v>
      </c>
      <c r="R33" s="2" t="inlineStr">
        <is>
          <t>Orange taggsvamp</t>
        </is>
      </c>
      <c r="S33">
        <f>HYPERLINK("https://klasma.github.io/Logging_0115/artfynd/A 34460-2023 artfynd.xlsx", "A 34460-2023")</f>
        <v/>
      </c>
      <c r="T33">
        <f>HYPERLINK("https://klasma.github.io/Logging_0115/kartor/A 34460-2023 karta.png", "A 34460-2023")</f>
        <v/>
      </c>
      <c r="V33">
        <f>HYPERLINK("https://klasma.github.io/Logging_0115/klagomål/A 34460-2023 FSC-klagomål.docx", "A 34460-2023")</f>
        <v/>
      </c>
      <c r="W33">
        <f>HYPERLINK("https://klasma.github.io/Logging_0115/klagomålsmail/A 34460-2023 FSC-klagomål mail.docx", "A 34460-2023")</f>
        <v/>
      </c>
      <c r="X33">
        <f>HYPERLINK("https://klasma.github.io/Logging_0115/tillsyn/A 34460-2023 tillsynsbegäran.docx", "A 34460-2023")</f>
        <v/>
      </c>
      <c r="Y33">
        <f>HYPERLINK("https://klasma.github.io/Logging_0115/tillsynsmail/A 34460-2023 tillsynsbegäran mail.docx", "A 34460-2023")</f>
        <v/>
      </c>
    </row>
    <row r="34" ht="15" customHeight="1">
      <c r="A34" t="inlineStr">
        <is>
          <t>A 17348-2025</t>
        </is>
      </c>
      <c r="B34" s="1" t="n">
        <v>45756</v>
      </c>
      <c r="C34" s="1" t="n">
        <v>46042</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34458-2023</t>
        </is>
      </c>
      <c r="B35" s="1" t="n">
        <v>45139</v>
      </c>
      <c r="C35" s="1" t="n">
        <v>46042</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21-2022</t>
        </is>
      </c>
      <c r="B36" s="1" t="n">
        <v>44560</v>
      </c>
      <c r="C36" s="1" t="n">
        <v>46042</v>
      </c>
      <c r="D36" t="inlineStr">
        <is>
          <t>STOCKHOLMS LÄN</t>
        </is>
      </c>
      <c r="E36" t="inlineStr">
        <is>
          <t>VALLENTUNA</t>
        </is>
      </c>
      <c r="F36" t="inlineStr">
        <is>
          <t>Övriga Aktiebolag</t>
        </is>
      </c>
      <c r="G36" t="n">
        <v>3.5</v>
      </c>
      <c r="H36" t="n">
        <v>1</v>
      </c>
      <c r="I36" t="n">
        <v>0</v>
      </c>
      <c r="J36" t="n">
        <v>0</v>
      </c>
      <c r="K36" t="n">
        <v>0</v>
      </c>
      <c r="L36" t="n">
        <v>0</v>
      </c>
      <c r="M36" t="n">
        <v>0</v>
      </c>
      <c r="N36" t="n">
        <v>0</v>
      </c>
      <c r="O36" t="n">
        <v>0</v>
      </c>
      <c r="P36" t="n">
        <v>0</v>
      </c>
      <c r="Q36" t="n">
        <v>1</v>
      </c>
      <c r="R36" s="2" t="inlineStr">
        <is>
          <t>Nattviol</t>
        </is>
      </c>
      <c r="S36">
        <f>HYPERLINK("https://klasma.github.io/Logging_0115/artfynd/A 21-2022 artfynd.xlsx", "A 21-2022")</f>
        <v/>
      </c>
      <c r="T36">
        <f>HYPERLINK("https://klasma.github.io/Logging_0115/kartor/A 21-2022 karta.png", "A 21-2022")</f>
        <v/>
      </c>
      <c r="V36">
        <f>HYPERLINK("https://klasma.github.io/Logging_0115/klagomål/A 21-2022 FSC-klagomål.docx", "A 21-2022")</f>
        <v/>
      </c>
      <c r="W36">
        <f>HYPERLINK("https://klasma.github.io/Logging_0115/klagomålsmail/A 21-2022 FSC-klagomål mail.docx", "A 21-2022")</f>
        <v/>
      </c>
      <c r="X36">
        <f>HYPERLINK("https://klasma.github.io/Logging_0115/tillsyn/A 21-2022 tillsynsbegäran.docx", "A 21-2022")</f>
        <v/>
      </c>
      <c r="Y36">
        <f>HYPERLINK("https://klasma.github.io/Logging_0115/tillsynsmail/A 21-2022 tillsynsbegäran mail.docx", "A 21-2022")</f>
        <v/>
      </c>
    </row>
    <row r="37" ht="15" customHeight="1">
      <c r="A37" t="inlineStr">
        <is>
          <t>A 17341-2025</t>
        </is>
      </c>
      <c r="B37" s="1" t="n">
        <v>45756</v>
      </c>
      <c r="C37" s="1" t="n">
        <v>46042</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14508-2024</t>
        </is>
      </c>
      <c r="B38" s="1" t="n">
        <v>45394.61583333334</v>
      </c>
      <c r="C38" s="1" t="n">
        <v>46042</v>
      </c>
      <c r="D38" t="inlineStr">
        <is>
          <t>STOCKHOLMS LÄN</t>
        </is>
      </c>
      <c r="E38" t="inlineStr">
        <is>
          <t>VALLENTUNA</t>
        </is>
      </c>
      <c r="G38" t="n">
        <v>1.7</v>
      </c>
      <c r="H38" t="n">
        <v>1</v>
      </c>
      <c r="I38" t="n">
        <v>0</v>
      </c>
      <c r="J38" t="n">
        <v>1</v>
      </c>
      <c r="K38" t="n">
        <v>0</v>
      </c>
      <c r="L38" t="n">
        <v>0</v>
      </c>
      <c r="M38" t="n">
        <v>0</v>
      </c>
      <c r="N38" t="n">
        <v>0</v>
      </c>
      <c r="O38" t="n">
        <v>1</v>
      </c>
      <c r="P38" t="n">
        <v>0</v>
      </c>
      <c r="Q38" t="n">
        <v>1</v>
      </c>
      <c r="R38" s="2" t="inlineStr">
        <is>
          <t>Mindre hackspett</t>
        </is>
      </c>
      <c r="S38">
        <f>HYPERLINK("https://klasma.github.io/Logging_0115/artfynd/A 14508-2024 artfynd.xlsx", "A 14508-2024")</f>
        <v/>
      </c>
      <c r="T38">
        <f>HYPERLINK("https://klasma.github.io/Logging_0115/kartor/A 14508-2024 karta.png", "A 14508-2024")</f>
        <v/>
      </c>
      <c r="V38">
        <f>HYPERLINK("https://klasma.github.io/Logging_0115/klagomål/A 14508-2024 FSC-klagomål.docx", "A 14508-2024")</f>
        <v/>
      </c>
      <c r="W38">
        <f>HYPERLINK("https://klasma.github.io/Logging_0115/klagomålsmail/A 14508-2024 FSC-klagomål mail.docx", "A 14508-2024")</f>
        <v/>
      </c>
      <c r="X38">
        <f>HYPERLINK("https://klasma.github.io/Logging_0115/tillsyn/A 14508-2024 tillsynsbegäran.docx", "A 14508-2024")</f>
        <v/>
      </c>
      <c r="Y38">
        <f>HYPERLINK("https://klasma.github.io/Logging_0115/tillsynsmail/A 14508-2024 tillsynsbegäran mail.docx", "A 14508-2024")</f>
        <v/>
      </c>
      <c r="Z38">
        <f>HYPERLINK("https://klasma.github.io/Logging_0115/fåglar/A 14508-2024 prioriterade fågelarter.docx", "A 14508-2024")</f>
        <v/>
      </c>
    </row>
    <row r="39" ht="15" customHeight="1">
      <c r="A39" t="inlineStr">
        <is>
          <t>A 21439-2025</t>
        </is>
      </c>
      <c r="B39" s="1" t="n">
        <v>45782.52939814814</v>
      </c>
      <c r="C39" s="1" t="n">
        <v>46042</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46042</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46042</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46042</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46042</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46042</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46042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46042</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46042</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46042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46042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46042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46042</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46042</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46042</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46042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46042</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46042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46042</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46042</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46042</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46042</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46042</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61742-2022</t>
        </is>
      </c>
      <c r="B65" s="1" t="n">
        <v>44917</v>
      </c>
      <c r="C65" s="1" t="n">
        <v>46042</v>
      </c>
      <c r="D65" t="inlineStr">
        <is>
          <t>STOCKHOLMS LÄN</t>
        </is>
      </c>
      <c r="E65" t="inlineStr">
        <is>
          <t>VALLENTUNA</t>
        </is>
      </c>
      <c r="G65" t="n">
        <v>0.5</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46042</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12562-2023</t>
        </is>
      </c>
      <c r="B67" s="1" t="n">
        <v>45000</v>
      </c>
      <c r="C67" s="1" t="n">
        <v>46042</v>
      </c>
      <c r="D67" t="inlineStr">
        <is>
          <t>STOCKHOLMS LÄN</t>
        </is>
      </c>
      <c r="E67" t="inlineStr">
        <is>
          <t>VALLENTUNA</t>
        </is>
      </c>
      <c r="G67" t="n">
        <v>2.1</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46042</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17340-2025</t>
        </is>
      </c>
      <c r="B69" s="1" t="n">
        <v>45756</v>
      </c>
      <c r="C69" s="1" t="n">
        <v>46042</v>
      </c>
      <c r="D69" t="inlineStr">
        <is>
          <t>STOCKHOLMS LÄN</t>
        </is>
      </c>
      <c r="E69" t="inlineStr">
        <is>
          <t>VALLENTUNA</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46042</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45496-2023</t>
        </is>
      </c>
      <c r="B71" s="1" t="n">
        <v>45194</v>
      </c>
      <c r="C71" s="1" t="n">
        <v>46042</v>
      </c>
      <c r="D71" t="inlineStr">
        <is>
          <t>STOCKHOLMS LÄN</t>
        </is>
      </c>
      <c r="E71" t="inlineStr">
        <is>
          <t>VALLENTUNA</t>
        </is>
      </c>
      <c r="G71" t="n">
        <v>1.2</v>
      </c>
      <c r="H71" t="n">
        <v>0</v>
      </c>
      <c r="I71" t="n">
        <v>0</v>
      </c>
      <c r="J71" t="n">
        <v>0</v>
      </c>
      <c r="K71" t="n">
        <v>0</v>
      </c>
      <c r="L71" t="n">
        <v>0</v>
      </c>
      <c r="M71" t="n">
        <v>0</v>
      </c>
      <c r="N71" t="n">
        <v>0</v>
      </c>
      <c r="O71" t="n">
        <v>0</v>
      </c>
      <c r="P71" t="n">
        <v>0</v>
      </c>
      <c r="Q71" t="n">
        <v>0</v>
      </c>
      <c r="R71" s="2" t="inlineStr"/>
    </row>
    <row r="72" ht="15" customHeight="1">
      <c r="A72" t="inlineStr">
        <is>
          <t>A 29704-2023</t>
        </is>
      </c>
      <c r="B72" s="1" t="n">
        <v>45107</v>
      </c>
      <c r="C72" s="1" t="n">
        <v>46042</v>
      </c>
      <c r="D72" t="inlineStr">
        <is>
          <t>STOCKHOLMS LÄN</t>
        </is>
      </c>
      <c r="E72" t="inlineStr">
        <is>
          <t>VALLENTUNA</t>
        </is>
      </c>
      <c r="G72" t="n">
        <v>3.7</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46042</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46042</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46042</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28431-2025</t>
        </is>
      </c>
      <c r="B76" s="1" t="n">
        <v>45819.38072916667</v>
      </c>
      <c r="C76" s="1" t="n">
        <v>46042</v>
      </c>
      <c r="D76" t="inlineStr">
        <is>
          <t>STOCKHOLMS LÄN</t>
        </is>
      </c>
      <c r="E76" t="inlineStr">
        <is>
          <t>VALLENTUNA</t>
        </is>
      </c>
      <c r="G76" t="n">
        <v>1.5</v>
      </c>
      <c r="H76" t="n">
        <v>0</v>
      </c>
      <c r="I76" t="n">
        <v>0</v>
      </c>
      <c r="J76" t="n">
        <v>0</v>
      </c>
      <c r="K76" t="n">
        <v>0</v>
      </c>
      <c r="L76" t="n">
        <v>0</v>
      </c>
      <c r="M76" t="n">
        <v>0</v>
      </c>
      <c r="N76" t="n">
        <v>0</v>
      </c>
      <c r="O76" t="n">
        <v>0</v>
      </c>
      <c r="P76" t="n">
        <v>0</v>
      </c>
      <c r="Q76" t="n">
        <v>0</v>
      </c>
      <c r="R76" s="2" t="inlineStr"/>
    </row>
    <row r="77" ht="15" customHeight="1">
      <c r="A77" t="inlineStr">
        <is>
          <t>A 13836-2022</t>
        </is>
      </c>
      <c r="B77" s="1" t="n">
        <v>44649</v>
      </c>
      <c r="C77" s="1" t="n">
        <v>46042</v>
      </c>
      <c r="D77" t="inlineStr">
        <is>
          <t>STOCKHOLMS LÄN</t>
        </is>
      </c>
      <c r="E77" t="inlineStr">
        <is>
          <t>VALLENTUNA</t>
        </is>
      </c>
      <c r="G77" t="n">
        <v>3.5</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46042</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46042</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4804-2024</t>
        </is>
      </c>
      <c r="B80" s="1" t="n">
        <v>45328</v>
      </c>
      <c r="C80" s="1" t="n">
        <v>46042</v>
      </c>
      <c r="D80" t="inlineStr">
        <is>
          <t>STOCKHOLMS LÄN</t>
        </is>
      </c>
      <c r="E80" t="inlineStr">
        <is>
          <t>VALLENTUNA</t>
        </is>
      </c>
      <c r="G80" t="n">
        <v>3</v>
      </c>
      <c r="H80" t="n">
        <v>0</v>
      </c>
      <c r="I80" t="n">
        <v>0</v>
      </c>
      <c r="J80" t="n">
        <v>0</v>
      </c>
      <c r="K80" t="n">
        <v>0</v>
      </c>
      <c r="L80" t="n">
        <v>0</v>
      </c>
      <c r="M80" t="n">
        <v>0</v>
      </c>
      <c r="N80" t="n">
        <v>0</v>
      </c>
      <c r="O80" t="n">
        <v>0</v>
      </c>
      <c r="P80" t="n">
        <v>0</v>
      </c>
      <c r="Q80" t="n">
        <v>0</v>
      </c>
      <c r="R80" s="2" t="inlineStr"/>
    </row>
    <row r="81" ht="15" customHeight="1">
      <c r="A81" t="inlineStr">
        <is>
          <t>A 24707-2023</t>
        </is>
      </c>
      <c r="B81" s="1" t="n">
        <v>45084</v>
      </c>
      <c r="C81" s="1" t="n">
        <v>46042</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50784-2025</t>
        </is>
      </c>
      <c r="B82" s="1" t="n">
        <v>45946</v>
      </c>
      <c r="C82" s="1" t="n">
        <v>46042</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46042</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46042</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24994-2021</t>
        </is>
      </c>
      <c r="B85" s="1" t="n">
        <v>44341</v>
      </c>
      <c r="C85" s="1" t="n">
        <v>46042</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61646-2025</t>
        </is>
      </c>
      <c r="B86" s="1" t="n">
        <v>46002</v>
      </c>
      <c r="C86" s="1" t="n">
        <v>46042</v>
      </c>
      <c r="D86" t="inlineStr">
        <is>
          <t>STOCKHOLMS LÄN</t>
        </is>
      </c>
      <c r="E86" t="inlineStr">
        <is>
          <t>VALLENTUNA</t>
        </is>
      </c>
      <c r="G86" t="n">
        <v>3.7</v>
      </c>
      <c r="H86" t="n">
        <v>0</v>
      </c>
      <c r="I86" t="n">
        <v>0</v>
      </c>
      <c r="J86" t="n">
        <v>0</v>
      </c>
      <c r="K86" t="n">
        <v>0</v>
      </c>
      <c r="L86" t="n">
        <v>0</v>
      </c>
      <c r="M86" t="n">
        <v>0</v>
      </c>
      <c r="N86" t="n">
        <v>0</v>
      </c>
      <c r="O86" t="n">
        <v>0</v>
      </c>
      <c r="P86" t="n">
        <v>0</v>
      </c>
      <c r="Q86" t="n">
        <v>0</v>
      </c>
      <c r="R86" s="2" t="inlineStr"/>
    </row>
    <row r="87" ht="15" customHeight="1">
      <c r="A87" t="inlineStr">
        <is>
          <t>A 27868-2025</t>
        </is>
      </c>
      <c r="B87" s="1" t="n">
        <v>45817</v>
      </c>
      <c r="C87" s="1" t="n">
        <v>46042</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46042</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46042</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54460-2025</t>
        </is>
      </c>
      <c r="B90" s="1" t="n">
        <v>45965.56219907408</v>
      </c>
      <c r="C90" s="1" t="n">
        <v>46042</v>
      </c>
      <c r="D90" t="inlineStr">
        <is>
          <t>STOCKHOLMS LÄN</t>
        </is>
      </c>
      <c r="E90" t="inlineStr">
        <is>
          <t>VALLENTUNA</t>
        </is>
      </c>
      <c r="G90" t="n">
        <v>22.9</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46042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14775-2024</t>
        </is>
      </c>
      <c r="B92" s="1" t="n">
        <v>45397.73675925926</v>
      </c>
      <c r="C92" s="1" t="n">
        <v>46042</v>
      </c>
      <c r="D92" t="inlineStr">
        <is>
          <t>STOCKHOLMS LÄN</t>
        </is>
      </c>
      <c r="E92" t="inlineStr">
        <is>
          <t>VALLENTUNA</t>
        </is>
      </c>
      <c r="G92" t="n">
        <v>1.7</v>
      </c>
      <c r="H92" t="n">
        <v>0</v>
      </c>
      <c r="I92" t="n">
        <v>0</v>
      </c>
      <c r="J92" t="n">
        <v>0</v>
      </c>
      <c r="K92" t="n">
        <v>0</v>
      </c>
      <c r="L92" t="n">
        <v>0</v>
      </c>
      <c r="M92" t="n">
        <v>0</v>
      </c>
      <c r="N92" t="n">
        <v>0</v>
      </c>
      <c r="O92" t="n">
        <v>0</v>
      </c>
      <c r="P92" t="n">
        <v>0</v>
      </c>
      <c r="Q92" t="n">
        <v>0</v>
      </c>
      <c r="R92" s="2" t="inlineStr"/>
    </row>
    <row r="93" ht="15" customHeight="1">
      <c r="A93" t="inlineStr">
        <is>
          <t>A 8565-2025</t>
        </is>
      </c>
      <c r="B93" s="1" t="n">
        <v>45709</v>
      </c>
      <c r="C93" s="1" t="n">
        <v>46042</v>
      </c>
      <c r="D93" t="inlineStr">
        <is>
          <t>STOCKHOLMS LÄN</t>
        </is>
      </c>
      <c r="E93" t="inlineStr">
        <is>
          <t>VALLENTUNA</t>
        </is>
      </c>
      <c r="F93" t="inlineStr">
        <is>
          <t>Kommuner</t>
        </is>
      </c>
      <c r="G93" t="n">
        <v>4.2</v>
      </c>
      <c r="H93" t="n">
        <v>0</v>
      </c>
      <c r="I93" t="n">
        <v>0</v>
      </c>
      <c r="J93" t="n">
        <v>0</v>
      </c>
      <c r="K93" t="n">
        <v>0</v>
      </c>
      <c r="L93" t="n">
        <v>0</v>
      </c>
      <c r="M93" t="n">
        <v>0</v>
      </c>
      <c r="N93" t="n">
        <v>0</v>
      </c>
      <c r="O93" t="n">
        <v>0</v>
      </c>
      <c r="P93" t="n">
        <v>0</v>
      </c>
      <c r="Q93" t="n">
        <v>0</v>
      </c>
      <c r="R93" s="2" t="inlineStr"/>
    </row>
    <row r="94" ht="15" customHeight="1">
      <c r="A94" t="inlineStr">
        <is>
          <t>A 8787-2024</t>
        </is>
      </c>
      <c r="B94" s="1" t="n">
        <v>45356</v>
      </c>
      <c r="C94" s="1" t="n">
        <v>46042</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14782-2024</t>
        </is>
      </c>
      <c r="B95" s="1" t="n">
        <v>45397.74266203704</v>
      </c>
      <c r="C95" s="1" t="n">
        <v>46042</v>
      </c>
      <c r="D95" t="inlineStr">
        <is>
          <t>STOCKHOLMS LÄN</t>
        </is>
      </c>
      <c r="E95" t="inlineStr">
        <is>
          <t>VALLENTUNA</t>
        </is>
      </c>
      <c r="G95" t="n">
        <v>3.1</v>
      </c>
      <c r="H95" t="n">
        <v>0</v>
      </c>
      <c r="I95" t="n">
        <v>0</v>
      </c>
      <c r="J95" t="n">
        <v>0</v>
      </c>
      <c r="K95" t="n">
        <v>0</v>
      </c>
      <c r="L95" t="n">
        <v>0</v>
      </c>
      <c r="M95" t="n">
        <v>0</v>
      </c>
      <c r="N95" t="n">
        <v>0</v>
      </c>
      <c r="O95" t="n">
        <v>0</v>
      </c>
      <c r="P95" t="n">
        <v>0</v>
      </c>
      <c r="Q95" t="n">
        <v>0</v>
      </c>
      <c r="R95" s="2" t="inlineStr"/>
    </row>
    <row r="96" ht="15" customHeight="1">
      <c r="A96" t="inlineStr">
        <is>
          <t>A 52562-2023</t>
        </is>
      </c>
      <c r="B96" s="1" t="n">
        <v>45225</v>
      </c>
      <c r="C96" s="1" t="n">
        <v>46042</v>
      </c>
      <c r="D96" t="inlineStr">
        <is>
          <t>STOCKHOLMS LÄN</t>
        </is>
      </c>
      <c r="E96" t="inlineStr">
        <is>
          <t>VALLENTUNA</t>
        </is>
      </c>
      <c r="G96" t="n">
        <v>3.4</v>
      </c>
      <c r="H96" t="n">
        <v>0</v>
      </c>
      <c r="I96" t="n">
        <v>0</v>
      </c>
      <c r="J96" t="n">
        <v>0</v>
      </c>
      <c r="K96" t="n">
        <v>0</v>
      </c>
      <c r="L96" t="n">
        <v>0</v>
      </c>
      <c r="M96" t="n">
        <v>0</v>
      </c>
      <c r="N96" t="n">
        <v>0</v>
      </c>
      <c r="O96" t="n">
        <v>0</v>
      </c>
      <c r="P96" t="n">
        <v>0</v>
      </c>
      <c r="Q96" t="n">
        <v>0</v>
      </c>
      <c r="R96" s="2" t="inlineStr"/>
    </row>
    <row r="97" ht="15" customHeight="1">
      <c r="A97" t="inlineStr">
        <is>
          <t>A 49530-2023</t>
        </is>
      </c>
      <c r="B97" s="1" t="n">
        <v>45205</v>
      </c>
      <c r="C97" s="1" t="n">
        <v>46042</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52542-2023</t>
        </is>
      </c>
      <c r="B98" s="1" t="n">
        <v>45225</v>
      </c>
      <c r="C98" s="1" t="n">
        <v>46042</v>
      </c>
      <c r="D98" t="inlineStr">
        <is>
          <t>STOCKHOLMS LÄN</t>
        </is>
      </c>
      <c r="E98" t="inlineStr">
        <is>
          <t>VALLENTUNA</t>
        </is>
      </c>
      <c r="G98" t="n">
        <v>3.8</v>
      </c>
      <c r="H98" t="n">
        <v>0</v>
      </c>
      <c r="I98" t="n">
        <v>0</v>
      </c>
      <c r="J98" t="n">
        <v>0</v>
      </c>
      <c r="K98" t="n">
        <v>0</v>
      </c>
      <c r="L98" t="n">
        <v>0</v>
      </c>
      <c r="M98" t="n">
        <v>0</v>
      </c>
      <c r="N98" t="n">
        <v>0</v>
      </c>
      <c r="O98" t="n">
        <v>0</v>
      </c>
      <c r="P98" t="n">
        <v>0</v>
      </c>
      <c r="Q98" t="n">
        <v>0</v>
      </c>
      <c r="R98" s="2" t="inlineStr"/>
    </row>
    <row r="99" ht="15" customHeight="1">
      <c r="A99" t="inlineStr">
        <is>
          <t>A 2318-2024</t>
        </is>
      </c>
      <c r="B99" s="1" t="n">
        <v>45310</v>
      </c>
      <c r="C99" s="1" t="n">
        <v>46042</v>
      </c>
      <c r="D99" t="inlineStr">
        <is>
          <t>STOCKHOLMS LÄN</t>
        </is>
      </c>
      <c r="E99" t="inlineStr">
        <is>
          <t>VALLENTUNA</t>
        </is>
      </c>
      <c r="G99" t="n">
        <v>2.2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46042</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46042</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34441-2023</t>
        </is>
      </c>
      <c r="B102" s="1" t="n">
        <v>45139</v>
      </c>
      <c r="C102" s="1" t="n">
        <v>46042</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34445-2023</t>
        </is>
      </c>
      <c r="B103" s="1" t="n">
        <v>45139</v>
      </c>
      <c r="C103" s="1" t="n">
        <v>46042</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414-2026</t>
        </is>
      </c>
      <c r="B104" s="1" t="n">
        <v>46028.76050925926</v>
      </c>
      <c r="C104" s="1" t="n">
        <v>46042</v>
      </c>
      <c r="D104" t="inlineStr">
        <is>
          <t>STOCKHOLMS LÄN</t>
        </is>
      </c>
      <c r="E104" t="inlineStr">
        <is>
          <t>VALLENTUNA</t>
        </is>
      </c>
      <c r="G104" t="n">
        <v>2.6</v>
      </c>
      <c r="H104" t="n">
        <v>0</v>
      </c>
      <c r="I104" t="n">
        <v>0</v>
      </c>
      <c r="J104" t="n">
        <v>0</v>
      </c>
      <c r="K104" t="n">
        <v>0</v>
      </c>
      <c r="L104" t="n">
        <v>0</v>
      </c>
      <c r="M104" t="n">
        <v>0</v>
      </c>
      <c r="N104" t="n">
        <v>0</v>
      </c>
      <c r="O104" t="n">
        <v>0</v>
      </c>
      <c r="P104" t="n">
        <v>0</v>
      </c>
      <c r="Q104" t="n">
        <v>0</v>
      </c>
      <c r="R104" s="2" t="inlineStr"/>
    </row>
    <row r="105" ht="15" customHeight="1">
      <c r="A105" t="inlineStr">
        <is>
          <t>A 735-2024</t>
        </is>
      </c>
      <c r="B105" s="1" t="n">
        <v>45300</v>
      </c>
      <c r="C105" s="1" t="n">
        <v>46042</v>
      </c>
      <c r="D105" t="inlineStr">
        <is>
          <t>STOCKHOLMS LÄN</t>
        </is>
      </c>
      <c r="E105" t="inlineStr">
        <is>
          <t>VALLENTUNA</t>
        </is>
      </c>
      <c r="G105" t="n">
        <v>1.7</v>
      </c>
      <c r="H105" t="n">
        <v>0</v>
      </c>
      <c r="I105" t="n">
        <v>0</v>
      </c>
      <c r="J105" t="n">
        <v>0</v>
      </c>
      <c r="K105" t="n">
        <v>0</v>
      </c>
      <c r="L105" t="n">
        <v>0</v>
      </c>
      <c r="M105" t="n">
        <v>0</v>
      </c>
      <c r="N105" t="n">
        <v>0</v>
      </c>
      <c r="O105" t="n">
        <v>0</v>
      </c>
      <c r="P105" t="n">
        <v>0</v>
      </c>
      <c r="Q105" t="n">
        <v>0</v>
      </c>
      <c r="R105" s="2" t="inlineStr"/>
    </row>
    <row r="106" ht="15" customHeight="1">
      <c r="A106" t="inlineStr">
        <is>
          <t>A 12585-2023</t>
        </is>
      </c>
      <c r="B106" s="1" t="n">
        <v>45000.41373842592</v>
      </c>
      <c r="C106" s="1" t="n">
        <v>46042</v>
      </c>
      <c r="D106" t="inlineStr">
        <is>
          <t>STOCKHOLMS LÄN</t>
        </is>
      </c>
      <c r="E106" t="inlineStr">
        <is>
          <t>VALLENTUNA</t>
        </is>
      </c>
      <c r="G106" t="n">
        <v>3.7</v>
      </c>
      <c r="H106" t="n">
        <v>0</v>
      </c>
      <c r="I106" t="n">
        <v>0</v>
      </c>
      <c r="J106" t="n">
        <v>0</v>
      </c>
      <c r="K106" t="n">
        <v>0</v>
      </c>
      <c r="L106" t="n">
        <v>0</v>
      </c>
      <c r="M106" t="n">
        <v>0</v>
      </c>
      <c r="N106" t="n">
        <v>0</v>
      </c>
      <c r="O106" t="n">
        <v>0</v>
      </c>
      <c r="P106" t="n">
        <v>0</v>
      </c>
      <c r="Q106" t="n">
        <v>0</v>
      </c>
      <c r="R106" s="2" t="inlineStr"/>
    </row>
    <row r="107" ht="15" customHeight="1">
      <c r="A107" t="inlineStr">
        <is>
          <t>A 27870-2025</t>
        </is>
      </c>
      <c r="B107" s="1" t="n">
        <v>45817</v>
      </c>
      <c r="C107" s="1" t="n">
        <v>46042</v>
      </c>
      <c r="D107" t="inlineStr">
        <is>
          <t>STOCKHOLMS LÄN</t>
        </is>
      </c>
      <c r="E107" t="inlineStr">
        <is>
          <t>VALLENTUNA</t>
        </is>
      </c>
      <c r="G107" t="n">
        <v>2.3</v>
      </c>
      <c r="H107" t="n">
        <v>0</v>
      </c>
      <c r="I107" t="n">
        <v>0</v>
      </c>
      <c r="J107" t="n">
        <v>0</v>
      </c>
      <c r="K107" t="n">
        <v>0</v>
      </c>
      <c r="L107" t="n">
        <v>0</v>
      </c>
      <c r="M107" t="n">
        <v>0</v>
      </c>
      <c r="N107" t="n">
        <v>0</v>
      </c>
      <c r="O107" t="n">
        <v>0</v>
      </c>
      <c r="P107" t="n">
        <v>0</v>
      </c>
      <c r="Q107" t="n">
        <v>0</v>
      </c>
      <c r="R107" s="2" t="inlineStr"/>
    </row>
    <row r="108" ht="15" customHeight="1">
      <c r="A108" t="inlineStr">
        <is>
          <t>A 8077-2022</t>
        </is>
      </c>
      <c r="B108" s="1" t="n">
        <v>44609</v>
      </c>
      <c r="C108" s="1" t="n">
        <v>46042</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47140-2024</t>
        </is>
      </c>
      <c r="B109" s="1" t="n">
        <v>45586.58753472222</v>
      </c>
      <c r="C109" s="1" t="n">
        <v>46042</v>
      </c>
      <c r="D109" t="inlineStr">
        <is>
          <t>STOCKHOLMS LÄN</t>
        </is>
      </c>
      <c r="E109" t="inlineStr">
        <is>
          <t>VALLENTUNA</t>
        </is>
      </c>
      <c r="G109" t="n">
        <v>1</v>
      </c>
      <c r="H109" t="n">
        <v>0</v>
      </c>
      <c r="I109" t="n">
        <v>0</v>
      </c>
      <c r="J109" t="n">
        <v>0</v>
      </c>
      <c r="K109" t="n">
        <v>0</v>
      </c>
      <c r="L109" t="n">
        <v>0</v>
      </c>
      <c r="M109" t="n">
        <v>0</v>
      </c>
      <c r="N109" t="n">
        <v>0</v>
      </c>
      <c r="O109" t="n">
        <v>0</v>
      </c>
      <c r="P109" t="n">
        <v>0</v>
      </c>
      <c r="Q109" t="n">
        <v>0</v>
      </c>
      <c r="R109" s="2" t="inlineStr"/>
    </row>
    <row r="110" ht="15" customHeight="1">
      <c r="A110" t="inlineStr">
        <is>
          <t>A 21765-2023</t>
        </is>
      </c>
      <c r="B110" s="1" t="n">
        <v>45064</v>
      </c>
      <c r="C110" s="1" t="n">
        <v>46042</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46042</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23986-2023</t>
        </is>
      </c>
      <c r="B112" s="1" t="n">
        <v>45078</v>
      </c>
      <c r="C112" s="1" t="n">
        <v>46042</v>
      </c>
      <c r="D112" t="inlineStr">
        <is>
          <t>STOCKHOLMS LÄN</t>
        </is>
      </c>
      <c r="E112" t="inlineStr">
        <is>
          <t>VALLENTUNA</t>
        </is>
      </c>
      <c r="F112" t="inlineStr">
        <is>
          <t>Kyrkan</t>
        </is>
      </c>
      <c r="G112" t="n">
        <v>5.7</v>
      </c>
      <c r="H112" t="n">
        <v>0</v>
      </c>
      <c r="I112" t="n">
        <v>0</v>
      </c>
      <c r="J112" t="n">
        <v>0</v>
      </c>
      <c r="K112" t="n">
        <v>0</v>
      </c>
      <c r="L112" t="n">
        <v>0</v>
      </c>
      <c r="M112" t="n">
        <v>0</v>
      </c>
      <c r="N112" t="n">
        <v>0</v>
      </c>
      <c r="O112" t="n">
        <v>0</v>
      </c>
      <c r="P112" t="n">
        <v>0</v>
      </c>
      <c r="Q112" t="n">
        <v>0</v>
      </c>
      <c r="R112" s="2" t="inlineStr"/>
    </row>
    <row r="113" ht="15" customHeight="1">
      <c r="A113" t="inlineStr">
        <is>
          <t>A 24068-2024</t>
        </is>
      </c>
      <c r="B113" s="1" t="n">
        <v>45456</v>
      </c>
      <c r="C113" s="1" t="n">
        <v>46042</v>
      </c>
      <c r="D113" t="inlineStr">
        <is>
          <t>STOCKHOLMS LÄN</t>
        </is>
      </c>
      <c r="E113" t="inlineStr">
        <is>
          <t>VALLENTUNA</t>
        </is>
      </c>
      <c r="G113" t="n">
        <v>7.4</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46042</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23013-2024</t>
        </is>
      </c>
      <c r="B115" s="1" t="n">
        <v>45450.35116898148</v>
      </c>
      <c r="C115" s="1" t="n">
        <v>46042</v>
      </c>
      <c r="D115" t="inlineStr">
        <is>
          <t>STOCKHOLMS LÄN</t>
        </is>
      </c>
      <c r="E115" t="inlineStr">
        <is>
          <t>VALLENTUNA</t>
        </is>
      </c>
      <c r="G115" t="n">
        <v>0.4</v>
      </c>
      <c r="H115" t="n">
        <v>0</v>
      </c>
      <c r="I115" t="n">
        <v>0</v>
      </c>
      <c r="J115" t="n">
        <v>0</v>
      </c>
      <c r="K115" t="n">
        <v>0</v>
      </c>
      <c r="L115" t="n">
        <v>0</v>
      </c>
      <c r="M115" t="n">
        <v>0</v>
      </c>
      <c r="N115" t="n">
        <v>0</v>
      </c>
      <c r="O115" t="n">
        <v>0</v>
      </c>
      <c r="P115" t="n">
        <v>0</v>
      </c>
      <c r="Q115" t="n">
        <v>0</v>
      </c>
      <c r="R115" s="2" t="inlineStr"/>
    </row>
    <row r="116" ht="15" customHeight="1">
      <c r="A116" t="inlineStr">
        <is>
          <t>A 3078-2023</t>
        </is>
      </c>
      <c r="B116" s="1" t="n">
        <v>44946.41527777778</v>
      </c>
      <c r="C116" s="1" t="n">
        <v>46042</v>
      </c>
      <c r="D116" t="inlineStr">
        <is>
          <t>STOCKHOLMS LÄN</t>
        </is>
      </c>
      <c r="E116" t="inlineStr">
        <is>
          <t>VALLENTUNA</t>
        </is>
      </c>
      <c r="G116" t="n">
        <v>3.9</v>
      </c>
      <c r="H116" t="n">
        <v>0</v>
      </c>
      <c r="I116" t="n">
        <v>0</v>
      </c>
      <c r="J116" t="n">
        <v>0</v>
      </c>
      <c r="K116" t="n">
        <v>0</v>
      </c>
      <c r="L116" t="n">
        <v>0</v>
      </c>
      <c r="M116" t="n">
        <v>0</v>
      </c>
      <c r="N116" t="n">
        <v>0</v>
      </c>
      <c r="O116" t="n">
        <v>0</v>
      </c>
      <c r="P116" t="n">
        <v>0</v>
      </c>
      <c r="Q116" t="n">
        <v>0</v>
      </c>
      <c r="R116" s="2" t="inlineStr"/>
    </row>
    <row r="117" ht="15" customHeight="1">
      <c r="A117" t="inlineStr">
        <is>
          <t>A 6593-2021</t>
        </is>
      </c>
      <c r="B117" s="1" t="n">
        <v>44236</v>
      </c>
      <c r="C117" s="1" t="n">
        <v>46042</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19503-2023</t>
        </is>
      </c>
      <c r="B118" s="1" t="n">
        <v>45050.47333333334</v>
      </c>
      <c r="C118" s="1" t="n">
        <v>46042</v>
      </c>
      <c r="D118" t="inlineStr">
        <is>
          <t>STOCKHOLMS LÄN</t>
        </is>
      </c>
      <c r="E118" t="inlineStr">
        <is>
          <t>VALLENTUNA</t>
        </is>
      </c>
      <c r="G118" t="n">
        <v>0.7</v>
      </c>
      <c r="H118" t="n">
        <v>0</v>
      </c>
      <c r="I118" t="n">
        <v>0</v>
      </c>
      <c r="J118" t="n">
        <v>0</v>
      </c>
      <c r="K118" t="n">
        <v>0</v>
      </c>
      <c r="L118" t="n">
        <v>0</v>
      </c>
      <c r="M118" t="n">
        <v>0</v>
      </c>
      <c r="N118" t="n">
        <v>0</v>
      </c>
      <c r="O118" t="n">
        <v>0</v>
      </c>
      <c r="P118" t="n">
        <v>0</v>
      </c>
      <c r="Q118" t="n">
        <v>0</v>
      </c>
      <c r="R118" s="2" t="inlineStr"/>
    </row>
    <row r="119" ht="15" customHeight="1">
      <c r="A119" t="inlineStr">
        <is>
          <t>A 4803-2024</t>
        </is>
      </c>
      <c r="B119" s="1" t="n">
        <v>45328</v>
      </c>
      <c r="C119" s="1" t="n">
        <v>46042</v>
      </c>
      <c r="D119" t="inlineStr">
        <is>
          <t>STOCKHOLMS LÄN</t>
        </is>
      </c>
      <c r="E119" t="inlineStr">
        <is>
          <t>VALLENTUNA</t>
        </is>
      </c>
      <c r="G119" t="n">
        <v>4.6</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46042</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38102-2024</t>
        </is>
      </c>
      <c r="B121" s="1" t="n">
        <v>45545.36349537037</v>
      </c>
      <c r="C121" s="1" t="n">
        <v>46042</v>
      </c>
      <c r="D121" t="inlineStr">
        <is>
          <t>STOCKHOLMS LÄN</t>
        </is>
      </c>
      <c r="E121" t="inlineStr">
        <is>
          <t>VALLENTUNA</t>
        </is>
      </c>
      <c r="G121" t="n">
        <v>3.2</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46042</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24943-2024</t>
        </is>
      </c>
      <c r="B123" s="1" t="n">
        <v>45461.62585648148</v>
      </c>
      <c r="C123" s="1" t="n">
        <v>46042</v>
      </c>
      <c r="D123" t="inlineStr">
        <is>
          <t>STOCKHOLMS LÄN</t>
        </is>
      </c>
      <c r="E123" t="inlineStr">
        <is>
          <t>VALLENTUNA</t>
        </is>
      </c>
      <c r="G123" t="n">
        <v>2</v>
      </c>
      <c r="H123" t="n">
        <v>0</v>
      </c>
      <c r="I123" t="n">
        <v>0</v>
      </c>
      <c r="J123" t="n">
        <v>0</v>
      </c>
      <c r="K123" t="n">
        <v>0</v>
      </c>
      <c r="L123" t="n">
        <v>0</v>
      </c>
      <c r="M123" t="n">
        <v>0</v>
      </c>
      <c r="N123" t="n">
        <v>0</v>
      </c>
      <c r="O123" t="n">
        <v>0</v>
      </c>
      <c r="P123" t="n">
        <v>0</v>
      </c>
      <c r="Q123" t="n">
        <v>0</v>
      </c>
      <c r="R123" s="2" t="inlineStr"/>
    </row>
    <row r="124" ht="15" customHeight="1">
      <c r="A124" t="inlineStr">
        <is>
          <t>A 22683-2023</t>
        </is>
      </c>
      <c r="B124" s="1" t="n">
        <v>45071</v>
      </c>
      <c r="C124" s="1" t="n">
        <v>46042</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17411-2023</t>
        </is>
      </c>
      <c r="B125" s="1" t="n">
        <v>45035.82512731481</v>
      </c>
      <c r="C125" s="1" t="n">
        <v>46042</v>
      </c>
      <c r="D125" t="inlineStr">
        <is>
          <t>STOCKHOLMS LÄN</t>
        </is>
      </c>
      <c r="E125" t="inlineStr">
        <is>
          <t>VALLENTUNA</t>
        </is>
      </c>
      <c r="G125" t="n">
        <v>0.7</v>
      </c>
      <c r="H125" t="n">
        <v>0</v>
      </c>
      <c r="I125" t="n">
        <v>0</v>
      </c>
      <c r="J125" t="n">
        <v>0</v>
      </c>
      <c r="K125" t="n">
        <v>0</v>
      </c>
      <c r="L125" t="n">
        <v>0</v>
      </c>
      <c r="M125" t="n">
        <v>0</v>
      </c>
      <c r="N125" t="n">
        <v>0</v>
      </c>
      <c r="O125" t="n">
        <v>0</v>
      </c>
      <c r="P125" t="n">
        <v>0</v>
      </c>
      <c r="Q125" t="n">
        <v>0</v>
      </c>
      <c r="R125" s="2" t="inlineStr"/>
    </row>
    <row r="126" ht="15" customHeight="1">
      <c r="A126" t="inlineStr">
        <is>
          <t>A 1385-2024</t>
        </is>
      </c>
      <c r="B126" s="1" t="n">
        <v>45303</v>
      </c>
      <c r="C126" s="1" t="n">
        <v>46042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60818-2023</t>
        </is>
      </c>
      <c r="B127" s="1" t="n">
        <v>45259</v>
      </c>
      <c r="C127" s="1" t="n">
        <v>46042</v>
      </c>
      <c r="D127" t="inlineStr">
        <is>
          <t>STOCKHOLMS LÄN</t>
        </is>
      </c>
      <c r="E127" t="inlineStr">
        <is>
          <t>VALLENTUNA</t>
        </is>
      </c>
      <c r="G127" t="n">
        <v>9.4</v>
      </c>
      <c r="H127" t="n">
        <v>0</v>
      </c>
      <c r="I127" t="n">
        <v>0</v>
      </c>
      <c r="J127" t="n">
        <v>0</v>
      </c>
      <c r="K127" t="n">
        <v>0</v>
      </c>
      <c r="L127" t="n">
        <v>0</v>
      </c>
      <c r="M127" t="n">
        <v>0</v>
      </c>
      <c r="N127" t="n">
        <v>0</v>
      </c>
      <c r="O127" t="n">
        <v>0</v>
      </c>
      <c r="P127" t="n">
        <v>0</v>
      </c>
      <c r="Q127" t="n">
        <v>0</v>
      </c>
      <c r="R127" s="2" t="inlineStr"/>
    </row>
    <row r="128" ht="15" customHeight="1">
      <c r="A128" t="inlineStr">
        <is>
          <t>A 7264-2022</t>
        </is>
      </c>
      <c r="B128" s="1" t="n">
        <v>44606</v>
      </c>
      <c r="C128" s="1" t="n">
        <v>46042</v>
      </c>
      <c r="D128" t="inlineStr">
        <is>
          <t>STOCKHOLMS LÄN</t>
        </is>
      </c>
      <c r="E128" t="inlineStr">
        <is>
          <t>VALLENTUNA</t>
        </is>
      </c>
      <c r="G128" t="n">
        <v>2.4</v>
      </c>
      <c r="H128" t="n">
        <v>0</v>
      </c>
      <c r="I128" t="n">
        <v>0</v>
      </c>
      <c r="J128" t="n">
        <v>0</v>
      </c>
      <c r="K128" t="n">
        <v>0</v>
      </c>
      <c r="L128" t="n">
        <v>0</v>
      </c>
      <c r="M128" t="n">
        <v>0</v>
      </c>
      <c r="N128" t="n">
        <v>0</v>
      </c>
      <c r="O128" t="n">
        <v>0</v>
      </c>
      <c r="P128" t="n">
        <v>0</v>
      </c>
      <c r="Q128" t="n">
        <v>0</v>
      </c>
      <c r="R128" s="2" t="inlineStr"/>
    </row>
    <row r="129" ht="15" customHeight="1">
      <c r="A129" t="inlineStr">
        <is>
          <t>A 19356-2025</t>
        </is>
      </c>
      <c r="B129" s="1" t="n">
        <v>45769.62061342593</v>
      </c>
      <c r="C129" s="1" t="n">
        <v>46042</v>
      </c>
      <c r="D129" t="inlineStr">
        <is>
          <t>STOCKHOLMS LÄN</t>
        </is>
      </c>
      <c r="E129" t="inlineStr">
        <is>
          <t>VALLENTUNA</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11950-2025</t>
        </is>
      </c>
      <c r="B130" s="1" t="n">
        <v>45728.55622685186</v>
      </c>
      <c r="C130" s="1" t="n">
        <v>46042</v>
      </c>
      <c r="D130" t="inlineStr">
        <is>
          <t>STOCKHOLMS LÄN</t>
        </is>
      </c>
      <c r="E130" t="inlineStr">
        <is>
          <t>VALLENTUNA</t>
        </is>
      </c>
      <c r="G130" t="n">
        <v>1.4</v>
      </c>
      <c r="H130" t="n">
        <v>0</v>
      </c>
      <c r="I130" t="n">
        <v>0</v>
      </c>
      <c r="J130" t="n">
        <v>0</v>
      </c>
      <c r="K130" t="n">
        <v>0</v>
      </c>
      <c r="L130" t="n">
        <v>0</v>
      </c>
      <c r="M130" t="n">
        <v>0</v>
      </c>
      <c r="N130" t="n">
        <v>0</v>
      </c>
      <c r="O130" t="n">
        <v>0</v>
      </c>
      <c r="P130" t="n">
        <v>0</v>
      </c>
      <c r="Q130" t="n">
        <v>0</v>
      </c>
      <c r="R130" s="2" t="inlineStr"/>
    </row>
    <row r="131" ht="15" customHeight="1">
      <c r="A131" t="inlineStr">
        <is>
          <t>A 14489-2024</t>
        </is>
      </c>
      <c r="B131" s="1" t="n">
        <v>45394.58053240741</v>
      </c>
      <c r="C131" s="1" t="n">
        <v>46042</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15268-2023</t>
        </is>
      </c>
      <c r="B132" s="1" t="n">
        <v>45019.41045138889</v>
      </c>
      <c r="C132" s="1" t="n">
        <v>46042</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61442-2024</t>
        </is>
      </c>
      <c r="B133" s="1" t="n">
        <v>45646.47003472222</v>
      </c>
      <c r="C133" s="1" t="n">
        <v>46042</v>
      </c>
      <c r="D133" t="inlineStr">
        <is>
          <t>STOCKHOLMS LÄN</t>
        </is>
      </c>
      <c r="E133" t="inlineStr">
        <is>
          <t>VALLENTUNA</t>
        </is>
      </c>
      <c r="G133" t="n">
        <v>4.6</v>
      </c>
      <c r="H133" t="n">
        <v>0</v>
      </c>
      <c r="I133" t="n">
        <v>0</v>
      </c>
      <c r="J133" t="n">
        <v>0</v>
      </c>
      <c r="K133" t="n">
        <v>0</v>
      </c>
      <c r="L133" t="n">
        <v>0</v>
      </c>
      <c r="M133" t="n">
        <v>0</v>
      </c>
      <c r="N133" t="n">
        <v>0</v>
      </c>
      <c r="O133" t="n">
        <v>0</v>
      </c>
      <c r="P133" t="n">
        <v>0</v>
      </c>
      <c r="Q133" t="n">
        <v>0</v>
      </c>
      <c r="R133" s="2" t="inlineStr"/>
    </row>
    <row r="134" ht="15" customHeight="1">
      <c r="A134" t="inlineStr">
        <is>
          <t>A 48068-2021</t>
        </is>
      </c>
      <c r="B134" s="1" t="n">
        <v>44449.42270833333</v>
      </c>
      <c r="C134" s="1" t="n">
        <v>46042</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46042</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46042</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20791-2025</t>
        </is>
      </c>
      <c r="B137" s="1" t="n">
        <v>45776.62738425926</v>
      </c>
      <c r="C137" s="1" t="n">
        <v>46042</v>
      </c>
      <c r="D137" t="inlineStr">
        <is>
          <t>STOCKHOLMS LÄN</t>
        </is>
      </c>
      <c r="E137" t="inlineStr">
        <is>
          <t>VALLENTUNA</t>
        </is>
      </c>
      <c r="G137" t="n">
        <v>1.5</v>
      </c>
      <c r="H137" t="n">
        <v>0</v>
      </c>
      <c r="I137" t="n">
        <v>0</v>
      </c>
      <c r="J137" t="n">
        <v>0</v>
      </c>
      <c r="K137" t="n">
        <v>0</v>
      </c>
      <c r="L137" t="n">
        <v>0</v>
      </c>
      <c r="M137" t="n">
        <v>0</v>
      </c>
      <c r="N137" t="n">
        <v>0</v>
      </c>
      <c r="O137" t="n">
        <v>0</v>
      </c>
      <c r="P137" t="n">
        <v>0</v>
      </c>
      <c r="Q137" t="n">
        <v>0</v>
      </c>
      <c r="R137" s="2" t="inlineStr"/>
    </row>
    <row r="138" ht="15" customHeight="1">
      <c r="A138" t="inlineStr">
        <is>
          <t>A 10073-2024</t>
        </is>
      </c>
      <c r="B138" s="1" t="n">
        <v>45364.40821759259</v>
      </c>
      <c r="C138" s="1" t="n">
        <v>46042</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46042</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46042</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23009-2024</t>
        </is>
      </c>
      <c r="B141" s="1" t="n">
        <v>45450.34506944445</v>
      </c>
      <c r="C141" s="1" t="n">
        <v>46042</v>
      </c>
      <c r="D141" t="inlineStr">
        <is>
          <t>STOCKHOLMS LÄN</t>
        </is>
      </c>
      <c r="E141" t="inlineStr">
        <is>
          <t>VALLENTUNA</t>
        </is>
      </c>
      <c r="G141" t="n">
        <v>1.4</v>
      </c>
      <c r="H141" t="n">
        <v>0</v>
      </c>
      <c r="I141" t="n">
        <v>0</v>
      </c>
      <c r="J141" t="n">
        <v>0</v>
      </c>
      <c r="K141" t="n">
        <v>0</v>
      </c>
      <c r="L141" t="n">
        <v>0</v>
      </c>
      <c r="M141" t="n">
        <v>0</v>
      </c>
      <c r="N141" t="n">
        <v>0</v>
      </c>
      <c r="O141" t="n">
        <v>0</v>
      </c>
      <c r="P141" t="n">
        <v>0</v>
      </c>
      <c r="Q141" t="n">
        <v>0</v>
      </c>
      <c r="R141" s="2" t="inlineStr"/>
    </row>
    <row r="142" ht="15" customHeight="1">
      <c r="A142" t="inlineStr">
        <is>
          <t>A 61027-2023</t>
        </is>
      </c>
      <c r="B142" s="1" t="n">
        <v>45261</v>
      </c>
      <c r="C142" s="1" t="n">
        <v>46042</v>
      </c>
      <c r="D142" t="inlineStr">
        <is>
          <t>STOCKHOLMS LÄN</t>
        </is>
      </c>
      <c r="E142" t="inlineStr">
        <is>
          <t>VALLENTUNA</t>
        </is>
      </c>
      <c r="G142" t="n">
        <v>7.1</v>
      </c>
      <c r="H142" t="n">
        <v>0</v>
      </c>
      <c r="I142" t="n">
        <v>0</v>
      </c>
      <c r="J142" t="n">
        <v>0</v>
      </c>
      <c r="K142" t="n">
        <v>0</v>
      </c>
      <c r="L142" t="n">
        <v>0</v>
      </c>
      <c r="M142" t="n">
        <v>0</v>
      </c>
      <c r="N142" t="n">
        <v>0</v>
      </c>
      <c r="O142" t="n">
        <v>0</v>
      </c>
      <c r="P142" t="n">
        <v>0</v>
      </c>
      <c r="Q142" t="n">
        <v>0</v>
      </c>
      <c r="R142" s="2" t="inlineStr"/>
    </row>
    <row r="143">
      <c r="A143" t="inlineStr">
        <is>
          <t>A 23923-2025</t>
        </is>
      </c>
      <c r="B143" s="1" t="n">
        <v>45795.39648148148</v>
      </c>
      <c r="C143" s="1" t="n">
        <v>46042</v>
      </c>
      <c r="D143" t="inlineStr">
        <is>
          <t>STOCKHOLMS LÄN</t>
        </is>
      </c>
      <c r="E143" t="inlineStr">
        <is>
          <t>VALLENTUNA</t>
        </is>
      </c>
      <c r="G143" t="n">
        <v>2.3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2026-01-20T10:57:31Z</dcterms:created>
  <dcterms:modified xmlns:dcterms="http://purl.org/dc/terms/" xmlns:xsi="http://www.w3.org/2001/XMLSchema-instance" xsi:type="dcterms:W3CDTF">2026-01-20T10:57:31Z</dcterms:modified>
</cp:coreProperties>
</file>