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46078</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46078</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46078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46078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46078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46078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46078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46078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46078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46078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46078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46078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46078</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46078</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46078</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46078</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46078</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46078</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46078</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46078</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46078</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46078</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46078</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46078</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46078</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46078</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46078</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46078</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21439-2025</t>
        </is>
      </c>
      <c r="B30" s="1" t="n">
        <v>45782.52939814814</v>
      </c>
      <c r="C30" s="1" t="n">
        <v>46078</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22936-2025</t>
        </is>
      </c>
      <c r="B31" s="1" t="n">
        <v>45790.45738425926</v>
      </c>
      <c r="C31" s="1" t="n">
        <v>46078</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7890-2023</t>
        </is>
      </c>
      <c r="B32" s="1" t="n">
        <v>44973</v>
      </c>
      <c r="C32" s="1" t="n">
        <v>46078</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22830-2024</t>
        </is>
      </c>
      <c r="B33" s="1" t="n">
        <v>45448.56583333333</v>
      </c>
      <c r="C33" s="1" t="n">
        <v>46078</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54481-2025</t>
        </is>
      </c>
      <c r="B34" s="1" t="n">
        <v>45965.58837962963</v>
      </c>
      <c r="C34" s="1" t="n">
        <v>46078</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34460-2023</t>
        </is>
      </c>
      <c r="B35" s="1" t="n">
        <v>45139</v>
      </c>
      <c r="C35" s="1" t="n">
        <v>46078</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17348-2025</t>
        </is>
      </c>
      <c r="B36" s="1" t="n">
        <v>45756</v>
      </c>
      <c r="C36" s="1" t="n">
        <v>46078</v>
      </c>
      <c r="D36" t="inlineStr">
        <is>
          <t>STOCKHOLMS LÄN</t>
        </is>
      </c>
      <c r="E36" t="inlineStr">
        <is>
          <t>VALLENTUNA</t>
        </is>
      </c>
      <c r="F36" t="inlineStr">
        <is>
          <t>Övriga Aktiebolag</t>
        </is>
      </c>
      <c r="G36" t="n">
        <v>2.2</v>
      </c>
      <c r="H36" t="n">
        <v>0</v>
      </c>
      <c r="I36" t="n">
        <v>1</v>
      </c>
      <c r="J36" t="n">
        <v>0</v>
      </c>
      <c r="K36" t="n">
        <v>0</v>
      </c>
      <c r="L36" t="n">
        <v>0</v>
      </c>
      <c r="M36" t="n">
        <v>0</v>
      </c>
      <c r="N36" t="n">
        <v>0</v>
      </c>
      <c r="O36" t="n">
        <v>0</v>
      </c>
      <c r="P36" t="n">
        <v>0</v>
      </c>
      <c r="Q36" t="n">
        <v>1</v>
      </c>
      <c r="R36" s="2" t="inlineStr">
        <is>
          <t>Björksplintborre</t>
        </is>
      </c>
      <c r="S36">
        <f>HYPERLINK("https://klasma.github.io/Logging_0115/artfynd/A 17348-2025 artfynd.xlsx", "A 17348-2025")</f>
        <v/>
      </c>
      <c r="T36">
        <f>HYPERLINK("https://klasma.github.io/Logging_0115/kartor/A 17348-2025 karta.png", "A 17348-2025")</f>
        <v/>
      </c>
      <c r="V36">
        <f>HYPERLINK("https://klasma.github.io/Logging_0115/klagomål/A 17348-2025 FSC-klagomål.docx", "A 17348-2025")</f>
        <v/>
      </c>
      <c r="W36">
        <f>HYPERLINK("https://klasma.github.io/Logging_0115/klagomålsmail/A 17348-2025 FSC-klagomål mail.docx", "A 17348-2025")</f>
        <v/>
      </c>
      <c r="X36">
        <f>HYPERLINK("https://klasma.github.io/Logging_0115/tillsyn/A 17348-2025 tillsynsbegäran.docx", "A 17348-2025")</f>
        <v/>
      </c>
      <c r="Y36">
        <f>HYPERLINK("https://klasma.github.io/Logging_0115/tillsynsmail/A 17348-2025 tillsynsbegäran mail.docx", "A 17348-2025")</f>
        <v/>
      </c>
    </row>
    <row r="37" ht="15" customHeight="1">
      <c r="A37" t="inlineStr">
        <is>
          <t>A 63539-2025</t>
        </is>
      </c>
      <c r="B37" s="1" t="n">
        <v>46013.58824074074</v>
      </c>
      <c r="C37" s="1" t="n">
        <v>46078</v>
      </c>
      <c r="D37" t="inlineStr">
        <is>
          <t>STOCKHOLMS LÄN</t>
        </is>
      </c>
      <c r="E37" t="inlineStr">
        <is>
          <t>VALLENTUNA</t>
        </is>
      </c>
      <c r="G37" t="n">
        <v>1.1</v>
      </c>
      <c r="H37" t="n">
        <v>0</v>
      </c>
      <c r="I37" t="n">
        <v>1</v>
      </c>
      <c r="J37" t="n">
        <v>0</v>
      </c>
      <c r="K37" t="n">
        <v>0</v>
      </c>
      <c r="L37" t="n">
        <v>0</v>
      </c>
      <c r="M37" t="n">
        <v>0</v>
      </c>
      <c r="N37" t="n">
        <v>0</v>
      </c>
      <c r="O37" t="n">
        <v>0</v>
      </c>
      <c r="P37" t="n">
        <v>0</v>
      </c>
      <c r="Q37" t="n">
        <v>1</v>
      </c>
      <c r="R37" s="2" t="inlineStr">
        <is>
          <t>Vårärt</t>
        </is>
      </c>
      <c r="S37">
        <f>HYPERLINK("https://klasma.github.io/Logging_0115/artfynd/A 63539-2025 artfynd.xlsx", "A 63539-2025")</f>
        <v/>
      </c>
      <c r="T37">
        <f>HYPERLINK("https://klasma.github.io/Logging_0115/kartor/A 63539-2025 karta.png", "A 63539-2025")</f>
        <v/>
      </c>
      <c r="V37">
        <f>HYPERLINK("https://klasma.github.io/Logging_0115/klagomål/A 63539-2025 FSC-klagomål.docx", "A 63539-2025")</f>
        <v/>
      </c>
      <c r="W37">
        <f>HYPERLINK("https://klasma.github.io/Logging_0115/klagomålsmail/A 63539-2025 FSC-klagomål mail.docx", "A 63539-2025")</f>
        <v/>
      </c>
      <c r="X37">
        <f>HYPERLINK("https://klasma.github.io/Logging_0115/tillsyn/A 63539-2025 tillsynsbegäran.docx", "A 63539-2025")</f>
        <v/>
      </c>
      <c r="Y37">
        <f>HYPERLINK("https://klasma.github.io/Logging_0115/tillsynsmail/A 63539-2025 tillsynsbegäran mail.docx", "A 63539-2025")</f>
        <v/>
      </c>
    </row>
    <row r="38" ht="15" customHeight="1">
      <c r="A38" t="inlineStr">
        <is>
          <t>A 63543-2025</t>
        </is>
      </c>
      <c r="B38" s="1" t="n">
        <v>46013.59207175926</v>
      </c>
      <c r="C38" s="1" t="n">
        <v>46078</v>
      </c>
      <c r="D38" t="inlineStr">
        <is>
          <t>STOCKHOLMS LÄN</t>
        </is>
      </c>
      <c r="E38" t="inlineStr">
        <is>
          <t>VALLENTUNA</t>
        </is>
      </c>
      <c r="G38" t="n">
        <v>3.4</v>
      </c>
      <c r="H38" t="n">
        <v>0</v>
      </c>
      <c r="I38" t="n">
        <v>0</v>
      </c>
      <c r="J38" t="n">
        <v>1</v>
      </c>
      <c r="K38" t="n">
        <v>0</v>
      </c>
      <c r="L38" t="n">
        <v>0</v>
      </c>
      <c r="M38" t="n">
        <v>0</v>
      </c>
      <c r="N38" t="n">
        <v>0</v>
      </c>
      <c r="O38" t="n">
        <v>1</v>
      </c>
      <c r="P38" t="n">
        <v>0</v>
      </c>
      <c r="Q38" t="n">
        <v>1</v>
      </c>
      <c r="R38" s="2" t="inlineStr">
        <is>
          <t>Tallticka</t>
        </is>
      </c>
      <c r="S38">
        <f>HYPERLINK("https://klasma.github.io/Logging_0115/artfynd/A 63543-2025 artfynd.xlsx", "A 63543-2025")</f>
        <v/>
      </c>
      <c r="T38">
        <f>HYPERLINK("https://klasma.github.io/Logging_0115/kartor/A 63543-2025 karta.png", "A 63543-2025")</f>
        <v/>
      </c>
      <c r="V38">
        <f>HYPERLINK("https://klasma.github.io/Logging_0115/klagomål/A 63543-2025 FSC-klagomål.docx", "A 63543-2025")</f>
        <v/>
      </c>
      <c r="W38">
        <f>HYPERLINK("https://klasma.github.io/Logging_0115/klagomålsmail/A 63543-2025 FSC-klagomål mail.docx", "A 63543-2025")</f>
        <v/>
      </c>
      <c r="X38">
        <f>HYPERLINK("https://klasma.github.io/Logging_0115/tillsyn/A 63543-2025 tillsynsbegäran.docx", "A 63543-2025")</f>
        <v/>
      </c>
      <c r="Y38">
        <f>HYPERLINK("https://klasma.github.io/Logging_0115/tillsynsmail/A 63543-2025 tillsynsbegäran mail.docx", "A 63543-2025")</f>
        <v/>
      </c>
    </row>
    <row r="39" ht="15" customHeight="1">
      <c r="A39" t="inlineStr">
        <is>
          <t>A 34458-2023</t>
        </is>
      </c>
      <c r="B39" s="1" t="n">
        <v>45139</v>
      </c>
      <c r="C39" s="1" t="n">
        <v>46078</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21-2022</t>
        </is>
      </c>
      <c r="B40" s="1" t="n">
        <v>44560</v>
      </c>
      <c r="C40" s="1" t="n">
        <v>46078</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17341-2025</t>
        </is>
      </c>
      <c r="B41" s="1" t="n">
        <v>45756</v>
      </c>
      <c r="C41" s="1" t="n">
        <v>46078</v>
      </c>
      <c r="D41" t="inlineStr">
        <is>
          <t>STOCKHOLMS LÄN</t>
        </is>
      </c>
      <c r="E41" t="inlineStr">
        <is>
          <t>VALLENTUNA</t>
        </is>
      </c>
      <c r="F41" t="inlineStr">
        <is>
          <t>Övriga Aktiebolag</t>
        </is>
      </c>
      <c r="G41" t="n">
        <v>5.2</v>
      </c>
      <c r="H41" t="n">
        <v>0</v>
      </c>
      <c r="I41" t="n">
        <v>1</v>
      </c>
      <c r="J41" t="n">
        <v>0</v>
      </c>
      <c r="K41" t="n">
        <v>0</v>
      </c>
      <c r="L41" t="n">
        <v>0</v>
      </c>
      <c r="M41" t="n">
        <v>0</v>
      </c>
      <c r="N41" t="n">
        <v>0</v>
      </c>
      <c r="O41" t="n">
        <v>0</v>
      </c>
      <c r="P41" t="n">
        <v>0</v>
      </c>
      <c r="Q41" t="n">
        <v>1</v>
      </c>
      <c r="R41" s="2" t="inlineStr">
        <is>
          <t>Björksplintborre</t>
        </is>
      </c>
      <c r="S41">
        <f>HYPERLINK("https://klasma.github.io/Logging_0115/artfynd/A 17341-2025 artfynd.xlsx", "A 17341-2025")</f>
        <v/>
      </c>
      <c r="T41">
        <f>HYPERLINK("https://klasma.github.io/Logging_0115/kartor/A 17341-2025 karta.png", "A 17341-2025")</f>
        <v/>
      </c>
      <c r="V41">
        <f>HYPERLINK("https://klasma.github.io/Logging_0115/klagomål/A 17341-2025 FSC-klagomål.docx", "A 17341-2025")</f>
        <v/>
      </c>
      <c r="W41">
        <f>HYPERLINK("https://klasma.github.io/Logging_0115/klagomålsmail/A 17341-2025 FSC-klagomål mail.docx", "A 17341-2025")</f>
        <v/>
      </c>
      <c r="X41">
        <f>HYPERLINK("https://klasma.github.io/Logging_0115/tillsyn/A 17341-2025 tillsynsbegäran.docx", "A 17341-2025")</f>
        <v/>
      </c>
      <c r="Y41">
        <f>HYPERLINK("https://klasma.github.io/Logging_0115/tillsynsmail/A 17341-2025 tillsynsbegäran mail.docx", "A 17341-2025")</f>
        <v/>
      </c>
    </row>
    <row r="42" ht="15" customHeight="1">
      <c r="A42" t="inlineStr">
        <is>
          <t>A 20612-2021</t>
        </is>
      </c>
      <c r="B42" s="1" t="n">
        <v>44315</v>
      </c>
      <c r="C42" s="1" t="n">
        <v>46078</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46078</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46078</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46078</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46078</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46078</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46078</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46078</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46078</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46078</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46078</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46078</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46078</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46078</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46078</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46078</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46078</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46078</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46078</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14489-2024</t>
        </is>
      </c>
      <c r="B61" s="1" t="n">
        <v>45394.58053240741</v>
      </c>
      <c r="C61" s="1" t="n">
        <v>46078</v>
      </c>
      <c r="D61" t="inlineStr">
        <is>
          <t>STOCKHOLMS LÄN</t>
        </is>
      </c>
      <c r="E61" t="inlineStr">
        <is>
          <t>VALLENTUNA</t>
        </is>
      </c>
      <c r="G61" t="n">
        <v>2.3</v>
      </c>
      <c r="H61" t="n">
        <v>0</v>
      </c>
      <c r="I61" t="n">
        <v>0</v>
      </c>
      <c r="J61" t="n">
        <v>0</v>
      </c>
      <c r="K61" t="n">
        <v>0</v>
      </c>
      <c r="L61" t="n">
        <v>0</v>
      </c>
      <c r="M61" t="n">
        <v>0</v>
      </c>
      <c r="N61" t="n">
        <v>0</v>
      </c>
      <c r="O61" t="n">
        <v>0</v>
      </c>
      <c r="P61" t="n">
        <v>0</v>
      </c>
      <c r="Q61" t="n">
        <v>0</v>
      </c>
      <c r="R61" s="2" t="inlineStr"/>
    </row>
    <row r="62" ht="15" customHeight="1">
      <c r="A62" t="inlineStr">
        <is>
          <t>A 15268-2023</t>
        </is>
      </c>
      <c r="B62" s="1" t="n">
        <v>45019.41045138889</v>
      </c>
      <c r="C62" s="1" t="n">
        <v>46078</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61442-2024</t>
        </is>
      </c>
      <c r="B63" s="1" t="n">
        <v>45646.47003472222</v>
      </c>
      <c r="C63" s="1" t="n">
        <v>46078</v>
      </c>
      <c r="D63" t="inlineStr">
        <is>
          <t>STOCKHOLMS LÄN</t>
        </is>
      </c>
      <c r="E63" t="inlineStr">
        <is>
          <t>VALLENTUNA</t>
        </is>
      </c>
      <c r="G63" t="n">
        <v>4.6</v>
      </c>
      <c r="H63" t="n">
        <v>0</v>
      </c>
      <c r="I63" t="n">
        <v>0</v>
      </c>
      <c r="J63" t="n">
        <v>0</v>
      </c>
      <c r="K63" t="n">
        <v>0</v>
      </c>
      <c r="L63" t="n">
        <v>0</v>
      </c>
      <c r="M63" t="n">
        <v>0</v>
      </c>
      <c r="N63" t="n">
        <v>0</v>
      </c>
      <c r="O63" t="n">
        <v>0</v>
      </c>
      <c r="P63" t="n">
        <v>0</v>
      </c>
      <c r="Q63" t="n">
        <v>0</v>
      </c>
      <c r="R63" s="2" t="inlineStr"/>
    </row>
    <row r="64" ht="15" customHeight="1">
      <c r="A64" t="inlineStr">
        <is>
          <t>A 48068-2021</t>
        </is>
      </c>
      <c r="B64" s="1" t="n">
        <v>44449.42270833333</v>
      </c>
      <c r="C64" s="1" t="n">
        <v>46078</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45499-2023</t>
        </is>
      </c>
      <c r="B65" s="1" t="n">
        <v>45194</v>
      </c>
      <c r="C65" s="1" t="n">
        <v>46078</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34452-2021</t>
        </is>
      </c>
      <c r="B66" s="1" t="n">
        <v>44381</v>
      </c>
      <c r="C66" s="1" t="n">
        <v>46078</v>
      </c>
      <c r="D66" t="inlineStr">
        <is>
          <t>STOCKHOLMS LÄN</t>
        </is>
      </c>
      <c r="E66" t="inlineStr">
        <is>
          <t>VALLENTUNA</t>
        </is>
      </c>
      <c r="G66" t="n">
        <v>14.7</v>
      </c>
      <c r="H66" t="n">
        <v>0</v>
      </c>
      <c r="I66" t="n">
        <v>0</v>
      </c>
      <c r="J66" t="n">
        <v>0</v>
      </c>
      <c r="K66" t="n">
        <v>0</v>
      </c>
      <c r="L66" t="n">
        <v>0</v>
      </c>
      <c r="M66" t="n">
        <v>0</v>
      </c>
      <c r="N66" t="n">
        <v>0</v>
      </c>
      <c r="O66" t="n">
        <v>0</v>
      </c>
      <c r="P66" t="n">
        <v>0</v>
      </c>
      <c r="Q66" t="n">
        <v>0</v>
      </c>
      <c r="R66" s="2" t="inlineStr"/>
    </row>
    <row r="67" ht="15" customHeight="1">
      <c r="A67" t="inlineStr">
        <is>
          <t>A 20791-2025</t>
        </is>
      </c>
      <c r="B67" s="1" t="n">
        <v>45776.62738425926</v>
      </c>
      <c r="C67" s="1" t="n">
        <v>46078</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10073-2024</t>
        </is>
      </c>
      <c r="B68" s="1" t="n">
        <v>45364.40821759259</v>
      </c>
      <c r="C68" s="1" t="n">
        <v>46078</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12621-2024</t>
        </is>
      </c>
      <c r="B69" s="1" t="n">
        <v>45383.6325</v>
      </c>
      <c r="C69" s="1" t="n">
        <v>46078</v>
      </c>
      <c r="D69" t="inlineStr">
        <is>
          <t>STOCKHOLMS LÄN</t>
        </is>
      </c>
      <c r="E69" t="inlineStr">
        <is>
          <t>VALLENTUNA</t>
        </is>
      </c>
      <c r="G69" t="n">
        <v>4.4</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46078</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48014-2025</t>
        </is>
      </c>
      <c r="B71" s="1" t="n">
        <v>45932.64520833334</v>
      </c>
      <c r="C71" s="1" t="n">
        <v>46078</v>
      </c>
      <c r="D71" t="inlineStr">
        <is>
          <t>STOCKHOLMS LÄN</t>
        </is>
      </c>
      <c r="E71" t="inlineStr">
        <is>
          <t>VALLENTUNA</t>
        </is>
      </c>
      <c r="G71" t="n">
        <v>0.6</v>
      </c>
      <c r="H71" t="n">
        <v>0</v>
      </c>
      <c r="I71" t="n">
        <v>0</v>
      </c>
      <c r="J71" t="n">
        <v>0</v>
      </c>
      <c r="K71" t="n">
        <v>0</v>
      </c>
      <c r="L71" t="n">
        <v>0</v>
      </c>
      <c r="M71" t="n">
        <v>0</v>
      </c>
      <c r="N71" t="n">
        <v>0</v>
      </c>
      <c r="O71" t="n">
        <v>0</v>
      </c>
      <c r="P71" t="n">
        <v>0</v>
      </c>
      <c r="Q71" t="n">
        <v>0</v>
      </c>
      <c r="R71" s="2" t="inlineStr"/>
    </row>
    <row r="72" ht="15" customHeight="1">
      <c r="A72" t="inlineStr">
        <is>
          <t>A 48038-2025</t>
        </is>
      </c>
      <c r="B72" s="1" t="n">
        <v>45932.66008101852</v>
      </c>
      <c r="C72" s="1" t="n">
        <v>46078</v>
      </c>
      <c r="D72" t="inlineStr">
        <is>
          <t>STOCKHOLMS LÄN</t>
        </is>
      </c>
      <c r="E72" t="inlineStr">
        <is>
          <t>VALLENTUNA</t>
        </is>
      </c>
      <c r="G72" t="n">
        <v>0.5</v>
      </c>
      <c r="H72" t="n">
        <v>0</v>
      </c>
      <c r="I72" t="n">
        <v>0</v>
      </c>
      <c r="J72" t="n">
        <v>0</v>
      </c>
      <c r="K72" t="n">
        <v>0</v>
      </c>
      <c r="L72" t="n">
        <v>0</v>
      </c>
      <c r="M72" t="n">
        <v>0</v>
      </c>
      <c r="N72" t="n">
        <v>0</v>
      </c>
      <c r="O72" t="n">
        <v>0</v>
      </c>
      <c r="P72" t="n">
        <v>0</v>
      </c>
      <c r="Q72" t="n">
        <v>0</v>
      </c>
      <c r="R72" s="2" t="inlineStr"/>
    </row>
    <row r="73" ht="15" customHeight="1">
      <c r="A73" t="inlineStr">
        <is>
          <t>A 26390-2023</t>
        </is>
      </c>
      <c r="B73" s="1" t="n">
        <v>45086</v>
      </c>
      <c r="C73" s="1" t="n">
        <v>46078</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46381-2023</t>
        </is>
      </c>
      <c r="B74" s="1" t="n">
        <v>45193</v>
      </c>
      <c r="C74" s="1" t="n">
        <v>46078</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23009-2024</t>
        </is>
      </c>
      <c r="B75" s="1" t="n">
        <v>45450.34506944445</v>
      </c>
      <c r="C75" s="1" t="n">
        <v>46078</v>
      </c>
      <c r="D75" t="inlineStr">
        <is>
          <t>STOCKHOLMS LÄN</t>
        </is>
      </c>
      <c r="E75" t="inlineStr">
        <is>
          <t>VALLENTUNA</t>
        </is>
      </c>
      <c r="G75" t="n">
        <v>1.4</v>
      </c>
      <c r="H75" t="n">
        <v>0</v>
      </c>
      <c r="I75" t="n">
        <v>0</v>
      </c>
      <c r="J75" t="n">
        <v>0</v>
      </c>
      <c r="K75" t="n">
        <v>0</v>
      </c>
      <c r="L75" t="n">
        <v>0</v>
      </c>
      <c r="M75" t="n">
        <v>0</v>
      </c>
      <c r="N75" t="n">
        <v>0</v>
      </c>
      <c r="O75" t="n">
        <v>0</v>
      </c>
      <c r="P75" t="n">
        <v>0</v>
      </c>
      <c r="Q75" t="n">
        <v>0</v>
      </c>
      <c r="R75" s="2" t="inlineStr"/>
    </row>
    <row r="76" ht="15" customHeight="1">
      <c r="A76" t="inlineStr">
        <is>
          <t>A 61027-2023</t>
        </is>
      </c>
      <c r="B76" s="1" t="n">
        <v>45261</v>
      </c>
      <c r="C76" s="1" t="n">
        <v>46078</v>
      </c>
      <c r="D76" t="inlineStr">
        <is>
          <t>STOCKHOLMS LÄN</t>
        </is>
      </c>
      <c r="E76" t="inlineStr">
        <is>
          <t>VALLENTUNA</t>
        </is>
      </c>
      <c r="G76" t="n">
        <v>7.1</v>
      </c>
      <c r="H76" t="n">
        <v>0</v>
      </c>
      <c r="I76" t="n">
        <v>0</v>
      </c>
      <c r="J76" t="n">
        <v>0</v>
      </c>
      <c r="K76" t="n">
        <v>0</v>
      </c>
      <c r="L76" t="n">
        <v>0</v>
      </c>
      <c r="M76" t="n">
        <v>0</v>
      </c>
      <c r="N76" t="n">
        <v>0</v>
      </c>
      <c r="O76" t="n">
        <v>0</v>
      </c>
      <c r="P76" t="n">
        <v>0</v>
      </c>
      <c r="Q76" t="n">
        <v>0</v>
      </c>
      <c r="R76" s="2" t="inlineStr"/>
    </row>
    <row r="77" ht="15" customHeight="1">
      <c r="A77" t="inlineStr">
        <is>
          <t>A 41206-2025</t>
        </is>
      </c>
      <c r="B77" s="1" t="n">
        <v>45898</v>
      </c>
      <c r="C77" s="1" t="n">
        <v>46078</v>
      </c>
      <c r="D77" t="inlineStr">
        <is>
          <t>STOCKHOLMS LÄN</t>
        </is>
      </c>
      <c r="E77" t="inlineStr">
        <is>
          <t>VALLENTUNA</t>
        </is>
      </c>
      <c r="G77" t="n">
        <v>10</v>
      </c>
      <c r="H77" t="n">
        <v>0</v>
      </c>
      <c r="I77" t="n">
        <v>0</v>
      </c>
      <c r="J77" t="n">
        <v>0</v>
      </c>
      <c r="K77" t="n">
        <v>0</v>
      </c>
      <c r="L77" t="n">
        <v>0</v>
      </c>
      <c r="M77" t="n">
        <v>0</v>
      </c>
      <c r="N77" t="n">
        <v>0</v>
      </c>
      <c r="O77" t="n">
        <v>0</v>
      </c>
      <c r="P77" t="n">
        <v>0</v>
      </c>
      <c r="Q77" t="n">
        <v>0</v>
      </c>
      <c r="R77" s="2" t="inlineStr"/>
    </row>
    <row r="78" ht="15" customHeight="1">
      <c r="A78" t="inlineStr">
        <is>
          <t>A 23923-2025</t>
        </is>
      </c>
      <c r="B78" s="1" t="n">
        <v>45795.39648148148</v>
      </c>
      <c r="C78" s="1" t="n">
        <v>46078</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15300-2023</t>
        </is>
      </c>
      <c r="B79" s="1" t="n">
        <v>45019</v>
      </c>
      <c r="C79" s="1" t="n">
        <v>46078</v>
      </c>
      <c r="D79" t="inlineStr">
        <is>
          <t>STOCKHOLMS LÄN</t>
        </is>
      </c>
      <c r="E79" t="inlineStr">
        <is>
          <t>VALLENTUNA</t>
        </is>
      </c>
      <c r="G79" t="n">
        <v>1.7</v>
      </c>
      <c r="H79" t="n">
        <v>0</v>
      </c>
      <c r="I79" t="n">
        <v>0</v>
      </c>
      <c r="J79" t="n">
        <v>0</v>
      </c>
      <c r="K79" t="n">
        <v>0</v>
      </c>
      <c r="L79" t="n">
        <v>0</v>
      </c>
      <c r="M79" t="n">
        <v>0</v>
      </c>
      <c r="N79" t="n">
        <v>0</v>
      </c>
      <c r="O79" t="n">
        <v>0</v>
      </c>
      <c r="P79" t="n">
        <v>0</v>
      </c>
      <c r="Q79" t="n">
        <v>0</v>
      </c>
      <c r="R79" s="2" t="inlineStr"/>
    </row>
    <row r="80" ht="15" customHeight="1">
      <c r="A80" t="inlineStr">
        <is>
          <t>A 25984-2025</t>
        </is>
      </c>
      <c r="B80" s="1" t="n">
        <v>45804.64016203704</v>
      </c>
      <c r="C80" s="1" t="n">
        <v>46078</v>
      </c>
      <c r="D80" t="inlineStr">
        <is>
          <t>STOCKHOLMS LÄN</t>
        </is>
      </c>
      <c r="E80" t="inlineStr">
        <is>
          <t>VALLENTUNA</t>
        </is>
      </c>
      <c r="G80" t="n">
        <v>2.5</v>
      </c>
      <c r="H80" t="n">
        <v>0</v>
      </c>
      <c r="I80" t="n">
        <v>0</v>
      </c>
      <c r="J80" t="n">
        <v>0</v>
      </c>
      <c r="K80" t="n">
        <v>0</v>
      </c>
      <c r="L80" t="n">
        <v>0</v>
      </c>
      <c r="M80" t="n">
        <v>0</v>
      </c>
      <c r="N80" t="n">
        <v>0</v>
      </c>
      <c r="O80" t="n">
        <v>0</v>
      </c>
      <c r="P80" t="n">
        <v>0</v>
      </c>
      <c r="Q80" t="n">
        <v>0</v>
      </c>
      <c r="R80" s="2" t="inlineStr"/>
    </row>
    <row r="81" ht="15" customHeight="1">
      <c r="A81" t="inlineStr">
        <is>
          <t>A 44988-2025</t>
        </is>
      </c>
      <c r="B81" s="1" t="n">
        <v>45918.65505787037</v>
      </c>
      <c r="C81" s="1" t="n">
        <v>46078</v>
      </c>
      <c r="D81" t="inlineStr">
        <is>
          <t>STOCKHOLMS LÄN</t>
        </is>
      </c>
      <c r="E81" t="inlineStr">
        <is>
          <t>VALLENTUNA</t>
        </is>
      </c>
      <c r="G81" t="n">
        <v>1</v>
      </c>
      <c r="H81" t="n">
        <v>0</v>
      </c>
      <c r="I81" t="n">
        <v>0</v>
      </c>
      <c r="J81" t="n">
        <v>0</v>
      </c>
      <c r="K81" t="n">
        <v>0</v>
      </c>
      <c r="L81" t="n">
        <v>0</v>
      </c>
      <c r="M81" t="n">
        <v>0</v>
      </c>
      <c r="N81" t="n">
        <v>0</v>
      </c>
      <c r="O81" t="n">
        <v>0</v>
      </c>
      <c r="P81" t="n">
        <v>0</v>
      </c>
      <c r="Q81" t="n">
        <v>0</v>
      </c>
      <c r="R81" s="2" t="inlineStr"/>
    </row>
    <row r="82" ht="15" customHeight="1">
      <c r="A82" t="inlineStr">
        <is>
          <t>A 61742-2022</t>
        </is>
      </c>
      <c r="B82" s="1" t="n">
        <v>44917</v>
      </c>
      <c r="C82" s="1" t="n">
        <v>46078</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46078</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14480-2024</t>
        </is>
      </c>
      <c r="B84" s="1" t="n">
        <v>45394.56777777777</v>
      </c>
      <c r="C84" s="1" t="n">
        <v>46078</v>
      </c>
      <c r="D84" t="inlineStr">
        <is>
          <t>STOCKHOLMS LÄN</t>
        </is>
      </c>
      <c r="E84" t="inlineStr">
        <is>
          <t>VALLENTUNA</t>
        </is>
      </c>
      <c r="G84" t="n">
        <v>1.8</v>
      </c>
      <c r="H84" t="n">
        <v>0</v>
      </c>
      <c r="I84" t="n">
        <v>0</v>
      </c>
      <c r="J84" t="n">
        <v>0</v>
      </c>
      <c r="K84" t="n">
        <v>0</v>
      </c>
      <c r="L84" t="n">
        <v>0</v>
      </c>
      <c r="M84" t="n">
        <v>0</v>
      </c>
      <c r="N84" t="n">
        <v>0</v>
      </c>
      <c r="O84" t="n">
        <v>0</v>
      </c>
      <c r="P84" t="n">
        <v>0</v>
      </c>
      <c r="Q84" t="n">
        <v>0</v>
      </c>
      <c r="R84" s="2" t="inlineStr"/>
    </row>
    <row r="85" ht="15" customHeight="1">
      <c r="A85" t="inlineStr">
        <is>
          <t>A 17340-2025</t>
        </is>
      </c>
      <c r="B85" s="1" t="n">
        <v>45756</v>
      </c>
      <c r="C85" s="1" t="n">
        <v>46078</v>
      </c>
      <c r="D85" t="inlineStr">
        <is>
          <t>STOCKHOLMS LÄN</t>
        </is>
      </c>
      <c r="E85" t="inlineStr">
        <is>
          <t>VALLENTUNA</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30913-2021</t>
        </is>
      </c>
      <c r="B86" s="1" t="n">
        <v>44365</v>
      </c>
      <c r="C86" s="1" t="n">
        <v>46078</v>
      </c>
      <c r="D86" t="inlineStr">
        <is>
          <t>STOCKHOLMS LÄN</t>
        </is>
      </c>
      <c r="E86" t="inlineStr">
        <is>
          <t>VALLENTUNA</t>
        </is>
      </c>
      <c r="F86" t="inlineStr">
        <is>
          <t>Övriga Aktiebolag</t>
        </is>
      </c>
      <c r="G86" t="n">
        <v>3.3</v>
      </c>
      <c r="H86" t="n">
        <v>0</v>
      </c>
      <c r="I86" t="n">
        <v>0</v>
      </c>
      <c r="J86" t="n">
        <v>0</v>
      </c>
      <c r="K86" t="n">
        <v>0</v>
      </c>
      <c r="L86" t="n">
        <v>0</v>
      </c>
      <c r="M86" t="n">
        <v>0</v>
      </c>
      <c r="N86" t="n">
        <v>0</v>
      </c>
      <c r="O86" t="n">
        <v>0</v>
      </c>
      <c r="P86" t="n">
        <v>0</v>
      </c>
      <c r="Q86" t="n">
        <v>0</v>
      </c>
      <c r="R86" s="2" t="inlineStr"/>
    </row>
    <row r="87" ht="15" customHeight="1">
      <c r="A87" t="inlineStr">
        <is>
          <t>A 45496-2023</t>
        </is>
      </c>
      <c r="B87" s="1" t="n">
        <v>45194</v>
      </c>
      <c r="C87" s="1" t="n">
        <v>46078</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30902-2025</t>
        </is>
      </c>
      <c r="B88" s="1" t="n">
        <v>45832.36104166666</v>
      </c>
      <c r="C88" s="1" t="n">
        <v>46078</v>
      </c>
      <c r="D88" t="inlineStr">
        <is>
          <t>STOCKHOLMS LÄN</t>
        </is>
      </c>
      <c r="E88" t="inlineStr">
        <is>
          <t>VALLENTUNA</t>
        </is>
      </c>
      <c r="G88" t="n">
        <v>8.199999999999999</v>
      </c>
      <c r="H88" t="n">
        <v>0</v>
      </c>
      <c r="I88" t="n">
        <v>0</v>
      </c>
      <c r="J88" t="n">
        <v>0</v>
      </c>
      <c r="K88" t="n">
        <v>0</v>
      </c>
      <c r="L88" t="n">
        <v>0</v>
      </c>
      <c r="M88" t="n">
        <v>0</v>
      </c>
      <c r="N88" t="n">
        <v>0</v>
      </c>
      <c r="O88" t="n">
        <v>0</v>
      </c>
      <c r="P88" t="n">
        <v>0</v>
      </c>
      <c r="Q88" t="n">
        <v>0</v>
      </c>
      <c r="R88" s="2" t="inlineStr"/>
    </row>
    <row r="89" ht="15" customHeight="1">
      <c r="A89" t="inlineStr">
        <is>
          <t>A 29704-2023</t>
        </is>
      </c>
      <c r="B89" s="1" t="n">
        <v>45107</v>
      </c>
      <c r="C89" s="1" t="n">
        <v>46078</v>
      </c>
      <c r="D89" t="inlineStr">
        <is>
          <t>STOCKHOLMS LÄN</t>
        </is>
      </c>
      <c r="E89" t="inlineStr">
        <is>
          <t>VALLENTUNA</t>
        </is>
      </c>
      <c r="G89" t="n">
        <v>3.7</v>
      </c>
      <c r="H89" t="n">
        <v>0</v>
      </c>
      <c r="I89" t="n">
        <v>0</v>
      </c>
      <c r="J89" t="n">
        <v>0</v>
      </c>
      <c r="K89" t="n">
        <v>0</v>
      </c>
      <c r="L89" t="n">
        <v>0</v>
      </c>
      <c r="M89" t="n">
        <v>0</v>
      </c>
      <c r="N89" t="n">
        <v>0</v>
      </c>
      <c r="O89" t="n">
        <v>0</v>
      </c>
      <c r="P89" t="n">
        <v>0</v>
      </c>
      <c r="Q89" t="n">
        <v>0</v>
      </c>
      <c r="R89" s="2" t="inlineStr"/>
    </row>
    <row r="90" ht="15" customHeight="1">
      <c r="A90" t="inlineStr">
        <is>
          <t>A 50784-2025</t>
        </is>
      </c>
      <c r="B90" s="1" t="n">
        <v>45946</v>
      </c>
      <c r="C90" s="1" t="n">
        <v>46078</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28431-2025</t>
        </is>
      </c>
      <c r="B91" s="1" t="n">
        <v>45819.38072916667</v>
      </c>
      <c r="C91" s="1" t="n">
        <v>46078</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12609-2024</t>
        </is>
      </c>
      <c r="B92" s="1" t="n">
        <v>45382.8109375</v>
      </c>
      <c r="C92" s="1" t="n">
        <v>46078</v>
      </c>
      <c r="D92" t="inlineStr">
        <is>
          <t>STOCKHOLMS LÄN</t>
        </is>
      </c>
      <c r="E92" t="inlineStr">
        <is>
          <t>VALLENTUNA</t>
        </is>
      </c>
      <c r="G92" t="n">
        <v>0.9</v>
      </c>
      <c r="H92" t="n">
        <v>0</v>
      </c>
      <c r="I92" t="n">
        <v>0</v>
      </c>
      <c r="J92" t="n">
        <v>0</v>
      </c>
      <c r="K92" t="n">
        <v>0</v>
      </c>
      <c r="L92" t="n">
        <v>0</v>
      </c>
      <c r="M92" t="n">
        <v>0</v>
      </c>
      <c r="N92" t="n">
        <v>0</v>
      </c>
      <c r="O92" t="n">
        <v>0</v>
      </c>
      <c r="P92" t="n">
        <v>0</v>
      </c>
      <c r="Q92" t="n">
        <v>0</v>
      </c>
      <c r="R92" s="2" t="inlineStr"/>
    </row>
    <row r="93" ht="15" customHeight="1">
      <c r="A93" t="inlineStr">
        <is>
          <t>A 13836-2022</t>
        </is>
      </c>
      <c r="B93" s="1" t="n">
        <v>44649</v>
      </c>
      <c r="C93" s="1" t="n">
        <v>46078</v>
      </c>
      <c r="D93" t="inlineStr">
        <is>
          <t>STOCKHOLMS LÄN</t>
        </is>
      </c>
      <c r="E93" t="inlineStr">
        <is>
          <t>VALLENTUNA</t>
        </is>
      </c>
      <c r="G93" t="n">
        <v>3.5</v>
      </c>
      <c r="H93" t="n">
        <v>0</v>
      </c>
      <c r="I93" t="n">
        <v>0</v>
      </c>
      <c r="J93" t="n">
        <v>0</v>
      </c>
      <c r="K93" t="n">
        <v>0</v>
      </c>
      <c r="L93" t="n">
        <v>0</v>
      </c>
      <c r="M93" t="n">
        <v>0</v>
      </c>
      <c r="N93" t="n">
        <v>0</v>
      </c>
      <c r="O93" t="n">
        <v>0</v>
      </c>
      <c r="P93" t="n">
        <v>0</v>
      </c>
      <c r="Q93" t="n">
        <v>0</v>
      </c>
      <c r="R93" s="2" t="inlineStr"/>
    </row>
    <row r="94" ht="15" customHeight="1">
      <c r="A94" t="inlineStr">
        <is>
          <t>A 4804-2024</t>
        </is>
      </c>
      <c r="B94" s="1" t="n">
        <v>45328</v>
      </c>
      <c r="C94" s="1" t="n">
        <v>46078</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24707-2023</t>
        </is>
      </c>
      <c r="B95" s="1" t="n">
        <v>45084</v>
      </c>
      <c r="C95" s="1" t="n">
        <v>46078</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27868-2025</t>
        </is>
      </c>
      <c r="B96" s="1" t="n">
        <v>45817</v>
      </c>
      <c r="C96" s="1" t="n">
        <v>46078</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44346-2021</t>
        </is>
      </c>
      <c r="B97" s="1" t="n">
        <v>44434</v>
      </c>
      <c r="C97" s="1" t="n">
        <v>46078</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54460-2025</t>
        </is>
      </c>
      <c r="B98" s="1" t="n">
        <v>45965.56219907408</v>
      </c>
      <c r="C98" s="1" t="n">
        <v>46078</v>
      </c>
      <c r="D98" t="inlineStr">
        <is>
          <t>STOCKHOLMS LÄN</t>
        </is>
      </c>
      <c r="E98" t="inlineStr">
        <is>
          <t>VALLENTUNA</t>
        </is>
      </c>
      <c r="G98" t="n">
        <v>22.9</v>
      </c>
      <c r="H98" t="n">
        <v>0</v>
      </c>
      <c r="I98" t="n">
        <v>0</v>
      </c>
      <c r="J98" t="n">
        <v>0</v>
      </c>
      <c r="K98" t="n">
        <v>0</v>
      </c>
      <c r="L98" t="n">
        <v>0</v>
      </c>
      <c r="M98" t="n">
        <v>0</v>
      </c>
      <c r="N98" t="n">
        <v>0</v>
      </c>
      <c r="O98" t="n">
        <v>0</v>
      </c>
      <c r="P98" t="n">
        <v>0</v>
      </c>
      <c r="Q98" t="n">
        <v>0</v>
      </c>
      <c r="R98" s="2" t="inlineStr"/>
    </row>
    <row r="99" ht="15" customHeight="1">
      <c r="A99" t="inlineStr">
        <is>
          <t>A 54466-2025</t>
        </is>
      </c>
      <c r="B99" s="1" t="n">
        <v>45965.56984953704</v>
      </c>
      <c r="C99" s="1" t="n">
        <v>46078</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5910-2022</t>
        </is>
      </c>
      <c r="B100" s="1" t="n">
        <v>44597</v>
      </c>
      <c r="C100" s="1" t="n">
        <v>46078</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46078</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60795-2023</t>
        </is>
      </c>
      <c r="B102" s="1" t="n">
        <v>45260</v>
      </c>
      <c r="C102" s="1" t="n">
        <v>46078</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60997-2022</t>
        </is>
      </c>
      <c r="B103" s="1" t="n">
        <v>44914.70746527778</v>
      </c>
      <c r="C103" s="1" t="n">
        <v>46078</v>
      </c>
      <c r="D103" t="inlineStr">
        <is>
          <t>STOCKHOLMS LÄN</t>
        </is>
      </c>
      <c r="E103" t="inlineStr">
        <is>
          <t>VALLENTUNA</t>
        </is>
      </c>
      <c r="G103" t="n">
        <v>1.8</v>
      </c>
      <c r="H103" t="n">
        <v>0</v>
      </c>
      <c r="I103" t="n">
        <v>0</v>
      </c>
      <c r="J103" t="n">
        <v>0</v>
      </c>
      <c r="K103" t="n">
        <v>0</v>
      </c>
      <c r="L103" t="n">
        <v>0</v>
      </c>
      <c r="M103" t="n">
        <v>0</v>
      </c>
      <c r="N103" t="n">
        <v>0</v>
      </c>
      <c r="O103" t="n">
        <v>0</v>
      </c>
      <c r="P103" t="n">
        <v>0</v>
      </c>
      <c r="Q103" t="n">
        <v>0</v>
      </c>
      <c r="R103" s="2" t="inlineStr"/>
    </row>
    <row r="104" ht="15" customHeight="1">
      <c r="A104" t="inlineStr">
        <is>
          <t>A 14775-2024</t>
        </is>
      </c>
      <c r="B104" s="1" t="n">
        <v>45397.73675925926</v>
      </c>
      <c r="C104" s="1" t="n">
        <v>46078</v>
      </c>
      <c r="D104" t="inlineStr">
        <is>
          <t>STOCKHOLMS LÄN</t>
        </is>
      </c>
      <c r="E104" t="inlineStr">
        <is>
          <t>VALLENTUNA</t>
        </is>
      </c>
      <c r="G104" t="n">
        <v>1.7</v>
      </c>
      <c r="H104" t="n">
        <v>0</v>
      </c>
      <c r="I104" t="n">
        <v>0</v>
      </c>
      <c r="J104" t="n">
        <v>0</v>
      </c>
      <c r="K104" t="n">
        <v>0</v>
      </c>
      <c r="L104" t="n">
        <v>0</v>
      </c>
      <c r="M104" t="n">
        <v>0</v>
      </c>
      <c r="N104" t="n">
        <v>0</v>
      </c>
      <c r="O104" t="n">
        <v>0</v>
      </c>
      <c r="P104" t="n">
        <v>0</v>
      </c>
      <c r="Q104" t="n">
        <v>0</v>
      </c>
      <c r="R104" s="2" t="inlineStr"/>
    </row>
    <row r="105" ht="15" customHeight="1">
      <c r="A105" t="inlineStr">
        <is>
          <t>A 8565-2025</t>
        </is>
      </c>
      <c r="B105" s="1" t="n">
        <v>45709</v>
      </c>
      <c r="C105" s="1" t="n">
        <v>46078</v>
      </c>
      <c r="D105" t="inlineStr">
        <is>
          <t>STOCKHOLMS LÄN</t>
        </is>
      </c>
      <c r="E105" t="inlineStr">
        <is>
          <t>VALLENTUNA</t>
        </is>
      </c>
      <c r="F105" t="inlineStr">
        <is>
          <t>Kommuner</t>
        </is>
      </c>
      <c r="G105" t="n">
        <v>4.2</v>
      </c>
      <c r="H105" t="n">
        <v>0</v>
      </c>
      <c r="I105" t="n">
        <v>0</v>
      </c>
      <c r="J105" t="n">
        <v>0</v>
      </c>
      <c r="K105" t="n">
        <v>0</v>
      </c>
      <c r="L105" t="n">
        <v>0</v>
      </c>
      <c r="M105" t="n">
        <v>0</v>
      </c>
      <c r="N105" t="n">
        <v>0</v>
      </c>
      <c r="O105" t="n">
        <v>0</v>
      </c>
      <c r="P105" t="n">
        <v>0</v>
      </c>
      <c r="Q105" t="n">
        <v>0</v>
      </c>
      <c r="R105" s="2" t="inlineStr"/>
    </row>
    <row r="106" ht="15" customHeight="1">
      <c r="A106" t="inlineStr">
        <is>
          <t>A 8787-2024</t>
        </is>
      </c>
      <c r="B106" s="1" t="n">
        <v>45356</v>
      </c>
      <c r="C106" s="1" t="n">
        <v>46078</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14782-2024</t>
        </is>
      </c>
      <c r="B107" s="1" t="n">
        <v>45397.74266203704</v>
      </c>
      <c r="C107" s="1" t="n">
        <v>46078</v>
      </c>
      <c r="D107" t="inlineStr">
        <is>
          <t>STOCKHOLMS LÄN</t>
        </is>
      </c>
      <c r="E107" t="inlineStr">
        <is>
          <t>VALLENTUNA</t>
        </is>
      </c>
      <c r="G107" t="n">
        <v>3.1</v>
      </c>
      <c r="H107" t="n">
        <v>0</v>
      </c>
      <c r="I107" t="n">
        <v>0</v>
      </c>
      <c r="J107" t="n">
        <v>0</v>
      </c>
      <c r="K107" t="n">
        <v>0</v>
      </c>
      <c r="L107" t="n">
        <v>0</v>
      </c>
      <c r="M107" t="n">
        <v>0</v>
      </c>
      <c r="N107" t="n">
        <v>0</v>
      </c>
      <c r="O107" t="n">
        <v>0</v>
      </c>
      <c r="P107" t="n">
        <v>0</v>
      </c>
      <c r="Q107" t="n">
        <v>0</v>
      </c>
      <c r="R107" s="2" t="inlineStr"/>
    </row>
    <row r="108" ht="15" customHeight="1">
      <c r="A108" t="inlineStr">
        <is>
          <t>A 52562-2023</t>
        </is>
      </c>
      <c r="B108" s="1" t="n">
        <v>45225</v>
      </c>
      <c r="C108" s="1" t="n">
        <v>46078</v>
      </c>
      <c r="D108" t="inlineStr">
        <is>
          <t>STOCKHOLMS LÄN</t>
        </is>
      </c>
      <c r="E108" t="inlineStr">
        <is>
          <t>VALLENTUNA</t>
        </is>
      </c>
      <c r="G108" t="n">
        <v>3.4</v>
      </c>
      <c r="H108" t="n">
        <v>0</v>
      </c>
      <c r="I108" t="n">
        <v>0</v>
      </c>
      <c r="J108" t="n">
        <v>0</v>
      </c>
      <c r="K108" t="n">
        <v>0</v>
      </c>
      <c r="L108" t="n">
        <v>0</v>
      </c>
      <c r="M108" t="n">
        <v>0</v>
      </c>
      <c r="N108" t="n">
        <v>0</v>
      </c>
      <c r="O108" t="n">
        <v>0</v>
      </c>
      <c r="P108" t="n">
        <v>0</v>
      </c>
      <c r="Q108" t="n">
        <v>0</v>
      </c>
      <c r="R108" s="2" t="inlineStr"/>
    </row>
    <row r="109" ht="15" customHeight="1">
      <c r="A109" t="inlineStr">
        <is>
          <t>A 49530-2023</t>
        </is>
      </c>
      <c r="B109" s="1" t="n">
        <v>45205</v>
      </c>
      <c r="C109" s="1" t="n">
        <v>46078</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52542-2023</t>
        </is>
      </c>
      <c r="B110" s="1" t="n">
        <v>45225</v>
      </c>
      <c r="C110" s="1" t="n">
        <v>46078</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2318-2024</t>
        </is>
      </c>
      <c r="B111" s="1" t="n">
        <v>45310</v>
      </c>
      <c r="C111" s="1" t="n">
        <v>46078</v>
      </c>
      <c r="D111" t="inlineStr">
        <is>
          <t>STOCKHOLMS LÄN</t>
        </is>
      </c>
      <c r="E111" t="inlineStr">
        <is>
          <t>VALLENTUNA</t>
        </is>
      </c>
      <c r="G111" t="n">
        <v>2.2</v>
      </c>
      <c r="H111" t="n">
        <v>0</v>
      </c>
      <c r="I111" t="n">
        <v>0</v>
      </c>
      <c r="J111" t="n">
        <v>0</v>
      </c>
      <c r="K111" t="n">
        <v>0</v>
      </c>
      <c r="L111" t="n">
        <v>0</v>
      </c>
      <c r="M111" t="n">
        <v>0</v>
      </c>
      <c r="N111" t="n">
        <v>0</v>
      </c>
      <c r="O111" t="n">
        <v>0</v>
      </c>
      <c r="P111" t="n">
        <v>0</v>
      </c>
      <c r="Q111" t="n">
        <v>0</v>
      </c>
      <c r="R111" s="2" t="inlineStr"/>
    </row>
    <row r="112" ht="15" customHeight="1">
      <c r="A112" t="inlineStr">
        <is>
          <t>A 27870-2025</t>
        </is>
      </c>
      <c r="B112" s="1" t="n">
        <v>45817</v>
      </c>
      <c r="C112" s="1" t="n">
        <v>46078</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9063-2024</t>
        </is>
      </c>
      <c r="B113" s="1" t="n">
        <v>45357.72652777778</v>
      </c>
      <c r="C113" s="1" t="n">
        <v>46078</v>
      </c>
      <c r="D113" t="inlineStr">
        <is>
          <t>STOCKHOLMS LÄN</t>
        </is>
      </c>
      <c r="E113" t="inlineStr">
        <is>
          <t>VALLENTUNA</t>
        </is>
      </c>
      <c r="G113" t="n">
        <v>4.1</v>
      </c>
      <c r="H113" t="n">
        <v>0</v>
      </c>
      <c r="I113" t="n">
        <v>0</v>
      </c>
      <c r="J113" t="n">
        <v>0</v>
      </c>
      <c r="K113" t="n">
        <v>0</v>
      </c>
      <c r="L113" t="n">
        <v>0</v>
      </c>
      <c r="M113" t="n">
        <v>0</v>
      </c>
      <c r="N113" t="n">
        <v>0</v>
      </c>
      <c r="O113" t="n">
        <v>0</v>
      </c>
      <c r="P113" t="n">
        <v>0</v>
      </c>
      <c r="Q113" t="n">
        <v>0</v>
      </c>
      <c r="R113" s="2" t="inlineStr"/>
    </row>
    <row r="114" ht="15" customHeight="1">
      <c r="A114" t="inlineStr">
        <is>
          <t>A 21445-2023</t>
        </is>
      </c>
      <c r="B114" s="1" t="n">
        <v>45063</v>
      </c>
      <c r="C114" s="1" t="n">
        <v>46078</v>
      </c>
      <c r="D114" t="inlineStr">
        <is>
          <t>STOCKHOLMS LÄN</t>
        </is>
      </c>
      <c r="E114" t="inlineStr">
        <is>
          <t>VALLENTUNA</t>
        </is>
      </c>
      <c r="G114" t="n">
        <v>3.1</v>
      </c>
      <c r="H114" t="n">
        <v>0</v>
      </c>
      <c r="I114" t="n">
        <v>0</v>
      </c>
      <c r="J114" t="n">
        <v>0</v>
      </c>
      <c r="K114" t="n">
        <v>0</v>
      </c>
      <c r="L114" t="n">
        <v>0</v>
      </c>
      <c r="M114" t="n">
        <v>0</v>
      </c>
      <c r="N114" t="n">
        <v>0</v>
      </c>
      <c r="O114" t="n">
        <v>0</v>
      </c>
      <c r="P114" t="n">
        <v>0</v>
      </c>
      <c r="Q114" t="n">
        <v>0</v>
      </c>
      <c r="R114" s="2" t="inlineStr"/>
    </row>
    <row r="115" ht="15" customHeight="1">
      <c r="A115" t="inlineStr">
        <is>
          <t>A 34441-2023</t>
        </is>
      </c>
      <c r="B115" s="1" t="n">
        <v>45139</v>
      </c>
      <c r="C115" s="1" t="n">
        <v>46078</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34445-2023</t>
        </is>
      </c>
      <c r="B116" s="1" t="n">
        <v>45139</v>
      </c>
      <c r="C116" s="1" t="n">
        <v>46078</v>
      </c>
      <c r="D116" t="inlineStr">
        <is>
          <t>STOCKHOLMS LÄN</t>
        </is>
      </c>
      <c r="E116" t="inlineStr">
        <is>
          <t>VALLENTUNA</t>
        </is>
      </c>
      <c r="G116" t="n">
        <v>0.9</v>
      </c>
      <c r="H116" t="n">
        <v>0</v>
      </c>
      <c r="I116" t="n">
        <v>0</v>
      </c>
      <c r="J116" t="n">
        <v>0</v>
      </c>
      <c r="K116" t="n">
        <v>0</v>
      </c>
      <c r="L116" t="n">
        <v>0</v>
      </c>
      <c r="M116" t="n">
        <v>0</v>
      </c>
      <c r="N116" t="n">
        <v>0</v>
      </c>
      <c r="O116" t="n">
        <v>0</v>
      </c>
      <c r="P116" t="n">
        <v>0</v>
      </c>
      <c r="Q116" t="n">
        <v>0</v>
      </c>
      <c r="R116" s="2" t="inlineStr"/>
    </row>
    <row r="117" ht="15" customHeight="1">
      <c r="A117" t="inlineStr">
        <is>
          <t>A 735-2024</t>
        </is>
      </c>
      <c r="B117" s="1" t="n">
        <v>45300</v>
      </c>
      <c r="C117" s="1" t="n">
        <v>46078</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12585-2023</t>
        </is>
      </c>
      <c r="B118" s="1" t="n">
        <v>45000.41373842592</v>
      </c>
      <c r="C118" s="1" t="n">
        <v>46078</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61646-2025</t>
        </is>
      </c>
      <c r="B119" s="1" t="n">
        <v>46002</v>
      </c>
      <c r="C119" s="1" t="n">
        <v>46078</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46078</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47140-2024</t>
        </is>
      </c>
      <c r="B121" s="1" t="n">
        <v>45586.58753472222</v>
      </c>
      <c r="C121" s="1" t="n">
        <v>46078</v>
      </c>
      <c r="D121" t="inlineStr">
        <is>
          <t>STOCKHOLMS LÄN</t>
        </is>
      </c>
      <c r="E121" t="inlineStr">
        <is>
          <t>VALLENTUNA</t>
        </is>
      </c>
      <c r="G121" t="n">
        <v>1</v>
      </c>
      <c r="H121" t="n">
        <v>0</v>
      </c>
      <c r="I121" t="n">
        <v>0</v>
      </c>
      <c r="J121" t="n">
        <v>0</v>
      </c>
      <c r="K121" t="n">
        <v>0</v>
      </c>
      <c r="L121" t="n">
        <v>0</v>
      </c>
      <c r="M121" t="n">
        <v>0</v>
      </c>
      <c r="N121" t="n">
        <v>0</v>
      </c>
      <c r="O121" t="n">
        <v>0</v>
      </c>
      <c r="P121" t="n">
        <v>0</v>
      </c>
      <c r="Q121" t="n">
        <v>0</v>
      </c>
      <c r="R121" s="2" t="inlineStr"/>
    </row>
    <row r="122" ht="15" customHeight="1">
      <c r="A122" t="inlineStr">
        <is>
          <t>A 6298-2026</t>
        </is>
      </c>
      <c r="B122" s="1" t="n">
        <v>46055.5656712963</v>
      </c>
      <c r="C122" s="1" t="n">
        <v>46078</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46078</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21614-2022</t>
        </is>
      </c>
      <c r="B124" s="1" t="n">
        <v>44706</v>
      </c>
      <c r="C124" s="1" t="n">
        <v>46078</v>
      </c>
      <c r="D124" t="inlineStr">
        <is>
          <t>STOCKHOLMS LÄN</t>
        </is>
      </c>
      <c r="E124" t="inlineStr">
        <is>
          <t>VALLENTUNA</t>
        </is>
      </c>
      <c r="G124" t="n">
        <v>4</v>
      </c>
      <c r="H124" t="n">
        <v>0</v>
      </c>
      <c r="I124" t="n">
        <v>0</v>
      </c>
      <c r="J124" t="n">
        <v>0</v>
      </c>
      <c r="K124" t="n">
        <v>0</v>
      </c>
      <c r="L124" t="n">
        <v>0</v>
      </c>
      <c r="M124" t="n">
        <v>0</v>
      </c>
      <c r="N124" t="n">
        <v>0</v>
      </c>
      <c r="O124" t="n">
        <v>0</v>
      </c>
      <c r="P124" t="n">
        <v>0</v>
      </c>
      <c r="Q124" t="n">
        <v>0</v>
      </c>
      <c r="R124" s="2" t="inlineStr"/>
    </row>
    <row r="125" ht="15" customHeight="1">
      <c r="A125" t="inlineStr">
        <is>
          <t>A 23986-2023</t>
        </is>
      </c>
      <c r="B125" s="1" t="n">
        <v>45078</v>
      </c>
      <c r="C125" s="1" t="n">
        <v>46078</v>
      </c>
      <c r="D125" t="inlineStr">
        <is>
          <t>STOCKHOLMS LÄN</t>
        </is>
      </c>
      <c r="E125" t="inlineStr">
        <is>
          <t>VALLENTUNA</t>
        </is>
      </c>
      <c r="F125" t="inlineStr">
        <is>
          <t>Kyrkan</t>
        </is>
      </c>
      <c r="G125" t="n">
        <v>5.7</v>
      </c>
      <c r="H125" t="n">
        <v>0</v>
      </c>
      <c r="I125" t="n">
        <v>0</v>
      </c>
      <c r="J125" t="n">
        <v>0</v>
      </c>
      <c r="K125" t="n">
        <v>0</v>
      </c>
      <c r="L125" t="n">
        <v>0</v>
      </c>
      <c r="M125" t="n">
        <v>0</v>
      </c>
      <c r="N125" t="n">
        <v>0</v>
      </c>
      <c r="O125" t="n">
        <v>0</v>
      </c>
      <c r="P125" t="n">
        <v>0</v>
      </c>
      <c r="Q125" t="n">
        <v>0</v>
      </c>
      <c r="R125" s="2" t="inlineStr"/>
    </row>
    <row r="126" ht="15" customHeight="1">
      <c r="A126" t="inlineStr">
        <is>
          <t>A 24068-2024</t>
        </is>
      </c>
      <c r="B126" s="1" t="n">
        <v>45456</v>
      </c>
      <c r="C126" s="1" t="n">
        <v>46078</v>
      </c>
      <c r="D126" t="inlineStr">
        <is>
          <t>STOCKHOLMS LÄN</t>
        </is>
      </c>
      <c r="E126" t="inlineStr">
        <is>
          <t>VALLENTUNA</t>
        </is>
      </c>
      <c r="G126" t="n">
        <v>7.4</v>
      </c>
      <c r="H126" t="n">
        <v>0</v>
      </c>
      <c r="I126" t="n">
        <v>0</v>
      </c>
      <c r="J126" t="n">
        <v>0</v>
      </c>
      <c r="K126" t="n">
        <v>0</v>
      </c>
      <c r="L126" t="n">
        <v>0</v>
      </c>
      <c r="M126" t="n">
        <v>0</v>
      </c>
      <c r="N126" t="n">
        <v>0</v>
      </c>
      <c r="O126" t="n">
        <v>0</v>
      </c>
      <c r="P126" t="n">
        <v>0</v>
      </c>
      <c r="Q126" t="n">
        <v>0</v>
      </c>
      <c r="R126" s="2" t="inlineStr"/>
    </row>
    <row r="127" ht="15" customHeight="1">
      <c r="A127" t="inlineStr">
        <is>
          <t>A 414-2026</t>
        </is>
      </c>
      <c r="B127" s="1" t="n">
        <v>46028.76050925926</v>
      </c>
      <c r="C127" s="1" t="n">
        <v>46078</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3937-2022</t>
        </is>
      </c>
      <c r="B128" s="1" t="n">
        <v>44587</v>
      </c>
      <c r="C128" s="1" t="n">
        <v>46078</v>
      </c>
      <c r="D128" t="inlineStr">
        <is>
          <t>STOCKHOLMS LÄN</t>
        </is>
      </c>
      <c r="E128" t="inlineStr">
        <is>
          <t>VALLENTUNA</t>
        </is>
      </c>
      <c r="G128" t="n">
        <v>6.6</v>
      </c>
      <c r="H128" t="n">
        <v>0</v>
      </c>
      <c r="I128" t="n">
        <v>0</v>
      </c>
      <c r="J128" t="n">
        <v>0</v>
      </c>
      <c r="K128" t="n">
        <v>0</v>
      </c>
      <c r="L128" t="n">
        <v>0</v>
      </c>
      <c r="M128" t="n">
        <v>0</v>
      </c>
      <c r="N128" t="n">
        <v>0</v>
      </c>
      <c r="O128" t="n">
        <v>0</v>
      </c>
      <c r="P128" t="n">
        <v>0</v>
      </c>
      <c r="Q128" t="n">
        <v>0</v>
      </c>
      <c r="R128" s="2" t="inlineStr"/>
    </row>
    <row r="129" ht="15" customHeight="1">
      <c r="A129" t="inlineStr">
        <is>
          <t>A 23013-2024</t>
        </is>
      </c>
      <c r="B129" s="1" t="n">
        <v>45450.35116898148</v>
      </c>
      <c r="C129" s="1" t="n">
        <v>46078</v>
      </c>
      <c r="D129" t="inlineStr">
        <is>
          <t>STOCKHOLMS LÄN</t>
        </is>
      </c>
      <c r="E129" t="inlineStr">
        <is>
          <t>VALLENTUNA</t>
        </is>
      </c>
      <c r="G129" t="n">
        <v>0.4</v>
      </c>
      <c r="H129" t="n">
        <v>0</v>
      </c>
      <c r="I129" t="n">
        <v>0</v>
      </c>
      <c r="J129" t="n">
        <v>0</v>
      </c>
      <c r="K129" t="n">
        <v>0</v>
      </c>
      <c r="L129" t="n">
        <v>0</v>
      </c>
      <c r="M129" t="n">
        <v>0</v>
      </c>
      <c r="N129" t="n">
        <v>0</v>
      </c>
      <c r="O129" t="n">
        <v>0</v>
      </c>
      <c r="P129" t="n">
        <v>0</v>
      </c>
      <c r="Q129" t="n">
        <v>0</v>
      </c>
      <c r="R129" s="2" t="inlineStr"/>
    </row>
    <row r="130" ht="15" customHeight="1">
      <c r="A130" t="inlineStr">
        <is>
          <t>A 3078-2023</t>
        </is>
      </c>
      <c r="B130" s="1" t="n">
        <v>44946.41527777778</v>
      </c>
      <c r="C130" s="1" t="n">
        <v>46078</v>
      </c>
      <c r="D130" t="inlineStr">
        <is>
          <t>STOCKHOLMS LÄN</t>
        </is>
      </c>
      <c r="E130" t="inlineStr">
        <is>
          <t>VALLENTUNA</t>
        </is>
      </c>
      <c r="G130" t="n">
        <v>3.9</v>
      </c>
      <c r="H130" t="n">
        <v>0</v>
      </c>
      <c r="I130" t="n">
        <v>0</v>
      </c>
      <c r="J130" t="n">
        <v>0</v>
      </c>
      <c r="K130" t="n">
        <v>0</v>
      </c>
      <c r="L130" t="n">
        <v>0</v>
      </c>
      <c r="M130" t="n">
        <v>0</v>
      </c>
      <c r="N130" t="n">
        <v>0</v>
      </c>
      <c r="O130" t="n">
        <v>0</v>
      </c>
      <c r="P130" t="n">
        <v>0</v>
      </c>
      <c r="Q130" t="n">
        <v>0</v>
      </c>
      <c r="R130" s="2" t="inlineStr"/>
    </row>
    <row r="131" ht="15" customHeight="1">
      <c r="A131" t="inlineStr">
        <is>
          <t>A 19503-2023</t>
        </is>
      </c>
      <c r="B131" s="1" t="n">
        <v>45050.47333333334</v>
      </c>
      <c r="C131" s="1" t="n">
        <v>46078</v>
      </c>
      <c r="D131" t="inlineStr">
        <is>
          <t>STOCKHOLMS LÄN</t>
        </is>
      </c>
      <c r="E131" t="inlineStr">
        <is>
          <t>VALLENTUNA</t>
        </is>
      </c>
      <c r="G131" t="n">
        <v>0.7</v>
      </c>
      <c r="H131" t="n">
        <v>0</v>
      </c>
      <c r="I131" t="n">
        <v>0</v>
      </c>
      <c r="J131" t="n">
        <v>0</v>
      </c>
      <c r="K131" t="n">
        <v>0</v>
      </c>
      <c r="L131" t="n">
        <v>0</v>
      </c>
      <c r="M131" t="n">
        <v>0</v>
      </c>
      <c r="N131" t="n">
        <v>0</v>
      </c>
      <c r="O131" t="n">
        <v>0</v>
      </c>
      <c r="P131" t="n">
        <v>0</v>
      </c>
      <c r="Q131" t="n">
        <v>0</v>
      </c>
      <c r="R131" s="2" t="inlineStr"/>
    </row>
    <row r="132" ht="15" customHeight="1">
      <c r="A132" t="inlineStr">
        <is>
          <t>A 4803-2024</t>
        </is>
      </c>
      <c r="B132" s="1" t="n">
        <v>45328</v>
      </c>
      <c r="C132" s="1" t="n">
        <v>46078</v>
      </c>
      <c r="D132" t="inlineStr">
        <is>
          <t>STOCKHOLMS LÄN</t>
        </is>
      </c>
      <c r="E132" t="inlineStr">
        <is>
          <t>VALLENTUNA</t>
        </is>
      </c>
      <c r="G132" t="n">
        <v>4.6</v>
      </c>
      <c r="H132" t="n">
        <v>0</v>
      </c>
      <c r="I132" t="n">
        <v>0</v>
      </c>
      <c r="J132" t="n">
        <v>0</v>
      </c>
      <c r="K132" t="n">
        <v>0</v>
      </c>
      <c r="L132" t="n">
        <v>0</v>
      </c>
      <c r="M132" t="n">
        <v>0</v>
      </c>
      <c r="N132" t="n">
        <v>0</v>
      </c>
      <c r="O132" t="n">
        <v>0</v>
      </c>
      <c r="P132" t="n">
        <v>0</v>
      </c>
      <c r="Q132" t="n">
        <v>0</v>
      </c>
      <c r="R132" s="2" t="inlineStr"/>
    </row>
    <row r="133" ht="15" customHeight="1">
      <c r="A133" t="inlineStr">
        <is>
          <t>A 3698-2022</t>
        </is>
      </c>
      <c r="B133" s="1" t="n">
        <v>44586</v>
      </c>
      <c r="C133" s="1" t="n">
        <v>46078</v>
      </c>
      <c r="D133" t="inlineStr">
        <is>
          <t>STOCKHOLMS LÄN</t>
        </is>
      </c>
      <c r="E133" t="inlineStr">
        <is>
          <t>VALLENTUNA</t>
        </is>
      </c>
      <c r="G133" t="n">
        <v>2.9</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46078</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12234-2022</t>
        </is>
      </c>
      <c r="B135" s="1" t="n">
        <v>44637</v>
      </c>
      <c r="C135" s="1" t="n">
        <v>46078</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24943-2024</t>
        </is>
      </c>
      <c r="B136" s="1" t="n">
        <v>45461.62585648148</v>
      </c>
      <c r="C136" s="1" t="n">
        <v>46078</v>
      </c>
      <c r="D136" t="inlineStr">
        <is>
          <t>STOCKHOLMS LÄN</t>
        </is>
      </c>
      <c r="E136" t="inlineStr">
        <is>
          <t>VALLENTUNA</t>
        </is>
      </c>
      <c r="G136" t="n">
        <v>2</v>
      </c>
      <c r="H136" t="n">
        <v>0</v>
      </c>
      <c r="I136" t="n">
        <v>0</v>
      </c>
      <c r="J136" t="n">
        <v>0</v>
      </c>
      <c r="K136" t="n">
        <v>0</v>
      </c>
      <c r="L136" t="n">
        <v>0</v>
      </c>
      <c r="M136" t="n">
        <v>0</v>
      </c>
      <c r="N136" t="n">
        <v>0</v>
      </c>
      <c r="O136" t="n">
        <v>0</v>
      </c>
      <c r="P136" t="n">
        <v>0</v>
      </c>
      <c r="Q136" t="n">
        <v>0</v>
      </c>
      <c r="R136" s="2" t="inlineStr"/>
    </row>
    <row r="137" ht="15" customHeight="1">
      <c r="A137" t="inlineStr">
        <is>
          <t>A 22683-2023</t>
        </is>
      </c>
      <c r="B137" s="1" t="n">
        <v>45071</v>
      </c>
      <c r="C137" s="1" t="n">
        <v>46078</v>
      </c>
      <c r="D137" t="inlineStr">
        <is>
          <t>STOCKHOLMS LÄN</t>
        </is>
      </c>
      <c r="E137" t="inlineStr">
        <is>
          <t>VALLENTUNA</t>
        </is>
      </c>
      <c r="G137" t="n">
        <v>1.2</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45035.82512731481</v>
      </c>
      <c r="C138" s="1" t="n">
        <v>46078</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1385-2024</t>
        </is>
      </c>
      <c r="B139" s="1" t="n">
        <v>45303</v>
      </c>
      <c r="C139" s="1" t="n">
        <v>46078</v>
      </c>
      <c r="D139" t="inlineStr">
        <is>
          <t>STOCKHOLMS LÄN</t>
        </is>
      </c>
      <c r="E139" t="inlineStr">
        <is>
          <t>VALLENTUNA</t>
        </is>
      </c>
      <c r="G139" t="n">
        <v>2.6</v>
      </c>
      <c r="H139" t="n">
        <v>0</v>
      </c>
      <c r="I139" t="n">
        <v>0</v>
      </c>
      <c r="J139" t="n">
        <v>0</v>
      </c>
      <c r="K139" t="n">
        <v>0</v>
      </c>
      <c r="L139" t="n">
        <v>0</v>
      </c>
      <c r="M139" t="n">
        <v>0</v>
      </c>
      <c r="N139" t="n">
        <v>0</v>
      </c>
      <c r="O139" t="n">
        <v>0</v>
      </c>
      <c r="P139" t="n">
        <v>0</v>
      </c>
      <c r="Q139" t="n">
        <v>0</v>
      </c>
      <c r="R139" s="2" t="inlineStr"/>
    </row>
    <row r="140" ht="15" customHeight="1">
      <c r="A140" t="inlineStr">
        <is>
          <t>A 60818-2023</t>
        </is>
      </c>
      <c r="B140" s="1" t="n">
        <v>45259</v>
      </c>
      <c r="C140" s="1" t="n">
        <v>46078</v>
      </c>
      <c r="D140" t="inlineStr">
        <is>
          <t>STOCKHOLMS LÄN</t>
        </is>
      </c>
      <c r="E140" t="inlineStr">
        <is>
          <t>VALLENTUNA</t>
        </is>
      </c>
      <c r="G140" t="n">
        <v>9.4</v>
      </c>
      <c r="H140" t="n">
        <v>0</v>
      </c>
      <c r="I140" t="n">
        <v>0</v>
      </c>
      <c r="J140" t="n">
        <v>0</v>
      </c>
      <c r="K140" t="n">
        <v>0</v>
      </c>
      <c r="L140" t="n">
        <v>0</v>
      </c>
      <c r="M140" t="n">
        <v>0</v>
      </c>
      <c r="N140" t="n">
        <v>0</v>
      </c>
      <c r="O140" t="n">
        <v>0</v>
      </c>
      <c r="P140" t="n">
        <v>0</v>
      </c>
      <c r="Q140" t="n">
        <v>0</v>
      </c>
      <c r="R140" s="2" t="inlineStr"/>
    </row>
    <row r="141" ht="15" customHeight="1">
      <c r="A141" t="inlineStr">
        <is>
          <t>A 7264-2022</t>
        </is>
      </c>
      <c r="B141" s="1" t="n">
        <v>44606</v>
      </c>
      <c r="C141" s="1" t="n">
        <v>46078</v>
      </c>
      <c r="D141" t="inlineStr">
        <is>
          <t>STOCKHOLMS LÄN</t>
        </is>
      </c>
      <c r="E141" t="inlineStr">
        <is>
          <t>VALLENTUNA</t>
        </is>
      </c>
      <c r="G141" t="n">
        <v>2.4</v>
      </c>
      <c r="H141" t="n">
        <v>0</v>
      </c>
      <c r="I141" t="n">
        <v>0</v>
      </c>
      <c r="J141" t="n">
        <v>0</v>
      </c>
      <c r="K141" t="n">
        <v>0</v>
      </c>
      <c r="L141" t="n">
        <v>0</v>
      </c>
      <c r="M141" t="n">
        <v>0</v>
      </c>
      <c r="N141" t="n">
        <v>0</v>
      </c>
      <c r="O141" t="n">
        <v>0</v>
      </c>
      <c r="P141" t="n">
        <v>0</v>
      </c>
      <c r="Q141" t="n">
        <v>0</v>
      </c>
      <c r="R141" s="2" t="inlineStr"/>
    </row>
    <row r="142" ht="15" customHeight="1">
      <c r="A142" t="inlineStr">
        <is>
          <t>A 19356-2025</t>
        </is>
      </c>
      <c r="B142" s="1" t="n">
        <v>45769.62061342593</v>
      </c>
      <c r="C142" s="1" t="n">
        <v>46078</v>
      </c>
      <c r="D142" t="inlineStr">
        <is>
          <t>STOCKHOLMS LÄN</t>
        </is>
      </c>
      <c r="E142" t="inlineStr">
        <is>
          <t>VALLENTUNA</t>
        </is>
      </c>
      <c r="F142" t="inlineStr">
        <is>
          <t>Övriga Aktiebolag</t>
        </is>
      </c>
      <c r="G142" t="n">
        <v>1.6</v>
      </c>
      <c r="H142" t="n">
        <v>0</v>
      </c>
      <c r="I142" t="n">
        <v>0</v>
      </c>
      <c r="J142" t="n">
        <v>0</v>
      </c>
      <c r="K142" t="n">
        <v>0</v>
      </c>
      <c r="L142" t="n">
        <v>0</v>
      </c>
      <c r="M142" t="n">
        <v>0</v>
      </c>
      <c r="N142" t="n">
        <v>0</v>
      </c>
      <c r="O142" t="n">
        <v>0</v>
      </c>
      <c r="P142" t="n">
        <v>0</v>
      </c>
      <c r="Q142" t="n">
        <v>0</v>
      </c>
      <c r="R142" s="2" t="inlineStr"/>
    </row>
    <row r="143">
      <c r="A143" t="inlineStr">
        <is>
          <t>A 11950-2025</t>
        </is>
      </c>
      <c r="B143" s="1" t="n">
        <v>45728.55622685186</v>
      </c>
      <c r="C143" s="1" t="n">
        <v>46078</v>
      </c>
      <c r="D143" t="inlineStr">
        <is>
          <t>STOCKHOLMS LÄN</t>
        </is>
      </c>
      <c r="E143" t="inlineStr">
        <is>
          <t>VALLENTUNA</t>
        </is>
      </c>
      <c r="G143" t="n">
        <v>1.4</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2026-02-25T11:15:26Z</dcterms:created>
  <dcterms:modified xmlns:dcterms="http://purl.org/dc/terms/" xmlns:xsi="http://www.w3.org/2001/XMLSchema-instance" xsi:type="dcterms:W3CDTF">2026-02-25T11:15:26Z</dcterms:modified>
</cp:coreProperties>
</file>