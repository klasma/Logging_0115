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45931</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45931</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45931</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45931</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45931</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45931</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45931</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45931</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45931</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46-2022</t>
        </is>
      </c>
      <c r="B17" s="1" t="n">
        <v>44560</v>
      </c>
      <c r="C17" s="1" t="n">
        <v>45931</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41021-2023</t>
        </is>
      </c>
      <c r="B18" s="1" t="n">
        <v>45173</v>
      </c>
      <c r="C18" s="1" t="n">
        <v>45931</v>
      </c>
      <c r="D18" t="inlineStr">
        <is>
          <t>STOCKHOLMS LÄN</t>
        </is>
      </c>
      <c r="E18" t="inlineStr">
        <is>
          <t>VALLENTUNA</t>
        </is>
      </c>
      <c r="G18" t="n">
        <v>3</v>
      </c>
      <c r="H18" t="n">
        <v>0</v>
      </c>
      <c r="I18" t="n">
        <v>1</v>
      </c>
      <c r="J18" t="n">
        <v>1</v>
      </c>
      <c r="K18" t="n">
        <v>0</v>
      </c>
      <c r="L18" t="n">
        <v>0</v>
      </c>
      <c r="M18" t="n">
        <v>0</v>
      </c>
      <c r="N18" t="n">
        <v>0</v>
      </c>
      <c r="O18" t="n">
        <v>1</v>
      </c>
      <c r="P18" t="n">
        <v>0</v>
      </c>
      <c r="Q18" t="n">
        <v>2</v>
      </c>
      <c r="R18" s="2" t="inlineStr">
        <is>
          <t>Orange taggsvamp
Fjällig taggsvamp s.str.</t>
        </is>
      </c>
      <c r="S18">
        <f>HYPERLINK("https://klasma.github.io/Logging_0115/artfynd/A 41021-2023 artfynd.xlsx", "A 41021-2023")</f>
        <v/>
      </c>
      <c r="T18">
        <f>HYPERLINK("https://klasma.github.io/Logging_0115/kartor/A 41021-2023 karta.png", "A 41021-2023")</f>
        <v/>
      </c>
      <c r="V18">
        <f>HYPERLINK("https://klasma.github.io/Logging_0115/klagomål/A 41021-2023 FSC-klagomål.docx", "A 41021-2023")</f>
        <v/>
      </c>
      <c r="W18">
        <f>HYPERLINK("https://klasma.github.io/Logging_0115/klagomålsmail/A 41021-2023 FSC-klagomål mail.docx", "A 41021-2023")</f>
        <v/>
      </c>
      <c r="X18">
        <f>HYPERLINK("https://klasma.github.io/Logging_0115/tillsyn/A 41021-2023 tillsynsbegäran.docx", "A 41021-2023")</f>
        <v/>
      </c>
      <c r="Y18">
        <f>HYPERLINK("https://klasma.github.io/Logging_0115/tillsynsmail/A 41021-2023 tillsynsbegäran mail.docx", "A 41021-2023")</f>
        <v/>
      </c>
    </row>
    <row r="19" ht="15" customHeight="1">
      <c r="A19" t="inlineStr">
        <is>
          <t>A 9745-2022</t>
        </is>
      </c>
      <c r="B19" s="1" t="n">
        <v>44618</v>
      </c>
      <c r="C19" s="1" t="n">
        <v>45931</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45931</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8817-2025</t>
        </is>
      </c>
      <c r="B21" s="1" t="n">
        <v>45712.70987268518</v>
      </c>
      <c r="C21" s="1" t="n">
        <v>45931</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14508-2024</t>
        </is>
      </c>
      <c r="B22" s="1" t="n">
        <v>45394.61583333334</v>
      </c>
      <c r="C22" s="1" t="n">
        <v>45931</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17348-2025</t>
        </is>
      </c>
      <c r="B23" s="1" t="n">
        <v>45756</v>
      </c>
      <c r="C23" s="1" t="n">
        <v>45931</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22830-2024</t>
        </is>
      </c>
      <c r="B24" s="1" t="n">
        <v>45448.56583333333</v>
      </c>
      <c r="C24" s="1" t="n">
        <v>45931</v>
      </c>
      <c r="D24" t="inlineStr">
        <is>
          <t>STOCKHOLMS LÄN</t>
        </is>
      </c>
      <c r="E24" t="inlineStr">
        <is>
          <t>VALLENTUNA</t>
        </is>
      </c>
      <c r="G24" t="n">
        <v>0.3</v>
      </c>
      <c r="H24" t="n">
        <v>0</v>
      </c>
      <c r="I24" t="n">
        <v>0</v>
      </c>
      <c r="J24" t="n">
        <v>1</v>
      </c>
      <c r="K24" t="n">
        <v>0</v>
      </c>
      <c r="L24" t="n">
        <v>0</v>
      </c>
      <c r="M24" t="n">
        <v>0</v>
      </c>
      <c r="N24" t="n">
        <v>0</v>
      </c>
      <c r="O24" t="n">
        <v>1</v>
      </c>
      <c r="P24" t="n">
        <v>0</v>
      </c>
      <c r="Q24" t="n">
        <v>1</v>
      </c>
      <c r="R24" s="2" t="inlineStr">
        <is>
          <t>Tallticka</t>
        </is>
      </c>
      <c r="S24">
        <f>HYPERLINK("https://klasma.github.io/Logging_0115/artfynd/A 22830-2024 artfynd.xlsx", "A 22830-2024")</f>
        <v/>
      </c>
      <c r="T24">
        <f>HYPERLINK("https://klasma.github.io/Logging_0115/kartor/A 22830-2024 karta.png", "A 22830-2024")</f>
        <v/>
      </c>
      <c r="V24">
        <f>HYPERLINK("https://klasma.github.io/Logging_0115/klagomål/A 22830-2024 FSC-klagomål.docx", "A 22830-2024")</f>
        <v/>
      </c>
      <c r="W24">
        <f>HYPERLINK("https://klasma.github.io/Logging_0115/klagomålsmail/A 22830-2024 FSC-klagomål mail.docx", "A 22830-2024")</f>
        <v/>
      </c>
      <c r="X24">
        <f>HYPERLINK("https://klasma.github.io/Logging_0115/tillsyn/A 22830-2024 tillsynsbegäran.docx", "A 22830-2024")</f>
        <v/>
      </c>
      <c r="Y24">
        <f>HYPERLINK("https://klasma.github.io/Logging_0115/tillsynsmail/A 22830-2024 tillsynsbegäran mail.docx", "A 22830-2024")</f>
        <v/>
      </c>
    </row>
    <row r="25" ht="15" customHeight="1">
      <c r="A25" t="inlineStr">
        <is>
          <t>A 21439-2025</t>
        </is>
      </c>
      <c r="B25" s="1" t="n">
        <v>45782.52939814814</v>
      </c>
      <c r="C25" s="1" t="n">
        <v>45931</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27870-2025</t>
        </is>
      </c>
      <c r="B26" s="1" t="n">
        <v>45817</v>
      </c>
      <c r="C26" s="1" t="n">
        <v>45931</v>
      </c>
      <c r="D26" t="inlineStr">
        <is>
          <t>STOCKHOLMS LÄN</t>
        </is>
      </c>
      <c r="E26" t="inlineStr">
        <is>
          <t>VALLENTUNA</t>
        </is>
      </c>
      <c r="G26" t="n">
        <v>5</v>
      </c>
      <c r="H26" t="n">
        <v>0</v>
      </c>
      <c r="I26" t="n">
        <v>0</v>
      </c>
      <c r="J26" t="n">
        <v>1</v>
      </c>
      <c r="K26" t="n">
        <v>0</v>
      </c>
      <c r="L26" t="n">
        <v>0</v>
      </c>
      <c r="M26" t="n">
        <v>0</v>
      </c>
      <c r="N26" t="n">
        <v>0</v>
      </c>
      <c r="O26" t="n">
        <v>1</v>
      </c>
      <c r="P26" t="n">
        <v>0</v>
      </c>
      <c r="Q26" t="n">
        <v>1</v>
      </c>
      <c r="R26" s="2" t="inlineStr">
        <is>
          <t>Bronspraktbagge</t>
        </is>
      </c>
      <c r="S26">
        <f>HYPERLINK("https://klasma.github.io/Logging_0115/artfynd/A 27870-2025 artfynd.xlsx", "A 27870-2025")</f>
        <v/>
      </c>
      <c r="T26">
        <f>HYPERLINK("https://klasma.github.io/Logging_0115/kartor/A 27870-2025 karta.png", "A 27870-2025")</f>
        <v/>
      </c>
      <c r="V26">
        <f>HYPERLINK("https://klasma.github.io/Logging_0115/klagomål/A 27870-2025 FSC-klagomål.docx", "A 27870-2025")</f>
        <v/>
      </c>
      <c r="W26">
        <f>HYPERLINK("https://klasma.github.io/Logging_0115/klagomålsmail/A 27870-2025 FSC-klagomål mail.docx", "A 27870-2025")</f>
        <v/>
      </c>
      <c r="X26">
        <f>HYPERLINK("https://klasma.github.io/Logging_0115/tillsyn/A 27870-2025 tillsynsbegäran.docx", "A 27870-2025")</f>
        <v/>
      </c>
      <c r="Y26">
        <f>HYPERLINK("https://klasma.github.io/Logging_0115/tillsynsmail/A 27870-2025 tillsynsbegäran mail.docx", "A 27870-2025")</f>
        <v/>
      </c>
    </row>
    <row r="27" ht="15" customHeight="1">
      <c r="A27" t="inlineStr">
        <is>
          <t>A 21-2022</t>
        </is>
      </c>
      <c r="B27" s="1" t="n">
        <v>44560</v>
      </c>
      <c r="C27" s="1" t="n">
        <v>45931</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22936-2025</t>
        </is>
      </c>
      <c r="B28" s="1" t="n">
        <v>45790.45738425926</v>
      </c>
      <c r="C28" s="1" t="n">
        <v>45931</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17341-2025</t>
        </is>
      </c>
      <c r="B29" s="1" t="n">
        <v>45756</v>
      </c>
      <c r="C29" s="1" t="n">
        <v>45931</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7890-2023</t>
        </is>
      </c>
      <c r="B30" s="1" t="n">
        <v>44973</v>
      </c>
      <c r="C30" s="1" t="n">
        <v>45931</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20612-2021</t>
        </is>
      </c>
      <c r="B31" s="1" t="n">
        <v>44315</v>
      </c>
      <c r="C31" s="1" t="n">
        <v>45931</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45931</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45931</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45931</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45931</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45931</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45931</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45931</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45931</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45931</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45931</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7085-2022</t>
        </is>
      </c>
      <c r="B42" s="1" t="n">
        <v>44603</v>
      </c>
      <c r="C42" s="1" t="n">
        <v>45931</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48078-2021</t>
        </is>
      </c>
      <c r="B43" s="1" t="n">
        <v>44449.42578703703</v>
      </c>
      <c r="C43" s="1" t="n">
        <v>45931</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42624-2021</t>
        </is>
      </c>
      <c r="B44" s="1" t="n">
        <v>44428</v>
      </c>
      <c r="C44" s="1" t="n">
        <v>45931</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45931</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45931</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45931</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45931</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45931</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45931</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45931</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34441-2023</t>
        </is>
      </c>
      <c r="B52" s="1" t="n">
        <v>45139</v>
      </c>
      <c r="C52" s="1" t="n">
        <v>45931</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34445-2023</t>
        </is>
      </c>
      <c r="B53" s="1" t="n">
        <v>45139</v>
      </c>
      <c r="C53" s="1" t="n">
        <v>45931</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34460-2023</t>
        </is>
      </c>
      <c r="B54" s="1" t="n">
        <v>45139</v>
      </c>
      <c r="C54" s="1" t="n">
        <v>45931</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23986-2023</t>
        </is>
      </c>
      <c r="B55" s="1" t="n">
        <v>45078</v>
      </c>
      <c r="C55" s="1" t="n">
        <v>45931</v>
      </c>
      <c r="D55" t="inlineStr">
        <is>
          <t>STOCKHOLMS LÄN</t>
        </is>
      </c>
      <c r="E55" t="inlineStr">
        <is>
          <t>VALLENTUNA</t>
        </is>
      </c>
      <c r="F55" t="inlineStr">
        <is>
          <t>Kyrkan</t>
        </is>
      </c>
      <c r="G55" t="n">
        <v>5.7</v>
      </c>
      <c r="H55" t="n">
        <v>0</v>
      </c>
      <c r="I55" t="n">
        <v>0</v>
      </c>
      <c r="J55" t="n">
        <v>0</v>
      </c>
      <c r="K55" t="n">
        <v>0</v>
      </c>
      <c r="L55" t="n">
        <v>0</v>
      </c>
      <c r="M55" t="n">
        <v>0</v>
      </c>
      <c r="N55" t="n">
        <v>0</v>
      </c>
      <c r="O55" t="n">
        <v>0</v>
      </c>
      <c r="P55" t="n">
        <v>0</v>
      </c>
      <c r="Q55" t="n">
        <v>0</v>
      </c>
      <c r="R55" s="2" t="inlineStr"/>
    </row>
    <row r="56" ht="15" customHeight="1">
      <c r="A56" t="inlineStr">
        <is>
          <t>A 15300-2023</t>
        </is>
      </c>
      <c r="B56" s="1" t="n">
        <v>45019</v>
      </c>
      <c r="C56" s="1" t="n">
        <v>45931</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21445-2023</t>
        </is>
      </c>
      <c r="B57" s="1" t="n">
        <v>45063</v>
      </c>
      <c r="C57" s="1" t="n">
        <v>45931</v>
      </c>
      <c r="D57" t="inlineStr">
        <is>
          <t>STOCKHOLMS LÄN</t>
        </is>
      </c>
      <c r="E57" t="inlineStr">
        <is>
          <t>VALLENTUNA</t>
        </is>
      </c>
      <c r="G57" t="n">
        <v>3.1</v>
      </c>
      <c r="H57" t="n">
        <v>0</v>
      </c>
      <c r="I57" t="n">
        <v>0</v>
      </c>
      <c r="J57" t="n">
        <v>0</v>
      </c>
      <c r="K57" t="n">
        <v>0</v>
      </c>
      <c r="L57" t="n">
        <v>0</v>
      </c>
      <c r="M57" t="n">
        <v>0</v>
      </c>
      <c r="N57" t="n">
        <v>0</v>
      </c>
      <c r="O57" t="n">
        <v>0</v>
      </c>
      <c r="P57" t="n">
        <v>0</v>
      </c>
      <c r="Q57" t="n">
        <v>0</v>
      </c>
      <c r="R57" s="2" t="inlineStr"/>
    </row>
    <row r="58" ht="15" customHeight="1">
      <c r="A58" t="inlineStr">
        <is>
          <t>A 8077-2022</t>
        </is>
      </c>
      <c r="B58" s="1" t="n">
        <v>44609</v>
      </c>
      <c r="C58" s="1" t="n">
        <v>45931</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22683-2023</t>
        </is>
      </c>
      <c r="B59" s="1" t="n">
        <v>45071</v>
      </c>
      <c r="C59" s="1" t="n">
        <v>45931</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13836-2022</t>
        </is>
      </c>
      <c r="B60" s="1" t="n">
        <v>44649</v>
      </c>
      <c r="C60" s="1" t="n">
        <v>45931</v>
      </c>
      <c r="D60" t="inlineStr">
        <is>
          <t>STOCKHOLMS LÄN</t>
        </is>
      </c>
      <c r="E60" t="inlineStr">
        <is>
          <t>VALLENTUNA</t>
        </is>
      </c>
      <c r="G60" t="n">
        <v>3.5</v>
      </c>
      <c r="H60" t="n">
        <v>0</v>
      </c>
      <c r="I60" t="n">
        <v>0</v>
      </c>
      <c r="J60" t="n">
        <v>0</v>
      </c>
      <c r="K60" t="n">
        <v>0</v>
      </c>
      <c r="L60" t="n">
        <v>0</v>
      </c>
      <c r="M60" t="n">
        <v>0</v>
      </c>
      <c r="N60" t="n">
        <v>0</v>
      </c>
      <c r="O60" t="n">
        <v>0</v>
      </c>
      <c r="P60" t="n">
        <v>0</v>
      </c>
      <c r="Q60" t="n">
        <v>0</v>
      </c>
      <c r="R60" s="2" t="inlineStr"/>
    </row>
    <row r="61" ht="15" customHeight="1">
      <c r="A61" t="inlineStr">
        <is>
          <t>A 24943-2024</t>
        </is>
      </c>
      <c r="B61" s="1" t="n">
        <v>45461.62585648148</v>
      </c>
      <c r="C61" s="1" t="n">
        <v>45931</v>
      </c>
      <c r="D61" t="inlineStr">
        <is>
          <t>STOCKHOLMS LÄN</t>
        </is>
      </c>
      <c r="E61" t="inlineStr">
        <is>
          <t>VALLENTUNA</t>
        </is>
      </c>
      <c r="G61" t="n">
        <v>2</v>
      </c>
      <c r="H61" t="n">
        <v>0</v>
      </c>
      <c r="I61" t="n">
        <v>0</v>
      </c>
      <c r="J61" t="n">
        <v>0</v>
      </c>
      <c r="K61" t="n">
        <v>0</v>
      </c>
      <c r="L61" t="n">
        <v>0</v>
      </c>
      <c r="M61" t="n">
        <v>0</v>
      </c>
      <c r="N61" t="n">
        <v>0</v>
      </c>
      <c r="O61" t="n">
        <v>0</v>
      </c>
      <c r="P61" t="n">
        <v>0</v>
      </c>
      <c r="Q61" t="n">
        <v>0</v>
      </c>
      <c r="R61" s="2" t="inlineStr"/>
    </row>
    <row r="62" ht="15" customHeight="1">
      <c r="A62" t="inlineStr">
        <is>
          <t>A 5910-2022</t>
        </is>
      </c>
      <c r="B62" s="1" t="n">
        <v>44597</v>
      </c>
      <c r="C62" s="1" t="n">
        <v>45931</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45931</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24994-2021</t>
        </is>
      </c>
      <c r="B64" s="1" t="n">
        <v>44341</v>
      </c>
      <c r="C64" s="1" t="n">
        <v>45931</v>
      </c>
      <c r="D64" t="inlineStr">
        <is>
          <t>STOCKHOLMS LÄN</t>
        </is>
      </c>
      <c r="E64" t="inlineStr">
        <is>
          <t>VALLENTUNA</t>
        </is>
      </c>
      <c r="G64" t="n">
        <v>2.6</v>
      </c>
      <c r="H64" t="n">
        <v>0</v>
      </c>
      <c r="I64" t="n">
        <v>0</v>
      </c>
      <c r="J64" t="n">
        <v>0</v>
      </c>
      <c r="K64" t="n">
        <v>0</v>
      </c>
      <c r="L64" t="n">
        <v>0</v>
      </c>
      <c r="M64" t="n">
        <v>0</v>
      </c>
      <c r="N64" t="n">
        <v>0</v>
      </c>
      <c r="O64" t="n">
        <v>0</v>
      </c>
      <c r="P64" t="n">
        <v>0</v>
      </c>
      <c r="Q64" t="n">
        <v>0</v>
      </c>
      <c r="R64" s="2" t="inlineStr"/>
    </row>
    <row r="65" ht="15" customHeight="1">
      <c r="A65" t="inlineStr">
        <is>
          <t>A 29704-2023</t>
        </is>
      </c>
      <c r="B65" s="1" t="n">
        <v>45107</v>
      </c>
      <c r="C65" s="1" t="n">
        <v>45931</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21765-2023</t>
        </is>
      </c>
      <c r="B66" s="1" t="n">
        <v>45064</v>
      </c>
      <c r="C66" s="1" t="n">
        <v>45931</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45496-2023</t>
        </is>
      </c>
      <c r="B67" s="1" t="n">
        <v>45194</v>
      </c>
      <c r="C67" s="1" t="n">
        <v>45931</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45499-2023</t>
        </is>
      </c>
      <c r="B68" s="1" t="n">
        <v>45194</v>
      </c>
      <c r="C68" s="1" t="n">
        <v>45931</v>
      </c>
      <c r="D68" t="inlineStr">
        <is>
          <t>STOCKHOLMS LÄN</t>
        </is>
      </c>
      <c r="E68" t="inlineStr">
        <is>
          <t>VALLENTUNA</t>
        </is>
      </c>
      <c r="G68" t="n">
        <v>2.5</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45931</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17342-2025</t>
        </is>
      </c>
      <c r="B70" s="1" t="n">
        <v>45756</v>
      </c>
      <c r="C70" s="1" t="n">
        <v>45931</v>
      </c>
      <c r="D70" t="inlineStr">
        <is>
          <t>STOCKHOLMS LÄN</t>
        </is>
      </c>
      <c r="E70" t="inlineStr">
        <is>
          <t>VALLENTUNA</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21612-2021</t>
        </is>
      </c>
      <c r="B71" s="1" t="n">
        <v>44321</v>
      </c>
      <c r="C71" s="1" t="n">
        <v>45931</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14782-2024</t>
        </is>
      </c>
      <c r="B72" s="1" t="n">
        <v>45397.74266203704</v>
      </c>
      <c r="C72" s="1" t="n">
        <v>45931</v>
      </c>
      <c r="D72" t="inlineStr">
        <is>
          <t>STOCKHOLMS LÄN</t>
        </is>
      </c>
      <c r="E72" t="inlineStr">
        <is>
          <t>VALLENTUNA</t>
        </is>
      </c>
      <c r="G72" t="n">
        <v>3.1</v>
      </c>
      <c r="H72" t="n">
        <v>0</v>
      </c>
      <c r="I72" t="n">
        <v>0</v>
      </c>
      <c r="J72" t="n">
        <v>0</v>
      </c>
      <c r="K72" t="n">
        <v>0</v>
      </c>
      <c r="L72" t="n">
        <v>0</v>
      </c>
      <c r="M72" t="n">
        <v>0</v>
      </c>
      <c r="N72" t="n">
        <v>0</v>
      </c>
      <c r="O72" t="n">
        <v>0</v>
      </c>
      <c r="P72" t="n">
        <v>0</v>
      </c>
      <c r="Q72" t="n">
        <v>0</v>
      </c>
      <c r="R72" s="2" t="inlineStr"/>
    </row>
    <row r="73" ht="15" customHeight="1">
      <c r="A73" t="inlineStr">
        <is>
          <t>A 1385-2024</t>
        </is>
      </c>
      <c r="B73" s="1" t="n">
        <v>45303</v>
      </c>
      <c r="C73" s="1" t="n">
        <v>45931</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14775-2024</t>
        </is>
      </c>
      <c r="B74" s="1" t="n">
        <v>45397.73675925926</v>
      </c>
      <c r="C74" s="1" t="n">
        <v>45931</v>
      </c>
      <c r="D74" t="inlineStr">
        <is>
          <t>STOCKHOLMS LÄN</t>
        </is>
      </c>
      <c r="E74" t="inlineStr">
        <is>
          <t>VALLENTUNA</t>
        </is>
      </c>
      <c r="G74" t="n">
        <v>1.7</v>
      </c>
      <c r="H74" t="n">
        <v>0</v>
      </c>
      <c r="I74" t="n">
        <v>0</v>
      </c>
      <c r="J74" t="n">
        <v>0</v>
      </c>
      <c r="K74" t="n">
        <v>0</v>
      </c>
      <c r="L74" t="n">
        <v>0</v>
      </c>
      <c r="M74" t="n">
        <v>0</v>
      </c>
      <c r="N74" t="n">
        <v>0</v>
      </c>
      <c r="O74" t="n">
        <v>0</v>
      </c>
      <c r="P74" t="n">
        <v>0</v>
      </c>
      <c r="Q74" t="n">
        <v>0</v>
      </c>
      <c r="R74" s="2" t="inlineStr"/>
    </row>
    <row r="75" ht="15" customHeight="1">
      <c r="A75" t="inlineStr">
        <is>
          <t>A 3078-2023</t>
        </is>
      </c>
      <c r="B75" s="1" t="n">
        <v>44946.41527777778</v>
      </c>
      <c r="C75" s="1" t="n">
        <v>45931</v>
      </c>
      <c r="D75" t="inlineStr">
        <is>
          <t>STOCKHOLMS LÄN</t>
        </is>
      </c>
      <c r="E75" t="inlineStr">
        <is>
          <t>VALLENTUNA</t>
        </is>
      </c>
      <c r="G75" t="n">
        <v>3.9</v>
      </c>
      <c r="H75" t="n">
        <v>0</v>
      </c>
      <c r="I75" t="n">
        <v>0</v>
      </c>
      <c r="J75" t="n">
        <v>0</v>
      </c>
      <c r="K75" t="n">
        <v>0</v>
      </c>
      <c r="L75" t="n">
        <v>0</v>
      </c>
      <c r="M75" t="n">
        <v>0</v>
      </c>
      <c r="N75" t="n">
        <v>0</v>
      </c>
      <c r="O75" t="n">
        <v>0</v>
      </c>
      <c r="P75" t="n">
        <v>0</v>
      </c>
      <c r="Q75" t="n">
        <v>0</v>
      </c>
      <c r="R75" s="2" t="inlineStr"/>
    </row>
    <row r="76" ht="15" customHeight="1">
      <c r="A76" t="inlineStr">
        <is>
          <t>A 26390-2023</t>
        </is>
      </c>
      <c r="B76" s="1" t="n">
        <v>45086</v>
      </c>
      <c r="C76" s="1" t="n">
        <v>45931</v>
      </c>
      <c r="D76" t="inlineStr">
        <is>
          <t>STOCKHOLMS LÄN</t>
        </is>
      </c>
      <c r="E76" t="inlineStr">
        <is>
          <t>VALLENTUNA</t>
        </is>
      </c>
      <c r="G76" t="n">
        <v>1.6</v>
      </c>
      <c r="H76" t="n">
        <v>0</v>
      </c>
      <c r="I76" t="n">
        <v>0</v>
      </c>
      <c r="J76" t="n">
        <v>0</v>
      </c>
      <c r="K76" t="n">
        <v>0</v>
      </c>
      <c r="L76" t="n">
        <v>0</v>
      </c>
      <c r="M76" t="n">
        <v>0</v>
      </c>
      <c r="N76" t="n">
        <v>0</v>
      </c>
      <c r="O76" t="n">
        <v>0</v>
      </c>
      <c r="P76" t="n">
        <v>0</v>
      </c>
      <c r="Q76" t="n">
        <v>0</v>
      </c>
      <c r="R76" s="2" t="inlineStr"/>
    </row>
    <row r="77" ht="15" customHeight="1">
      <c r="A77" t="inlineStr">
        <is>
          <t>A 735-2024</t>
        </is>
      </c>
      <c r="B77" s="1" t="n">
        <v>45300</v>
      </c>
      <c r="C77" s="1" t="n">
        <v>45931</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17411-2023</t>
        </is>
      </c>
      <c r="B78" s="1" t="n">
        <v>45035.82512731481</v>
      </c>
      <c r="C78" s="1" t="n">
        <v>45931</v>
      </c>
      <c r="D78" t="inlineStr">
        <is>
          <t>STOCKHOLMS LÄN</t>
        </is>
      </c>
      <c r="E78" t="inlineStr">
        <is>
          <t>VALLENTUNA</t>
        </is>
      </c>
      <c r="G78" t="n">
        <v>0.7</v>
      </c>
      <c r="H78" t="n">
        <v>0</v>
      </c>
      <c r="I78" t="n">
        <v>0</v>
      </c>
      <c r="J78" t="n">
        <v>0</v>
      </c>
      <c r="K78" t="n">
        <v>0</v>
      </c>
      <c r="L78" t="n">
        <v>0</v>
      </c>
      <c r="M78" t="n">
        <v>0</v>
      </c>
      <c r="N78" t="n">
        <v>0</v>
      </c>
      <c r="O78" t="n">
        <v>0</v>
      </c>
      <c r="P78" t="n">
        <v>0</v>
      </c>
      <c r="Q78" t="n">
        <v>0</v>
      </c>
      <c r="R78" s="2" t="inlineStr"/>
    </row>
    <row r="79" ht="15" customHeight="1">
      <c r="A79" t="inlineStr">
        <is>
          <t>A 62402-2022</t>
        </is>
      </c>
      <c r="B79" s="1" t="n">
        <v>44923</v>
      </c>
      <c r="C79" s="1" t="n">
        <v>45931</v>
      </c>
      <c r="D79" t="inlineStr">
        <is>
          <t>STOCKHOLMS LÄN</t>
        </is>
      </c>
      <c r="E79" t="inlineStr">
        <is>
          <t>VALLENTUNA</t>
        </is>
      </c>
      <c r="G79" t="n">
        <v>3.8</v>
      </c>
      <c r="H79" t="n">
        <v>0</v>
      </c>
      <c r="I79" t="n">
        <v>0</v>
      </c>
      <c r="J79" t="n">
        <v>0</v>
      </c>
      <c r="K79" t="n">
        <v>0</v>
      </c>
      <c r="L79" t="n">
        <v>0</v>
      </c>
      <c r="M79" t="n">
        <v>0</v>
      </c>
      <c r="N79" t="n">
        <v>0</v>
      </c>
      <c r="O79" t="n">
        <v>0</v>
      </c>
      <c r="P79" t="n">
        <v>0</v>
      </c>
      <c r="Q79" t="n">
        <v>0</v>
      </c>
      <c r="R79" s="2" t="inlineStr"/>
    </row>
    <row r="80" ht="15" customHeight="1">
      <c r="A80" t="inlineStr">
        <is>
          <t>A 60795-2023</t>
        </is>
      </c>
      <c r="B80" s="1" t="n">
        <v>45260</v>
      </c>
      <c r="C80" s="1" t="n">
        <v>45931</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15268-2023</t>
        </is>
      </c>
      <c r="B81" s="1" t="n">
        <v>45019.41045138889</v>
      </c>
      <c r="C81" s="1" t="n">
        <v>45931</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14480-2024</t>
        </is>
      </c>
      <c r="B82" s="1" t="n">
        <v>45394.56777777777</v>
      </c>
      <c r="C82" s="1" t="n">
        <v>45931</v>
      </c>
      <c r="D82" t="inlineStr">
        <is>
          <t>STOCKHOLMS LÄN</t>
        </is>
      </c>
      <c r="E82" t="inlineStr">
        <is>
          <t>VALLENTUNA</t>
        </is>
      </c>
      <c r="G82" t="n">
        <v>1.8</v>
      </c>
      <c r="H82" t="n">
        <v>0</v>
      </c>
      <c r="I82" t="n">
        <v>0</v>
      </c>
      <c r="J82" t="n">
        <v>0</v>
      </c>
      <c r="K82" t="n">
        <v>0</v>
      </c>
      <c r="L82" t="n">
        <v>0</v>
      </c>
      <c r="M82" t="n">
        <v>0</v>
      </c>
      <c r="N82" t="n">
        <v>0</v>
      </c>
      <c r="O82" t="n">
        <v>0</v>
      </c>
      <c r="P82" t="n">
        <v>0</v>
      </c>
      <c r="Q82" t="n">
        <v>0</v>
      </c>
      <c r="R82" s="2" t="inlineStr"/>
    </row>
    <row r="83" ht="15" customHeight="1">
      <c r="A83" t="inlineStr">
        <is>
          <t>A 38102-2024</t>
        </is>
      </c>
      <c r="B83" s="1" t="n">
        <v>45545.36349537037</v>
      </c>
      <c r="C83" s="1" t="n">
        <v>45931</v>
      </c>
      <c r="D83" t="inlineStr">
        <is>
          <t>STOCKHOLMS LÄN</t>
        </is>
      </c>
      <c r="E83" t="inlineStr">
        <is>
          <t>VALLENTUNA</t>
        </is>
      </c>
      <c r="G83" t="n">
        <v>3.2</v>
      </c>
      <c r="H83" t="n">
        <v>0</v>
      </c>
      <c r="I83" t="n">
        <v>0</v>
      </c>
      <c r="J83" t="n">
        <v>0</v>
      </c>
      <c r="K83" t="n">
        <v>0</v>
      </c>
      <c r="L83" t="n">
        <v>0</v>
      </c>
      <c r="M83" t="n">
        <v>0</v>
      </c>
      <c r="N83" t="n">
        <v>0</v>
      </c>
      <c r="O83" t="n">
        <v>0</v>
      </c>
      <c r="P83" t="n">
        <v>0</v>
      </c>
      <c r="Q83" t="n">
        <v>0</v>
      </c>
      <c r="R83" s="2" t="inlineStr"/>
    </row>
    <row r="84" ht="15" customHeight="1">
      <c r="A84" t="inlineStr">
        <is>
          <t>A 17340-2025</t>
        </is>
      </c>
      <c r="B84" s="1" t="n">
        <v>45756</v>
      </c>
      <c r="C84" s="1" t="n">
        <v>45931</v>
      </c>
      <c r="D84" t="inlineStr">
        <is>
          <t>STOCKHOLMS LÄN</t>
        </is>
      </c>
      <c r="E84" t="inlineStr">
        <is>
          <t>VALLENTUNA</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20791-2025</t>
        </is>
      </c>
      <c r="B85" s="1" t="n">
        <v>45776.62738425926</v>
      </c>
      <c r="C85" s="1" t="n">
        <v>45931</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10073-2024</t>
        </is>
      </c>
      <c r="B86" s="1" t="n">
        <v>45364.40821759259</v>
      </c>
      <c r="C86" s="1" t="n">
        <v>45931</v>
      </c>
      <c r="D86" t="inlineStr">
        <is>
          <t>STOCKHOLMS LÄN</t>
        </is>
      </c>
      <c r="E86" t="inlineStr">
        <is>
          <t>VALLENTUNA</t>
        </is>
      </c>
      <c r="G86" t="n">
        <v>1.1</v>
      </c>
      <c r="H86" t="n">
        <v>0</v>
      </c>
      <c r="I86" t="n">
        <v>0</v>
      </c>
      <c r="J86" t="n">
        <v>0</v>
      </c>
      <c r="K86" t="n">
        <v>0</v>
      </c>
      <c r="L86" t="n">
        <v>0</v>
      </c>
      <c r="M86" t="n">
        <v>0</v>
      </c>
      <c r="N86" t="n">
        <v>0</v>
      </c>
      <c r="O86" t="n">
        <v>0</v>
      </c>
      <c r="P86" t="n">
        <v>0</v>
      </c>
      <c r="Q86" t="n">
        <v>0</v>
      </c>
      <c r="R86" s="2" t="inlineStr"/>
    </row>
    <row r="87" ht="15" customHeight="1">
      <c r="A87" t="inlineStr">
        <is>
          <t>A 24707-2023</t>
        </is>
      </c>
      <c r="B87" s="1" t="n">
        <v>45084</v>
      </c>
      <c r="C87" s="1" t="n">
        <v>45931</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45931</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12609-2024</t>
        </is>
      </c>
      <c r="B89" s="1" t="n">
        <v>45382.8109375</v>
      </c>
      <c r="C89" s="1" t="n">
        <v>45931</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34452-2021</t>
        </is>
      </c>
      <c r="B90" s="1" t="n">
        <v>44381</v>
      </c>
      <c r="C90" s="1" t="n">
        <v>45931</v>
      </c>
      <c r="D90" t="inlineStr">
        <is>
          <t>STOCKHOLMS LÄN</t>
        </is>
      </c>
      <c r="E90" t="inlineStr">
        <is>
          <t>VALLENTUNA</t>
        </is>
      </c>
      <c r="G90" t="n">
        <v>14.7</v>
      </c>
      <c r="H90" t="n">
        <v>0</v>
      </c>
      <c r="I90" t="n">
        <v>0</v>
      </c>
      <c r="J90" t="n">
        <v>0</v>
      </c>
      <c r="K90" t="n">
        <v>0</v>
      </c>
      <c r="L90" t="n">
        <v>0</v>
      </c>
      <c r="M90" t="n">
        <v>0</v>
      </c>
      <c r="N90" t="n">
        <v>0</v>
      </c>
      <c r="O90" t="n">
        <v>0</v>
      </c>
      <c r="P90" t="n">
        <v>0</v>
      </c>
      <c r="Q90" t="n">
        <v>0</v>
      </c>
      <c r="R90" s="2" t="inlineStr"/>
    </row>
    <row r="91" ht="15" customHeight="1">
      <c r="A91" t="inlineStr">
        <is>
          <t>A 47204-2024</t>
        </is>
      </c>
      <c r="B91" s="1" t="n">
        <v>45586.63575231482</v>
      </c>
      <c r="C91" s="1" t="n">
        <v>45931</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47140-2024</t>
        </is>
      </c>
      <c r="B92" s="1" t="n">
        <v>45586.58753472222</v>
      </c>
      <c r="C92" s="1" t="n">
        <v>45931</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12621-2024</t>
        </is>
      </c>
      <c r="B93" s="1" t="n">
        <v>45383.6325</v>
      </c>
      <c r="C93" s="1" t="n">
        <v>45931</v>
      </c>
      <c r="D93" t="inlineStr">
        <is>
          <t>STOCKHOLMS LÄN</t>
        </is>
      </c>
      <c r="E93" t="inlineStr">
        <is>
          <t>VALLENTUNA</t>
        </is>
      </c>
      <c r="G93" t="n">
        <v>4.4</v>
      </c>
      <c r="H93" t="n">
        <v>0</v>
      </c>
      <c r="I93" t="n">
        <v>0</v>
      </c>
      <c r="J93" t="n">
        <v>0</v>
      </c>
      <c r="K93" t="n">
        <v>0</v>
      </c>
      <c r="L93" t="n">
        <v>0</v>
      </c>
      <c r="M93" t="n">
        <v>0</v>
      </c>
      <c r="N93" t="n">
        <v>0</v>
      </c>
      <c r="O93" t="n">
        <v>0</v>
      </c>
      <c r="P93" t="n">
        <v>0</v>
      </c>
      <c r="Q93" t="n">
        <v>0</v>
      </c>
      <c r="R93" s="2" t="inlineStr"/>
    </row>
    <row r="94" ht="15" customHeight="1">
      <c r="A94" t="inlineStr">
        <is>
          <t>A 48717-2024</t>
        </is>
      </c>
      <c r="B94" s="1" t="n">
        <v>45593</v>
      </c>
      <c r="C94" s="1" t="n">
        <v>45931</v>
      </c>
      <c r="D94" t="inlineStr">
        <is>
          <t>STOCKHOLMS LÄN</t>
        </is>
      </c>
      <c r="E94" t="inlineStr">
        <is>
          <t>VALLENTUNA</t>
        </is>
      </c>
      <c r="G94" t="n">
        <v>6.2</v>
      </c>
      <c r="H94" t="n">
        <v>0</v>
      </c>
      <c r="I94" t="n">
        <v>0</v>
      </c>
      <c r="J94" t="n">
        <v>0</v>
      </c>
      <c r="K94" t="n">
        <v>0</v>
      </c>
      <c r="L94" t="n">
        <v>0</v>
      </c>
      <c r="M94" t="n">
        <v>0</v>
      </c>
      <c r="N94" t="n">
        <v>0</v>
      </c>
      <c r="O94" t="n">
        <v>0</v>
      </c>
      <c r="P94" t="n">
        <v>0</v>
      </c>
      <c r="Q94" t="n">
        <v>0</v>
      </c>
      <c r="R94" s="2" t="inlineStr"/>
    </row>
    <row r="95" ht="15" customHeight="1">
      <c r="A95" t="inlineStr">
        <is>
          <t>A 27868-2025</t>
        </is>
      </c>
      <c r="B95" s="1" t="n">
        <v>45817</v>
      </c>
      <c r="C95" s="1" t="n">
        <v>45931</v>
      </c>
      <c r="D95" t="inlineStr">
        <is>
          <t>STOCKHOLMS LÄN</t>
        </is>
      </c>
      <c r="E95" t="inlineStr">
        <is>
          <t>VALLENTUNA</t>
        </is>
      </c>
      <c r="G95" t="n">
        <v>2.2</v>
      </c>
      <c r="H95" t="n">
        <v>0</v>
      </c>
      <c r="I95" t="n">
        <v>0</v>
      </c>
      <c r="J95" t="n">
        <v>0</v>
      </c>
      <c r="K95" t="n">
        <v>0</v>
      </c>
      <c r="L95" t="n">
        <v>0</v>
      </c>
      <c r="M95" t="n">
        <v>0</v>
      </c>
      <c r="N95" t="n">
        <v>0</v>
      </c>
      <c r="O95" t="n">
        <v>0</v>
      </c>
      <c r="P95" t="n">
        <v>0</v>
      </c>
      <c r="Q95" t="n">
        <v>0</v>
      </c>
      <c r="R95" s="2" t="inlineStr"/>
    </row>
    <row r="96" ht="15" customHeight="1">
      <c r="A96" t="inlineStr">
        <is>
          <t>A 46381-2023</t>
        </is>
      </c>
      <c r="B96" s="1" t="n">
        <v>45193</v>
      </c>
      <c r="C96" s="1" t="n">
        <v>45931</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8565-2025</t>
        </is>
      </c>
      <c r="B97" s="1" t="n">
        <v>45709</v>
      </c>
      <c r="C97" s="1" t="n">
        <v>45931</v>
      </c>
      <c r="D97" t="inlineStr">
        <is>
          <t>STOCKHOLMS LÄN</t>
        </is>
      </c>
      <c r="E97" t="inlineStr">
        <is>
          <t>VALLENTUNA</t>
        </is>
      </c>
      <c r="F97" t="inlineStr">
        <is>
          <t>Kommuner</t>
        </is>
      </c>
      <c r="G97" t="n">
        <v>4.2</v>
      </c>
      <c r="H97" t="n">
        <v>0</v>
      </c>
      <c r="I97" t="n">
        <v>0</v>
      </c>
      <c r="J97" t="n">
        <v>0</v>
      </c>
      <c r="K97" t="n">
        <v>0</v>
      </c>
      <c r="L97" t="n">
        <v>0</v>
      </c>
      <c r="M97" t="n">
        <v>0</v>
      </c>
      <c r="N97" t="n">
        <v>0</v>
      </c>
      <c r="O97" t="n">
        <v>0</v>
      </c>
      <c r="P97" t="n">
        <v>0</v>
      </c>
      <c r="Q97" t="n">
        <v>0</v>
      </c>
      <c r="R97" s="2" t="inlineStr"/>
    </row>
    <row r="98" ht="15" customHeight="1">
      <c r="A98" t="inlineStr">
        <is>
          <t>A 61027-2023</t>
        </is>
      </c>
      <c r="B98" s="1" t="n">
        <v>45261</v>
      </c>
      <c r="C98" s="1" t="n">
        <v>45931</v>
      </c>
      <c r="D98" t="inlineStr">
        <is>
          <t>STOCKHOLMS LÄN</t>
        </is>
      </c>
      <c r="E98" t="inlineStr">
        <is>
          <t>VALLENTUNA</t>
        </is>
      </c>
      <c r="G98" t="n">
        <v>7.1</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45931</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48068-2021</t>
        </is>
      </c>
      <c r="B100" s="1" t="n">
        <v>44449.42270833333</v>
      </c>
      <c r="C100" s="1" t="n">
        <v>45931</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3937-2022</t>
        </is>
      </c>
      <c r="B101" s="1" t="n">
        <v>44587</v>
      </c>
      <c r="C101" s="1" t="n">
        <v>45931</v>
      </c>
      <c r="D101" t="inlineStr">
        <is>
          <t>STOCKHOLMS LÄN</t>
        </is>
      </c>
      <c r="E101" t="inlineStr">
        <is>
          <t>VALLENTUNA</t>
        </is>
      </c>
      <c r="G101" t="n">
        <v>6.6</v>
      </c>
      <c r="H101" t="n">
        <v>0</v>
      </c>
      <c r="I101" t="n">
        <v>0</v>
      </c>
      <c r="J101" t="n">
        <v>0</v>
      </c>
      <c r="K101" t="n">
        <v>0</v>
      </c>
      <c r="L101" t="n">
        <v>0</v>
      </c>
      <c r="M101" t="n">
        <v>0</v>
      </c>
      <c r="N101" t="n">
        <v>0</v>
      </c>
      <c r="O101" t="n">
        <v>0</v>
      </c>
      <c r="P101" t="n">
        <v>0</v>
      </c>
      <c r="Q101" t="n">
        <v>0</v>
      </c>
      <c r="R101" s="2" t="inlineStr"/>
    </row>
    <row r="102" ht="15" customHeight="1">
      <c r="A102" t="inlineStr">
        <is>
          <t>A 23009-2024</t>
        </is>
      </c>
      <c r="B102" s="1" t="n">
        <v>45450.34506944445</v>
      </c>
      <c r="C102" s="1" t="n">
        <v>45931</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4803-2024</t>
        </is>
      </c>
      <c r="B103" s="1" t="n">
        <v>45328</v>
      </c>
      <c r="C103" s="1" t="n">
        <v>45931</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52542-2023</t>
        </is>
      </c>
      <c r="B104" s="1" t="n">
        <v>45225</v>
      </c>
      <c r="C104" s="1" t="n">
        <v>45931</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60818-2023</t>
        </is>
      </c>
      <c r="B105" s="1" t="n">
        <v>45259</v>
      </c>
      <c r="C105" s="1" t="n">
        <v>45931</v>
      </c>
      <c r="D105" t="inlineStr">
        <is>
          <t>STOCKHOLMS LÄN</t>
        </is>
      </c>
      <c r="E105" t="inlineStr">
        <is>
          <t>VALLENTUNA</t>
        </is>
      </c>
      <c r="G105" t="n">
        <v>9.4</v>
      </c>
      <c r="H105" t="n">
        <v>0</v>
      </c>
      <c r="I105" t="n">
        <v>0</v>
      </c>
      <c r="J105" t="n">
        <v>0</v>
      </c>
      <c r="K105" t="n">
        <v>0</v>
      </c>
      <c r="L105" t="n">
        <v>0</v>
      </c>
      <c r="M105" t="n">
        <v>0</v>
      </c>
      <c r="N105" t="n">
        <v>0</v>
      </c>
      <c r="O105" t="n">
        <v>0</v>
      </c>
      <c r="P105" t="n">
        <v>0</v>
      </c>
      <c r="Q105" t="n">
        <v>0</v>
      </c>
      <c r="R105" s="2" t="inlineStr"/>
    </row>
    <row r="106" ht="15" customHeight="1">
      <c r="A106" t="inlineStr">
        <is>
          <t>A 23923-2025</t>
        </is>
      </c>
      <c r="B106" s="1" t="n">
        <v>45795.39648148148</v>
      </c>
      <c r="C106" s="1" t="n">
        <v>45931</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7264-2022</t>
        </is>
      </c>
      <c r="B107" s="1" t="n">
        <v>44606</v>
      </c>
      <c r="C107" s="1" t="n">
        <v>45931</v>
      </c>
      <c r="D107" t="inlineStr">
        <is>
          <t>STOCKHOLMS LÄN</t>
        </is>
      </c>
      <c r="E107" t="inlineStr">
        <is>
          <t>VALLENTUNA</t>
        </is>
      </c>
      <c r="G107" t="n">
        <v>2.4</v>
      </c>
      <c r="H107" t="n">
        <v>0</v>
      </c>
      <c r="I107" t="n">
        <v>0</v>
      </c>
      <c r="J107" t="n">
        <v>0</v>
      </c>
      <c r="K107" t="n">
        <v>0</v>
      </c>
      <c r="L107" t="n">
        <v>0</v>
      </c>
      <c r="M107" t="n">
        <v>0</v>
      </c>
      <c r="N107" t="n">
        <v>0</v>
      </c>
      <c r="O107" t="n">
        <v>0</v>
      </c>
      <c r="P107" t="n">
        <v>0</v>
      </c>
      <c r="Q107" t="n">
        <v>0</v>
      </c>
      <c r="R107" s="2" t="inlineStr"/>
    </row>
    <row r="108" ht="15" customHeight="1">
      <c r="A108" t="inlineStr">
        <is>
          <t>A 25984-2025</t>
        </is>
      </c>
      <c r="B108" s="1" t="n">
        <v>45804.64016203704</v>
      </c>
      <c r="C108" s="1" t="n">
        <v>45931</v>
      </c>
      <c r="D108" t="inlineStr">
        <is>
          <t>STOCKHOLMS LÄN</t>
        </is>
      </c>
      <c r="E108" t="inlineStr">
        <is>
          <t>VALLENTUNA</t>
        </is>
      </c>
      <c r="G108" t="n">
        <v>2.5</v>
      </c>
      <c r="H108" t="n">
        <v>0</v>
      </c>
      <c r="I108" t="n">
        <v>0</v>
      </c>
      <c r="J108" t="n">
        <v>0</v>
      </c>
      <c r="K108" t="n">
        <v>0</v>
      </c>
      <c r="L108" t="n">
        <v>0</v>
      </c>
      <c r="M108" t="n">
        <v>0</v>
      </c>
      <c r="N108" t="n">
        <v>0</v>
      </c>
      <c r="O108" t="n">
        <v>0</v>
      </c>
      <c r="P108" t="n">
        <v>0</v>
      </c>
      <c r="Q108" t="n">
        <v>0</v>
      </c>
      <c r="R108" s="2" t="inlineStr"/>
    </row>
    <row r="109" ht="15" customHeight="1">
      <c r="A109" t="inlineStr">
        <is>
          <t>A 61655-2020</t>
        </is>
      </c>
      <c r="B109" s="1" t="n">
        <v>44158</v>
      </c>
      <c r="C109" s="1" t="n">
        <v>45931</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11950-2025</t>
        </is>
      </c>
      <c r="B110" s="1" t="n">
        <v>45728.55622685186</v>
      </c>
      <c r="C110" s="1" t="n">
        <v>45931</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68938-2020</t>
        </is>
      </c>
      <c r="B111" s="1" t="n">
        <v>44187</v>
      </c>
      <c r="C111" s="1" t="n">
        <v>45931</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68935-2020</t>
        </is>
      </c>
      <c r="B112" s="1" t="n">
        <v>44187</v>
      </c>
      <c r="C112" s="1" t="n">
        <v>45931</v>
      </c>
      <c r="D112" t="inlineStr">
        <is>
          <t>STOCKHOLMS LÄN</t>
        </is>
      </c>
      <c r="E112" t="inlineStr">
        <is>
          <t>VALLENTUNA</t>
        </is>
      </c>
      <c r="G112" t="n">
        <v>7.8</v>
      </c>
      <c r="H112" t="n">
        <v>0</v>
      </c>
      <c r="I112" t="n">
        <v>0</v>
      </c>
      <c r="J112" t="n">
        <v>0</v>
      </c>
      <c r="K112" t="n">
        <v>0</v>
      </c>
      <c r="L112" t="n">
        <v>0</v>
      </c>
      <c r="M112" t="n">
        <v>0</v>
      </c>
      <c r="N112" t="n">
        <v>0</v>
      </c>
      <c r="O112" t="n">
        <v>0</v>
      </c>
      <c r="P112" t="n">
        <v>0</v>
      </c>
      <c r="Q112" t="n">
        <v>0</v>
      </c>
      <c r="R112" s="2" t="inlineStr"/>
    </row>
    <row r="113" ht="15" customHeight="1">
      <c r="A113" t="inlineStr">
        <is>
          <t>A 14489-2024</t>
        </is>
      </c>
      <c r="B113" s="1" t="n">
        <v>45394.58053240741</v>
      </c>
      <c r="C113" s="1" t="n">
        <v>45931</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19356-2025</t>
        </is>
      </c>
      <c r="B114" s="1" t="n">
        <v>45769.62061342593</v>
      </c>
      <c r="C114" s="1" t="n">
        <v>45931</v>
      </c>
      <c r="D114" t="inlineStr">
        <is>
          <t>STOCKHOLMS LÄN</t>
        </is>
      </c>
      <c r="E114" t="inlineStr">
        <is>
          <t>VALLENTUNA</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12562-2023</t>
        </is>
      </c>
      <c r="B115" s="1" t="n">
        <v>45000</v>
      </c>
      <c r="C115" s="1" t="n">
        <v>45931</v>
      </c>
      <c r="D115" t="inlineStr">
        <is>
          <t>STOCKHOLMS LÄN</t>
        </is>
      </c>
      <c r="E115" t="inlineStr">
        <is>
          <t>VALLENTUNA</t>
        </is>
      </c>
      <c r="G115" t="n">
        <v>2.1</v>
      </c>
      <c r="H115" t="n">
        <v>0</v>
      </c>
      <c r="I115" t="n">
        <v>0</v>
      </c>
      <c r="J115" t="n">
        <v>0</v>
      </c>
      <c r="K115" t="n">
        <v>0</v>
      </c>
      <c r="L115" t="n">
        <v>0</v>
      </c>
      <c r="M115" t="n">
        <v>0</v>
      </c>
      <c r="N115" t="n">
        <v>0</v>
      </c>
      <c r="O115" t="n">
        <v>0</v>
      </c>
      <c r="P115" t="n">
        <v>0</v>
      </c>
      <c r="Q115" t="n">
        <v>0</v>
      </c>
      <c r="R115" s="2" t="inlineStr"/>
    </row>
    <row r="116" ht="15" customHeight="1">
      <c r="A116" t="inlineStr">
        <is>
          <t>A 52562-2023</t>
        </is>
      </c>
      <c r="B116" s="1" t="n">
        <v>45225</v>
      </c>
      <c r="C116" s="1" t="n">
        <v>45931</v>
      </c>
      <c r="D116" t="inlineStr">
        <is>
          <t>STOCKHOLMS LÄN</t>
        </is>
      </c>
      <c r="E116" t="inlineStr">
        <is>
          <t>VALLENTUNA</t>
        </is>
      </c>
      <c r="G116" t="n">
        <v>3.4</v>
      </c>
      <c r="H116" t="n">
        <v>0</v>
      </c>
      <c r="I116" t="n">
        <v>0</v>
      </c>
      <c r="J116" t="n">
        <v>0</v>
      </c>
      <c r="K116" t="n">
        <v>0</v>
      </c>
      <c r="L116" t="n">
        <v>0</v>
      </c>
      <c r="M116" t="n">
        <v>0</v>
      </c>
      <c r="N116" t="n">
        <v>0</v>
      </c>
      <c r="O116" t="n">
        <v>0</v>
      </c>
      <c r="P116" t="n">
        <v>0</v>
      </c>
      <c r="Q116" t="n">
        <v>0</v>
      </c>
      <c r="R116" s="2" t="inlineStr"/>
    </row>
    <row r="117" ht="15" customHeight="1">
      <c r="A117" t="inlineStr">
        <is>
          <t>A 6593-2021</t>
        </is>
      </c>
      <c r="B117" s="1" t="n">
        <v>44236</v>
      </c>
      <c r="C117" s="1" t="n">
        <v>45931</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4804-2024</t>
        </is>
      </c>
      <c r="B118" s="1" t="n">
        <v>45328</v>
      </c>
      <c r="C118" s="1" t="n">
        <v>45931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45931</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30902-2025</t>
        </is>
      </c>
      <c r="B120" s="1" t="n">
        <v>45832.36104166666</v>
      </c>
      <c r="C120" s="1" t="n">
        <v>45931</v>
      </c>
      <c r="D120" t="inlineStr">
        <is>
          <t>STOCKHOLMS LÄN</t>
        </is>
      </c>
      <c r="E120" t="inlineStr">
        <is>
          <t>VALLENTUNA</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2318-2024</t>
        </is>
      </c>
      <c r="B121" s="1" t="n">
        <v>45310</v>
      </c>
      <c r="C121" s="1" t="n">
        <v>45931</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24068-2024</t>
        </is>
      </c>
      <c r="B122" s="1" t="n">
        <v>45456</v>
      </c>
      <c r="C122" s="1" t="n">
        <v>45931</v>
      </c>
      <c r="D122" t="inlineStr">
        <is>
          <t>STOCKHOLMS LÄN</t>
        </is>
      </c>
      <c r="E122" t="inlineStr">
        <is>
          <t>VALLENTUNA</t>
        </is>
      </c>
      <c r="G122" t="n">
        <v>7.4</v>
      </c>
      <c r="H122" t="n">
        <v>0</v>
      </c>
      <c r="I122" t="n">
        <v>0</v>
      </c>
      <c r="J122" t="n">
        <v>0</v>
      </c>
      <c r="K122" t="n">
        <v>0</v>
      </c>
      <c r="L122" t="n">
        <v>0</v>
      </c>
      <c r="M122" t="n">
        <v>0</v>
      </c>
      <c r="N122" t="n">
        <v>0</v>
      </c>
      <c r="O122" t="n">
        <v>0</v>
      </c>
      <c r="P122" t="n">
        <v>0</v>
      </c>
      <c r="Q122" t="n">
        <v>0</v>
      </c>
      <c r="R122" s="2" t="inlineStr"/>
    </row>
    <row r="123" ht="15" customHeight="1">
      <c r="A123" t="inlineStr">
        <is>
          <t>A 28431-2025</t>
        </is>
      </c>
      <c r="B123" s="1" t="n">
        <v>45819.38072916667</v>
      </c>
      <c r="C123" s="1" t="n">
        <v>45931</v>
      </c>
      <c r="D123" t="inlineStr">
        <is>
          <t>STOCKHOLMS LÄN</t>
        </is>
      </c>
      <c r="E123" t="inlineStr">
        <is>
          <t>VALLENTUNA</t>
        </is>
      </c>
      <c r="G123" t="n">
        <v>1.5</v>
      </c>
      <c r="H123" t="n">
        <v>0</v>
      </c>
      <c r="I123" t="n">
        <v>0</v>
      </c>
      <c r="J123" t="n">
        <v>0</v>
      </c>
      <c r="K123" t="n">
        <v>0</v>
      </c>
      <c r="L123" t="n">
        <v>0</v>
      </c>
      <c r="M123" t="n">
        <v>0</v>
      </c>
      <c r="N123" t="n">
        <v>0</v>
      </c>
      <c r="O123" t="n">
        <v>0</v>
      </c>
      <c r="P123" t="n">
        <v>0</v>
      </c>
      <c r="Q123" t="n">
        <v>0</v>
      </c>
      <c r="R123" s="2" t="inlineStr"/>
    </row>
    <row r="124" ht="15" customHeight="1">
      <c r="A124" t="inlineStr">
        <is>
          <t>A 61442-2024</t>
        </is>
      </c>
      <c r="B124" s="1" t="n">
        <v>45646.47003472222</v>
      </c>
      <c r="C124" s="1" t="n">
        <v>45931</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61742-2022</t>
        </is>
      </c>
      <c r="B125" s="1" t="n">
        <v>44917</v>
      </c>
      <c r="C125" s="1" t="n">
        <v>45931</v>
      </c>
      <c r="D125" t="inlineStr">
        <is>
          <t>STOCKHOLMS LÄN</t>
        </is>
      </c>
      <c r="E125" t="inlineStr">
        <is>
          <t>VALLENTUNA</t>
        </is>
      </c>
      <c r="G125" t="n">
        <v>0.5</v>
      </c>
      <c r="H125" t="n">
        <v>0</v>
      </c>
      <c r="I125" t="n">
        <v>0</v>
      </c>
      <c r="J125" t="n">
        <v>0</v>
      </c>
      <c r="K125" t="n">
        <v>0</v>
      </c>
      <c r="L125" t="n">
        <v>0</v>
      </c>
      <c r="M125" t="n">
        <v>0</v>
      </c>
      <c r="N125" t="n">
        <v>0</v>
      </c>
      <c r="O125" t="n">
        <v>0</v>
      </c>
      <c r="P125" t="n">
        <v>0</v>
      </c>
      <c r="Q125" t="n">
        <v>0</v>
      </c>
      <c r="R125" s="2" t="inlineStr"/>
    </row>
    <row r="126" ht="15" customHeight="1">
      <c r="A126" t="inlineStr">
        <is>
          <t>A 3698-2022</t>
        </is>
      </c>
      <c r="B126" s="1" t="n">
        <v>44586</v>
      </c>
      <c r="C126" s="1" t="n">
        <v>45931</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41206-2025</t>
        </is>
      </c>
      <c r="B127" s="1" t="n">
        <v>45898</v>
      </c>
      <c r="C127" s="1" t="n">
        <v>45931</v>
      </c>
      <c r="D127" t="inlineStr">
        <is>
          <t>STOCKHOLMS LÄN</t>
        </is>
      </c>
      <c r="E127" t="inlineStr">
        <is>
          <t>VALLENTUNA</t>
        </is>
      </c>
      <c r="G127" t="n">
        <v>10</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44914.70746527778</v>
      </c>
      <c r="C128" s="1" t="n">
        <v>45931</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34458-2023</t>
        </is>
      </c>
      <c r="B129" s="1" t="n">
        <v>45139</v>
      </c>
      <c r="C129" s="1" t="n">
        <v>45931</v>
      </c>
      <c r="D129" t="inlineStr">
        <is>
          <t>STOCKHOLMS LÄN</t>
        </is>
      </c>
      <c r="E129" t="inlineStr">
        <is>
          <t>VALLENTUNA</t>
        </is>
      </c>
      <c r="G129" t="n">
        <v>2.5</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45931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21614-2022</t>
        </is>
      </c>
      <c r="B131" s="1" t="n">
        <v>44706</v>
      </c>
      <c r="C131" s="1" t="n">
        <v>45931</v>
      </c>
      <c r="D131" t="inlineStr">
        <is>
          <t>STOCKHOLMS LÄN</t>
        </is>
      </c>
      <c r="E131" t="inlineStr">
        <is>
          <t>VALLENTUNA</t>
        </is>
      </c>
      <c r="G131" t="n">
        <v>4</v>
      </c>
      <c r="H131" t="n">
        <v>0</v>
      </c>
      <c r="I131" t="n">
        <v>0</v>
      </c>
      <c r="J131" t="n">
        <v>0</v>
      </c>
      <c r="K131" t="n">
        <v>0</v>
      </c>
      <c r="L131" t="n">
        <v>0</v>
      </c>
      <c r="M131" t="n">
        <v>0</v>
      </c>
      <c r="N131" t="n">
        <v>0</v>
      </c>
      <c r="O131" t="n">
        <v>0</v>
      </c>
      <c r="P131" t="n">
        <v>0</v>
      </c>
      <c r="Q131" t="n">
        <v>0</v>
      </c>
      <c r="R131" s="2" t="inlineStr"/>
    </row>
    <row r="132" ht="15" customHeight="1">
      <c r="A132" t="inlineStr">
        <is>
          <t>A 42613-2025</t>
        </is>
      </c>
      <c r="B132" s="1" t="n">
        <v>45905.70616898148</v>
      </c>
      <c r="C132" s="1" t="n">
        <v>45931</v>
      </c>
      <c r="D132" t="inlineStr">
        <is>
          <t>STOCKHOLMS LÄN</t>
        </is>
      </c>
      <c r="E132" t="inlineStr">
        <is>
          <t>VALLENTUNA</t>
        </is>
      </c>
      <c r="G132" t="n">
        <v>2.9</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45000.41373842592</v>
      </c>
      <c r="C133" s="1" t="n">
        <v>45931</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8787-2024</t>
        </is>
      </c>
      <c r="B134" s="1" t="n">
        <v>45356</v>
      </c>
      <c r="C134" s="1" t="n">
        <v>45931</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19503-2023</t>
        </is>
      </c>
      <c r="B135" s="1" t="n">
        <v>45050.47333333334</v>
      </c>
      <c r="C135" s="1" t="n">
        <v>45931</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44988-2025</t>
        </is>
      </c>
      <c r="B136" s="1" t="n">
        <v>45918.65505787037</v>
      </c>
      <c r="C136" s="1" t="n">
        <v>45931</v>
      </c>
      <c r="D136" t="inlineStr">
        <is>
          <t>STOCKHOLMS LÄN</t>
        </is>
      </c>
      <c r="E136" t="inlineStr">
        <is>
          <t>VALLENTUNA</t>
        </is>
      </c>
      <c r="G136" t="n">
        <v>1</v>
      </c>
      <c r="H136" t="n">
        <v>0</v>
      </c>
      <c r="I136" t="n">
        <v>0</v>
      </c>
      <c r="J136" t="n">
        <v>0</v>
      </c>
      <c r="K136" t="n">
        <v>0</v>
      </c>
      <c r="L136" t="n">
        <v>0</v>
      </c>
      <c r="M136" t="n">
        <v>0</v>
      </c>
      <c r="N136" t="n">
        <v>0</v>
      </c>
      <c r="O136" t="n">
        <v>0</v>
      </c>
      <c r="P136" t="n">
        <v>0</v>
      </c>
      <c r="Q136" t="n">
        <v>0</v>
      </c>
      <c r="R136" s="2" t="inlineStr"/>
    </row>
    <row r="137">
      <c r="A137" t="inlineStr">
        <is>
          <t>A 44346-2021</t>
        </is>
      </c>
      <c r="B137" s="1" t="n">
        <v>44434</v>
      </c>
      <c r="C137" s="1" t="n">
        <v>45931</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2025-10-01T12:51:23Z</dcterms:created>
  <dcterms:modified xmlns:dcterms="http://purl.org/dc/terms/" xmlns:xsi="http://www.w3.org/2001/XMLSchema-instance" xsi:type="dcterms:W3CDTF">2025-10-01T12:51:23Z</dcterms:modified>
</cp:coreProperties>
</file>