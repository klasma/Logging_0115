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46097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46097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46097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46097</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46097</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46097</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46097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46097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46097</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62402-2022</t>
        </is>
      </c>
      <c r="B24" s="1" t="n">
        <v>44923</v>
      </c>
      <c r="C24" s="1" t="n">
        <v>46097</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46097</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46097</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754-2024</t>
        </is>
      </c>
      <c r="B27" s="1" t="n">
        <v>45300</v>
      </c>
      <c r="C27" s="1" t="n">
        <v>46097</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14508-2024</t>
        </is>
      </c>
      <c r="B28" s="1" t="n">
        <v>45394.61583333334</v>
      </c>
      <c r="C28" s="1" t="n">
        <v>46097</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46097</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8817-2025</t>
        </is>
      </c>
      <c r="B30" s="1" t="n">
        <v>45712.70987268518</v>
      </c>
      <c r="C30" s="1" t="n">
        <v>46097</v>
      </c>
      <c r="D30" t="inlineStr">
        <is>
          <t>STOCKHOLMS LÄN</t>
        </is>
      </c>
      <c r="E30" t="inlineStr">
        <is>
          <t>VALLENTUNA</t>
        </is>
      </c>
      <c r="G30" t="n">
        <v>3.6</v>
      </c>
      <c r="H30" t="n">
        <v>0</v>
      </c>
      <c r="I30" t="n">
        <v>1</v>
      </c>
      <c r="J30" t="n">
        <v>0</v>
      </c>
      <c r="K30" t="n">
        <v>0</v>
      </c>
      <c r="L30" t="n">
        <v>0</v>
      </c>
      <c r="M30" t="n">
        <v>0</v>
      </c>
      <c r="N30" t="n">
        <v>0</v>
      </c>
      <c r="O30" t="n">
        <v>0</v>
      </c>
      <c r="P30" t="n">
        <v>0</v>
      </c>
      <c r="Q30" t="n">
        <v>1</v>
      </c>
      <c r="R30" s="2" t="inlineStr">
        <is>
          <t>Tibast</t>
        </is>
      </c>
      <c r="S30">
        <f>HYPERLINK("https://klasma.github.io/Logging_0115/artfynd/A 8817-2025 artfynd.xlsx", "A 8817-2025")</f>
        <v/>
      </c>
      <c r="T30">
        <f>HYPERLINK("https://klasma.github.io/Logging_0115/kartor/A 8817-2025 karta.png", "A 8817-2025")</f>
        <v/>
      </c>
      <c r="V30">
        <f>HYPERLINK("https://klasma.github.io/Logging_0115/klagomål/A 8817-2025 FSC-klagomål.docx", "A 8817-2025")</f>
        <v/>
      </c>
      <c r="W30">
        <f>HYPERLINK("https://klasma.github.io/Logging_0115/klagomålsmail/A 8817-2025 FSC-klagomål mail.docx", "A 8817-2025")</f>
        <v/>
      </c>
      <c r="X30">
        <f>HYPERLINK("https://klasma.github.io/Logging_0115/tillsyn/A 8817-2025 tillsynsbegäran.docx", "A 8817-2025")</f>
        <v/>
      </c>
      <c r="Y30">
        <f>HYPERLINK("https://klasma.github.io/Logging_0115/tillsynsmail/A 8817-2025 tillsynsbegäran mail.docx", "A 8817-2025")</f>
        <v/>
      </c>
    </row>
    <row r="31" ht="15" customHeight="1">
      <c r="A31" t="inlineStr">
        <is>
          <t>A 22830-2024</t>
        </is>
      </c>
      <c r="B31" s="1" t="n">
        <v>45448.56583333333</v>
      </c>
      <c r="C31" s="1" t="n">
        <v>46097</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46097</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21-2022</t>
        </is>
      </c>
      <c r="B33" s="1" t="n">
        <v>44560</v>
      </c>
      <c r="C33" s="1" t="n">
        <v>46097</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34458-2023</t>
        </is>
      </c>
      <c r="B34" s="1" t="n">
        <v>45139</v>
      </c>
      <c r="C34" s="1" t="n">
        <v>46097</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21439-2025</t>
        </is>
      </c>
      <c r="B35" s="1" t="n">
        <v>45782.52939814814</v>
      </c>
      <c r="C35" s="1" t="n">
        <v>46097</v>
      </c>
      <c r="D35" t="inlineStr">
        <is>
          <t>STOCKHOLMS LÄN</t>
        </is>
      </c>
      <c r="E35" t="inlineStr">
        <is>
          <t>VALLENTUNA</t>
        </is>
      </c>
      <c r="G35" t="n">
        <v>2.1</v>
      </c>
      <c r="H35" t="n">
        <v>0</v>
      </c>
      <c r="I35" t="n">
        <v>1</v>
      </c>
      <c r="J35" t="n">
        <v>0</v>
      </c>
      <c r="K35" t="n">
        <v>0</v>
      </c>
      <c r="L35" t="n">
        <v>0</v>
      </c>
      <c r="M35" t="n">
        <v>0</v>
      </c>
      <c r="N35" t="n">
        <v>0</v>
      </c>
      <c r="O35" t="n">
        <v>0</v>
      </c>
      <c r="P35" t="n">
        <v>0</v>
      </c>
      <c r="Q35" t="n">
        <v>1</v>
      </c>
      <c r="R35" s="2" t="inlineStr">
        <is>
          <t>Mindre märgborre</t>
        </is>
      </c>
      <c r="S35">
        <f>HYPERLINK("https://klasma.github.io/Logging_0115/artfynd/A 21439-2025 artfynd.xlsx", "A 21439-2025")</f>
        <v/>
      </c>
      <c r="T35">
        <f>HYPERLINK("https://klasma.github.io/Logging_0115/kartor/A 21439-2025 karta.png", "A 21439-2025")</f>
        <v/>
      </c>
      <c r="V35">
        <f>HYPERLINK("https://klasma.github.io/Logging_0115/klagomål/A 21439-2025 FSC-klagomål.docx", "A 21439-2025")</f>
        <v/>
      </c>
      <c r="W35">
        <f>HYPERLINK("https://klasma.github.io/Logging_0115/klagomålsmail/A 21439-2025 FSC-klagomål mail.docx", "A 21439-2025")</f>
        <v/>
      </c>
      <c r="X35">
        <f>HYPERLINK("https://klasma.github.io/Logging_0115/tillsyn/A 21439-2025 tillsynsbegäran.docx", "A 21439-2025")</f>
        <v/>
      </c>
      <c r="Y35">
        <f>HYPERLINK("https://klasma.github.io/Logging_0115/tillsynsmail/A 21439-2025 tillsynsbegäran mail.docx", "A 21439-2025")</f>
        <v/>
      </c>
    </row>
    <row r="36" ht="15" customHeight="1">
      <c r="A36" t="inlineStr">
        <is>
          <t>A 17341-2025</t>
        </is>
      </c>
      <c r="B36" s="1" t="n">
        <v>45756</v>
      </c>
      <c r="C36" s="1" t="n">
        <v>46097</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22936-2025</t>
        </is>
      </c>
      <c r="B37" s="1" t="n">
        <v>45790.45738425926</v>
      </c>
      <c r="C37" s="1" t="n">
        <v>46097</v>
      </c>
      <c r="D37" t="inlineStr">
        <is>
          <t>STOCKHOLMS LÄN</t>
        </is>
      </c>
      <c r="E37" t="inlineStr">
        <is>
          <t>VALLENTUNA</t>
        </is>
      </c>
      <c r="G37" t="n">
        <v>2.7</v>
      </c>
      <c r="H37" t="n">
        <v>0</v>
      </c>
      <c r="I37" t="n">
        <v>1</v>
      </c>
      <c r="J37" t="n">
        <v>0</v>
      </c>
      <c r="K37" t="n">
        <v>0</v>
      </c>
      <c r="L37" t="n">
        <v>0</v>
      </c>
      <c r="M37" t="n">
        <v>0</v>
      </c>
      <c r="N37" t="n">
        <v>0</v>
      </c>
      <c r="O37" t="n">
        <v>0</v>
      </c>
      <c r="P37" t="n">
        <v>0</v>
      </c>
      <c r="Q37" t="n">
        <v>1</v>
      </c>
      <c r="R37" s="2" t="inlineStr">
        <is>
          <t>Björksplintborre</t>
        </is>
      </c>
      <c r="S37">
        <f>HYPERLINK("https://klasma.github.io/Logging_0115/artfynd/A 22936-2025 artfynd.xlsx", "A 22936-2025")</f>
        <v/>
      </c>
      <c r="T37">
        <f>HYPERLINK("https://klasma.github.io/Logging_0115/kartor/A 22936-2025 karta.png", "A 22936-2025")</f>
        <v/>
      </c>
      <c r="V37">
        <f>HYPERLINK("https://klasma.github.io/Logging_0115/klagomål/A 22936-2025 FSC-klagomål.docx", "A 22936-2025")</f>
        <v/>
      </c>
      <c r="W37">
        <f>HYPERLINK("https://klasma.github.io/Logging_0115/klagomålsmail/A 22936-2025 FSC-klagomål mail.docx", "A 22936-2025")</f>
        <v/>
      </c>
      <c r="X37">
        <f>HYPERLINK("https://klasma.github.io/Logging_0115/tillsyn/A 22936-2025 tillsynsbegäran.docx", "A 22936-2025")</f>
        <v/>
      </c>
      <c r="Y37">
        <f>HYPERLINK("https://klasma.github.io/Logging_0115/tillsynsmail/A 22936-2025 tillsynsbegäran mail.docx", "A 22936-2025")</f>
        <v/>
      </c>
    </row>
    <row r="38" ht="15" customHeight="1">
      <c r="A38" t="inlineStr">
        <is>
          <t>A 34460-2023</t>
        </is>
      </c>
      <c r="B38" s="1" t="n">
        <v>45139</v>
      </c>
      <c r="C38" s="1" t="n">
        <v>46097</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54481-2025</t>
        </is>
      </c>
      <c r="B39" s="1" t="n">
        <v>45965.58837962963</v>
      </c>
      <c r="C39" s="1" t="n">
        <v>46097</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63543-2025</t>
        </is>
      </c>
      <c r="B40" s="1" t="n">
        <v>46013.59207175926</v>
      </c>
      <c r="C40" s="1" t="n">
        <v>46097</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63539-2025</t>
        </is>
      </c>
      <c r="B41" s="1" t="n">
        <v>46013.58824074074</v>
      </c>
      <c r="C41" s="1" t="n">
        <v>46097</v>
      </c>
      <c r="D41" t="inlineStr">
        <is>
          <t>STOCKHOLMS LÄN</t>
        </is>
      </c>
      <c r="E41" t="inlineStr">
        <is>
          <t>VALLENTUNA</t>
        </is>
      </c>
      <c r="G41" t="n">
        <v>1.1</v>
      </c>
      <c r="H41" t="n">
        <v>0</v>
      </c>
      <c r="I41" t="n">
        <v>1</v>
      </c>
      <c r="J41" t="n">
        <v>0</v>
      </c>
      <c r="K41" t="n">
        <v>0</v>
      </c>
      <c r="L41" t="n">
        <v>0</v>
      </c>
      <c r="M41" t="n">
        <v>0</v>
      </c>
      <c r="N41" t="n">
        <v>0</v>
      </c>
      <c r="O41" t="n">
        <v>0</v>
      </c>
      <c r="P41" t="n">
        <v>0</v>
      </c>
      <c r="Q41" t="n">
        <v>1</v>
      </c>
      <c r="R41" s="2" t="inlineStr">
        <is>
          <t>Vårärt</t>
        </is>
      </c>
      <c r="S41">
        <f>HYPERLINK("https://klasma.github.io/Logging_0115/artfynd/A 63539-2025 artfynd.xlsx", "A 63539-2025")</f>
        <v/>
      </c>
      <c r="T41">
        <f>HYPERLINK("https://klasma.github.io/Logging_0115/kartor/A 63539-2025 karta.png", "A 63539-2025")</f>
        <v/>
      </c>
      <c r="V41">
        <f>HYPERLINK("https://klasma.github.io/Logging_0115/klagomål/A 63539-2025 FSC-klagomål.docx", "A 63539-2025")</f>
        <v/>
      </c>
      <c r="W41">
        <f>HYPERLINK("https://klasma.github.io/Logging_0115/klagomålsmail/A 63539-2025 FSC-klagomål mail.docx", "A 63539-2025")</f>
        <v/>
      </c>
      <c r="X41">
        <f>HYPERLINK("https://klasma.github.io/Logging_0115/tillsyn/A 63539-2025 tillsynsbegäran.docx", "A 63539-2025")</f>
        <v/>
      </c>
      <c r="Y41">
        <f>HYPERLINK("https://klasma.github.io/Logging_0115/tillsynsmail/A 63539-2025 tillsynsbegäran mail.docx", "A 63539-2025")</f>
        <v/>
      </c>
    </row>
    <row r="42" ht="15" customHeight="1">
      <c r="A42" t="inlineStr">
        <is>
          <t>A 12401-2026</t>
        </is>
      </c>
      <c r="B42" s="1" t="n">
        <v>46090</v>
      </c>
      <c r="C42" s="1" t="n">
        <v>46097</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20612-2021</t>
        </is>
      </c>
      <c r="B43" s="1" t="n">
        <v>44315</v>
      </c>
      <c r="C43" s="1" t="n">
        <v>46097</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46097</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46097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46097</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14434-2021</t>
        </is>
      </c>
      <c r="B48" s="1" t="n">
        <v>44279</v>
      </c>
      <c r="C48" s="1" t="n">
        <v>46097</v>
      </c>
      <c r="D48" t="inlineStr">
        <is>
          <t>STOCKHOLMS LÄN</t>
        </is>
      </c>
      <c r="E48" t="inlineStr">
        <is>
          <t>VALLENTUNA</t>
        </is>
      </c>
      <c r="G48" t="n">
        <v>2</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46097</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22060-2021</t>
        </is>
      </c>
      <c r="B50" s="1" t="n">
        <v>44323</v>
      </c>
      <c r="C50" s="1" t="n">
        <v>46097</v>
      </c>
      <c r="D50" t="inlineStr">
        <is>
          <t>STOCKHOLMS LÄN</t>
        </is>
      </c>
      <c r="E50" t="inlineStr">
        <is>
          <t>VALLENTUNA</t>
        </is>
      </c>
      <c r="G50" t="n">
        <v>3</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46097</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46097</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46097</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46097</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46097</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46097</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46924-2021</t>
        </is>
      </c>
      <c r="B57" s="1" t="n">
        <v>44446</v>
      </c>
      <c r="C57" s="1" t="n">
        <v>46097</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46097</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46097</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46097</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7264-2022</t>
        </is>
      </c>
      <c r="B61" s="1" t="n">
        <v>44606</v>
      </c>
      <c r="C61" s="1" t="n">
        <v>46097</v>
      </c>
      <c r="D61" t="inlineStr">
        <is>
          <t>STOCKHOLMS LÄN</t>
        </is>
      </c>
      <c r="E61" t="inlineStr">
        <is>
          <t>VALLENTUNA</t>
        </is>
      </c>
      <c r="G61" t="n">
        <v>2.4</v>
      </c>
      <c r="H61" t="n">
        <v>0</v>
      </c>
      <c r="I61" t="n">
        <v>0</v>
      </c>
      <c r="J61" t="n">
        <v>0</v>
      </c>
      <c r="K61" t="n">
        <v>0</v>
      </c>
      <c r="L61" t="n">
        <v>0</v>
      </c>
      <c r="M61" t="n">
        <v>0</v>
      </c>
      <c r="N61" t="n">
        <v>0</v>
      </c>
      <c r="O61" t="n">
        <v>0</v>
      </c>
      <c r="P61" t="n">
        <v>0</v>
      </c>
      <c r="Q61" t="n">
        <v>0</v>
      </c>
      <c r="R61" s="2" t="inlineStr"/>
    </row>
    <row r="62" ht="15" customHeight="1">
      <c r="A62" t="inlineStr">
        <is>
          <t>A 7085-2022</t>
        </is>
      </c>
      <c r="B62" s="1" t="n">
        <v>44603</v>
      </c>
      <c r="C62" s="1" t="n">
        <v>46097</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46097</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24994-2021</t>
        </is>
      </c>
      <c r="B64" s="1" t="n">
        <v>44341</v>
      </c>
      <c r="C64" s="1" t="n">
        <v>46097</v>
      </c>
      <c r="D64" t="inlineStr">
        <is>
          <t>STOCKHOLMS LÄN</t>
        </is>
      </c>
      <c r="E64" t="inlineStr">
        <is>
          <t>VALLENTUNA</t>
        </is>
      </c>
      <c r="G64" t="n">
        <v>2.6</v>
      </c>
      <c r="H64" t="n">
        <v>0</v>
      </c>
      <c r="I64" t="n">
        <v>0</v>
      </c>
      <c r="J64" t="n">
        <v>0</v>
      </c>
      <c r="K64" t="n">
        <v>0</v>
      </c>
      <c r="L64" t="n">
        <v>0</v>
      </c>
      <c r="M64" t="n">
        <v>0</v>
      </c>
      <c r="N64" t="n">
        <v>0</v>
      </c>
      <c r="O64" t="n">
        <v>0</v>
      </c>
      <c r="P64" t="n">
        <v>0</v>
      </c>
      <c r="Q64" t="n">
        <v>0</v>
      </c>
      <c r="R64" s="2" t="inlineStr"/>
    </row>
    <row r="65" ht="15" customHeight="1">
      <c r="A65" t="inlineStr">
        <is>
          <t>A 19356-2025</t>
        </is>
      </c>
      <c r="B65" s="1" t="n">
        <v>45769.62061342593</v>
      </c>
      <c r="C65" s="1" t="n">
        <v>46097</v>
      </c>
      <c r="D65" t="inlineStr">
        <is>
          <t>STOCKHOLMS LÄN</t>
        </is>
      </c>
      <c r="E65" t="inlineStr">
        <is>
          <t>VALLENTUNA</t>
        </is>
      </c>
      <c r="F65" t="inlineStr">
        <is>
          <t>Övriga Aktiebolag</t>
        </is>
      </c>
      <c r="G65" t="n">
        <v>1.6</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46097</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46097</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46097</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23013-2024</t>
        </is>
      </c>
      <c r="B69" s="1" t="n">
        <v>45450.35116898148</v>
      </c>
      <c r="C69" s="1" t="n">
        <v>46097</v>
      </c>
      <c r="D69" t="inlineStr">
        <is>
          <t>STOCKHOLMS LÄN</t>
        </is>
      </c>
      <c r="E69" t="inlineStr">
        <is>
          <t>VALLENTUNA</t>
        </is>
      </c>
      <c r="G69" t="n">
        <v>0.4</v>
      </c>
      <c r="H69" t="n">
        <v>0</v>
      </c>
      <c r="I69" t="n">
        <v>0</v>
      </c>
      <c r="J69" t="n">
        <v>0</v>
      </c>
      <c r="K69" t="n">
        <v>0</v>
      </c>
      <c r="L69" t="n">
        <v>0</v>
      </c>
      <c r="M69" t="n">
        <v>0</v>
      </c>
      <c r="N69" t="n">
        <v>0</v>
      </c>
      <c r="O69" t="n">
        <v>0</v>
      </c>
      <c r="P69" t="n">
        <v>0</v>
      </c>
      <c r="Q69" t="n">
        <v>0</v>
      </c>
      <c r="R69" s="2" t="inlineStr"/>
    </row>
    <row r="70" ht="15" customHeight="1">
      <c r="A70" t="inlineStr">
        <is>
          <t>A 60795-2023</t>
        </is>
      </c>
      <c r="B70" s="1" t="n">
        <v>45260</v>
      </c>
      <c r="C70" s="1" t="n">
        <v>46097</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46097</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26390-2023</t>
        </is>
      </c>
      <c r="B72" s="1" t="n">
        <v>45086</v>
      </c>
      <c r="C72" s="1" t="n">
        <v>46097</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46097</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2318-2024</t>
        </is>
      </c>
      <c r="B74" s="1" t="n">
        <v>45310</v>
      </c>
      <c r="C74" s="1" t="n">
        <v>46097</v>
      </c>
      <c r="D74" t="inlineStr">
        <is>
          <t>STOCKHOLMS LÄN</t>
        </is>
      </c>
      <c r="E74" t="inlineStr">
        <is>
          <t>VALLENTUNA</t>
        </is>
      </c>
      <c r="G74" t="n">
        <v>2.2</v>
      </c>
      <c r="H74" t="n">
        <v>0</v>
      </c>
      <c r="I74" t="n">
        <v>0</v>
      </c>
      <c r="J74" t="n">
        <v>0</v>
      </c>
      <c r="K74" t="n">
        <v>0</v>
      </c>
      <c r="L74" t="n">
        <v>0</v>
      </c>
      <c r="M74" t="n">
        <v>0</v>
      </c>
      <c r="N74" t="n">
        <v>0</v>
      </c>
      <c r="O74" t="n">
        <v>0</v>
      </c>
      <c r="P74" t="n">
        <v>0</v>
      </c>
      <c r="Q74" t="n">
        <v>0</v>
      </c>
      <c r="R74" s="2" t="inlineStr"/>
    </row>
    <row r="75" ht="15" customHeight="1">
      <c r="A75" t="inlineStr">
        <is>
          <t>A 30913-2021</t>
        </is>
      </c>
      <c r="B75" s="1" t="n">
        <v>44365</v>
      </c>
      <c r="C75" s="1" t="n">
        <v>46097</v>
      </c>
      <c r="D75" t="inlineStr">
        <is>
          <t>STOCKHOLMS LÄN</t>
        </is>
      </c>
      <c r="E75" t="inlineStr">
        <is>
          <t>VALLENTUNA</t>
        </is>
      </c>
      <c r="F75" t="inlineStr">
        <is>
          <t>Övriga Aktiebolag</t>
        </is>
      </c>
      <c r="G75" t="n">
        <v>3.3</v>
      </c>
      <c r="H75" t="n">
        <v>0</v>
      </c>
      <c r="I75" t="n">
        <v>0</v>
      </c>
      <c r="J75" t="n">
        <v>0</v>
      </c>
      <c r="K75" t="n">
        <v>0</v>
      </c>
      <c r="L75" t="n">
        <v>0</v>
      </c>
      <c r="M75" t="n">
        <v>0</v>
      </c>
      <c r="N75" t="n">
        <v>0</v>
      </c>
      <c r="O75" t="n">
        <v>0</v>
      </c>
      <c r="P75" t="n">
        <v>0</v>
      </c>
      <c r="Q75" t="n">
        <v>0</v>
      </c>
      <c r="R75" s="2" t="inlineStr"/>
    </row>
    <row r="76" ht="15" customHeight="1">
      <c r="A76" t="inlineStr">
        <is>
          <t>A 61442-2024</t>
        </is>
      </c>
      <c r="B76" s="1" t="n">
        <v>45646.47003472222</v>
      </c>
      <c r="C76" s="1" t="n">
        <v>46097</v>
      </c>
      <c r="D76" t="inlineStr">
        <is>
          <t>STOCKHOLMS LÄN</t>
        </is>
      </c>
      <c r="E76" t="inlineStr">
        <is>
          <t>VALLENTUNA</t>
        </is>
      </c>
      <c r="G76" t="n">
        <v>4.6</v>
      </c>
      <c r="H76" t="n">
        <v>0</v>
      </c>
      <c r="I76" t="n">
        <v>0</v>
      </c>
      <c r="J76" t="n">
        <v>0</v>
      </c>
      <c r="K76" t="n">
        <v>0</v>
      </c>
      <c r="L76" t="n">
        <v>0</v>
      </c>
      <c r="M76" t="n">
        <v>0</v>
      </c>
      <c r="N76" t="n">
        <v>0</v>
      </c>
      <c r="O76" t="n">
        <v>0</v>
      </c>
      <c r="P76" t="n">
        <v>0</v>
      </c>
      <c r="Q76" t="n">
        <v>0</v>
      </c>
      <c r="R76" s="2" t="inlineStr"/>
    </row>
    <row r="77" ht="15" customHeight="1">
      <c r="A77" t="inlineStr">
        <is>
          <t>A 48068-2021</t>
        </is>
      </c>
      <c r="B77" s="1" t="n">
        <v>44449.42270833333</v>
      </c>
      <c r="C77" s="1" t="n">
        <v>46097</v>
      </c>
      <c r="D77" t="inlineStr">
        <is>
          <t>STOCKHOLMS LÄN</t>
        </is>
      </c>
      <c r="E77" t="inlineStr">
        <is>
          <t>VALLENTUNA</t>
        </is>
      </c>
      <c r="G77" t="n">
        <v>1.3</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46097</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3937-2022</t>
        </is>
      </c>
      <c r="B79" s="1" t="n">
        <v>44587</v>
      </c>
      <c r="C79" s="1" t="n">
        <v>46097</v>
      </c>
      <c r="D79" t="inlineStr">
        <is>
          <t>STOCKHOLMS LÄN</t>
        </is>
      </c>
      <c r="E79" t="inlineStr">
        <is>
          <t>VALLENTUNA</t>
        </is>
      </c>
      <c r="G79" t="n">
        <v>6.6</v>
      </c>
      <c r="H79" t="n">
        <v>0</v>
      </c>
      <c r="I79" t="n">
        <v>0</v>
      </c>
      <c r="J79" t="n">
        <v>0</v>
      </c>
      <c r="K79" t="n">
        <v>0</v>
      </c>
      <c r="L79" t="n">
        <v>0</v>
      </c>
      <c r="M79" t="n">
        <v>0</v>
      </c>
      <c r="N79" t="n">
        <v>0</v>
      </c>
      <c r="O79" t="n">
        <v>0</v>
      </c>
      <c r="P79" t="n">
        <v>0</v>
      </c>
      <c r="Q79" t="n">
        <v>0</v>
      </c>
      <c r="R79" s="2" t="inlineStr"/>
    </row>
    <row r="80" ht="15" customHeight="1">
      <c r="A80" t="inlineStr">
        <is>
          <t>A 12609-2024</t>
        </is>
      </c>
      <c r="B80" s="1" t="n">
        <v>45382.8109375</v>
      </c>
      <c r="C80" s="1" t="n">
        <v>46097</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60818-2023</t>
        </is>
      </c>
      <c r="B81" s="1" t="n">
        <v>45259</v>
      </c>
      <c r="C81" s="1" t="n">
        <v>46097</v>
      </c>
      <c r="D81" t="inlineStr">
        <is>
          <t>STOCKHOLMS LÄN</t>
        </is>
      </c>
      <c r="E81" t="inlineStr">
        <is>
          <t>VALLENTUNA</t>
        </is>
      </c>
      <c r="G81" t="n">
        <v>9.4</v>
      </c>
      <c r="H81" t="n">
        <v>0</v>
      </c>
      <c r="I81" t="n">
        <v>0</v>
      </c>
      <c r="J81" t="n">
        <v>0</v>
      </c>
      <c r="K81" t="n">
        <v>0</v>
      </c>
      <c r="L81" t="n">
        <v>0</v>
      </c>
      <c r="M81" t="n">
        <v>0</v>
      </c>
      <c r="N81" t="n">
        <v>0</v>
      </c>
      <c r="O81" t="n">
        <v>0</v>
      </c>
      <c r="P81" t="n">
        <v>0</v>
      </c>
      <c r="Q81" t="n">
        <v>0</v>
      </c>
      <c r="R81" s="2" t="inlineStr"/>
    </row>
    <row r="82" ht="15" customHeight="1">
      <c r="A82" t="inlineStr">
        <is>
          <t>A 47140-2024</t>
        </is>
      </c>
      <c r="B82" s="1" t="n">
        <v>45586.58753472222</v>
      </c>
      <c r="C82" s="1" t="n">
        <v>46097</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19503-2023</t>
        </is>
      </c>
      <c r="B83" s="1" t="n">
        <v>45050.47333333334</v>
      </c>
      <c r="C83" s="1" t="n">
        <v>46097</v>
      </c>
      <c r="D83" t="inlineStr">
        <is>
          <t>STOCKHOLMS LÄN</t>
        </is>
      </c>
      <c r="E83" t="inlineStr">
        <is>
          <t>VALLENTUNA</t>
        </is>
      </c>
      <c r="G83" t="n">
        <v>0.7</v>
      </c>
      <c r="H83" t="n">
        <v>0</v>
      </c>
      <c r="I83" t="n">
        <v>0</v>
      </c>
      <c r="J83" t="n">
        <v>0</v>
      </c>
      <c r="K83" t="n">
        <v>0</v>
      </c>
      <c r="L83" t="n">
        <v>0</v>
      </c>
      <c r="M83" t="n">
        <v>0</v>
      </c>
      <c r="N83" t="n">
        <v>0</v>
      </c>
      <c r="O83" t="n">
        <v>0</v>
      </c>
      <c r="P83" t="n">
        <v>0</v>
      </c>
      <c r="Q83" t="n">
        <v>0</v>
      </c>
      <c r="R83" s="2" t="inlineStr"/>
    </row>
    <row r="84" ht="15" customHeight="1">
      <c r="A84" t="inlineStr">
        <is>
          <t>A 8565-2025</t>
        </is>
      </c>
      <c r="B84" s="1" t="n">
        <v>45709</v>
      </c>
      <c r="C84" s="1" t="n">
        <v>46097</v>
      </c>
      <c r="D84" t="inlineStr">
        <is>
          <t>STOCKHOLMS LÄN</t>
        </is>
      </c>
      <c r="E84" t="inlineStr">
        <is>
          <t>VALLENTUNA</t>
        </is>
      </c>
      <c r="F84" t="inlineStr">
        <is>
          <t>Kommuner</t>
        </is>
      </c>
      <c r="G84" t="n">
        <v>4.2</v>
      </c>
      <c r="H84" t="n">
        <v>0</v>
      </c>
      <c r="I84" t="n">
        <v>0</v>
      </c>
      <c r="J84" t="n">
        <v>0</v>
      </c>
      <c r="K84" t="n">
        <v>0</v>
      </c>
      <c r="L84" t="n">
        <v>0</v>
      </c>
      <c r="M84" t="n">
        <v>0</v>
      </c>
      <c r="N84" t="n">
        <v>0</v>
      </c>
      <c r="O84" t="n">
        <v>0</v>
      </c>
      <c r="P84" t="n">
        <v>0</v>
      </c>
      <c r="Q84" t="n">
        <v>0</v>
      </c>
      <c r="R84" s="2" t="inlineStr"/>
    </row>
    <row r="85" ht="15" customHeight="1">
      <c r="A85" t="inlineStr">
        <is>
          <t>A 1385-2024</t>
        </is>
      </c>
      <c r="B85" s="1" t="n">
        <v>45303</v>
      </c>
      <c r="C85" s="1" t="n">
        <v>46097</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46097</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9063-2024</t>
        </is>
      </c>
      <c r="B87" s="1" t="n">
        <v>45357.72652777778</v>
      </c>
      <c r="C87" s="1" t="n">
        <v>46097</v>
      </c>
      <c r="D87" t="inlineStr">
        <is>
          <t>STOCKHOLMS LÄN</t>
        </is>
      </c>
      <c r="E87" t="inlineStr">
        <is>
          <t>VALLENTUNA</t>
        </is>
      </c>
      <c r="G87" t="n">
        <v>4.1</v>
      </c>
      <c r="H87" t="n">
        <v>0</v>
      </c>
      <c r="I87" t="n">
        <v>0</v>
      </c>
      <c r="J87" t="n">
        <v>0</v>
      </c>
      <c r="K87" t="n">
        <v>0</v>
      </c>
      <c r="L87" t="n">
        <v>0</v>
      </c>
      <c r="M87" t="n">
        <v>0</v>
      </c>
      <c r="N87" t="n">
        <v>0</v>
      </c>
      <c r="O87" t="n">
        <v>0</v>
      </c>
      <c r="P87" t="n">
        <v>0</v>
      </c>
      <c r="Q87" t="n">
        <v>0</v>
      </c>
      <c r="R87" s="2" t="inlineStr"/>
    </row>
    <row r="88" ht="15" customHeight="1">
      <c r="A88" t="inlineStr">
        <is>
          <t>A 735-2024</t>
        </is>
      </c>
      <c r="B88" s="1" t="n">
        <v>45300</v>
      </c>
      <c r="C88" s="1" t="n">
        <v>46097</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17411-2023</t>
        </is>
      </c>
      <c r="B89" s="1" t="n">
        <v>45035.82512731481</v>
      </c>
      <c r="C89" s="1" t="n">
        <v>46097</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61742-2022</t>
        </is>
      </c>
      <c r="B90" s="1" t="n">
        <v>44917</v>
      </c>
      <c r="C90" s="1" t="n">
        <v>46097</v>
      </c>
      <c r="D90" t="inlineStr">
        <is>
          <t>STOCKHOLMS LÄN</t>
        </is>
      </c>
      <c r="E90" t="inlineStr">
        <is>
          <t>VALLENTUNA</t>
        </is>
      </c>
      <c r="G90" t="n">
        <v>0.5</v>
      </c>
      <c r="H90" t="n">
        <v>0</v>
      </c>
      <c r="I90" t="n">
        <v>0</v>
      </c>
      <c r="J90" t="n">
        <v>0</v>
      </c>
      <c r="K90" t="n">
        <v>0</v>
      </c>
      <c r="L90" t="n">
        <v>0</v>
      </c>
      <c r="M90" t="n">
        <v>0</v>
      </c>
      <c r="N90" t="n">
        <v>0</v>
      </c>
      <c r="O90" t="n">
        <v>0</v>
      </c>
      <c r="P90" t="n">
        <v>0</v>
      </c>
      <c r="Q90" t="n">
        <v>0</v>
      </c>
      <c r="R90" s="2" t="inlineStr"/>
    </row>
    <row r="91" ht="15" customHeight="1">
      <c r="A91" t="inlineStr">
        <is>
          <t>A 4803-2024</t>
        </is>
      </c>
      <c r="B91" s="1" t="n">
        <v>45328</v>
      </c>
      <c r="C91" s="1" t="n">
        <v>46097</v>
      </c>
      <c r="D91" t="inlineStr">
        <is>
          <t>STOCKHOLMS LÄN</t>
        </is>
      </c>
      <c r="E91" t="inlineStr">
        <is>
          <t>VALLENTUNA</t>
        </is>
      </c>
      <c r="G91" t="n">
        <v>4.6</v>
      </c>
      <c r="H91" t="n">
        <v>0</v>
      </c>
      <c r="I91" t="n">
        <v>0</v>
      </c>
      <c r="J91" t="n">
        <v>0</v>
      </c>
      <c r="K91" t="n">
        <v>0</v>
      </c>
      <c r="L91" t="n">
        <v>0</v>
      </c>
      <c r="M91" t="n">
        <v>0</v>
      </c>
      <c r="N91" t="n">
        <v>0</v>
      </c>
      <c r="O91" t="n">
        <v>0</v>
      </c>
      <c r="P91" t="n">
        <v>0</v>
      </c>
      <c r="Q91" t="n">
        <v>0</v>
      </c>
      <c r="R91" s="2" t="inlineStr"/>
    </row>
    <row r="92" ht="15" customHeight="1">
      <c r="A92" t="inlineStr">
        <is>
          <t>A 3698-2022</t>
        </is>
      </c>
      <c r="B92" s="1" t="n">
        <v>44586</v>
      </c>
      <c r="C92" s="1" t="n">
        <v>46097</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21445-2023</t>
        </is>
      </c>
      <c r="B93" s="1" t="n">
        <v>45063</v>
      </c>
      <c r="C93" s="1" t="n">
        <v>46097</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52542-2023</t>
        </is>
      </c>
      <c r="B94" s="1" t="n">
        <v>45225</v>
      </c>
      <c r="C94" s="1" t="n">
        <v>46097</v>
      </c>
      <c r="D94" t="inlineStr">
        <is>
          <t>STOCKHOLMS LÄN</t>
        </is>
      </c>
      <c r="E94" t="inlineStr">
        <is>
          <t>VALLENTUNA</t>
        </is>
      </c>
      <c r="G94" t="n">
        <v>3.8</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46097</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46097</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46097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15268-2023</t>
        </is>
      </c>
      <c r="B98" s="1" t="n">
        <v>45019.41045138889</v>
      </c>
      <c r="C98" s="1" t="n">
        <v>46097</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60997-2022</t>
        </is>
      </c>
      <c r="B99" s="1" t="n">
        <v>44914.70746527778</v>
      </c>
      <c r="C99" s="1" t="n">
        <v>46097</v>
      </c>
      <c r="D99" t="inlineStr">
        <is>
          <t>STOCKHOLMS LÄN</t>
        </is>
      </c>
      <c r="E99" t="inlineStr">
        <is>
          <t>VALLENTUNA</t>
        </is>
      </c>
      <c r="G99" t="n">
        <v>1.8</v>
      </c>
      <c r="H99" t="n">
        <v>0</v>
      </c>
      <c r="I99" t="n">
        <v>0</v>
      </c>
      <c r="J99" t="n">
        <v>0</v>
      </c>
      <c r="K99" t="n">
        <v>0</v>
      </c>
      <c r="L99" t="n">
        <v>0</v>
      </c>
      <c r="M99" t="n">
        <v>0</v>
      </c>
      <c r="N99" t="n">
        <v>0</v>
      </c>
      <c r="O99" t="n">
        <v>0</v>
      </c>
      <c r="P99" t="n">
        <v>0</v>
      </c>
      <c r="Q99" t="n">
        <v>0</v>
      </c>
      <c r="R99" s="2" t="inlineStr"/>
    </row>
    <row r="100" ht="15" customHeight="1">
      <c r="A100" t="inlineStr">
        <is>
          <t>A 38102-2024</t>
        </is>
      </c>
      <c r="B100" s="1" t="n">
        <v>45545.36349537037</v>
      </c>
      <c r="C100" s="1" t="n">
        <v>46097</v>
      </c>
      <c r="D100" t="inlineStr">
        <is>
          <t>STOCKHOLMS LÄN</t>
        </is>
      </c>
      <c r="E100" t="inlineStr">
        <is>
          <t>VALLENTUNA</t>
        </is>
      </c>
      <c r="G100" t="n">
        <v>3.2</v>
      </c>
      <c r="H100" t="n">
        <v>0</v>
      </c>
      <c r="I100" t="n">
        <v>0</v>
      </c>
      <c r="J100" t="n">
        <v>0</v>
      </c>
      <c r="K100" t="n">
        <v>0</v>
      </c>
      <c r="L100" t="n">
        <v>0</v>
      </c>
      <c r="M100" t="n">
        <v>0</v>
      </c>
      <c r="N100" t="n">
        <v>0</v>
      </c>
      <c r="O100" t="n">
        <v>0</v>
      </c>
      <c r="P100" t="n">
        <v>0</v>
      </c>
      <c r="Q100" t="n">
        <v>0</v>
      </c>
      <c r="R100" s="2" t="inlineStr"/>
    </row>
    <row r="101" ht="15" customHeight="1">
      <c r="A101" t="inlineStr">
        <is>
          <t>A 12234-2022</t>
        </is>
      </c>
      <c r="B101" s="1" t="n">
        <v>44637</v>
      </c>
      <c r="C101" s="1" t="n">
        <v>46097</v>
      </c>
      <c r="D101" t="inlineStr">
        <is>
          <t>STOCKHOLMS LÄN</t>
        </is>
      </c>
      <c r="E101" t="inlineStr">
        <is>
          <t>VALLENTUNA</t>
        </is>
      </c>
      <c r="G101" t="n">
        <v>2.4</v>
      </c>
      <c r="H101" t="n">
        <v>0</v>
      </c>
      <c r="I101" t="n">
        <v>0</v>
      </c>
      <c r="J101" t="n">
        <v>0</v>
      </c>
      <c r="K101" t="n">
        <v>0</v>
      </c>
      <c r="L101" t="n">
        <v>0</v>
      </c>
      <c r="M101" t="n">
        <v>0</v>
      </c>
      <c r="N101" t="n">
        <v>0</v>
      </c>
      <c r="O101" t="n">
        <v>0</v>
      </c>
      <c r="P101" t="n">
        <v>0</v>
      </c>
      <c r="Q101" t="n">
        <v>0</v>
      </c>
      <c r="R101" s="2" t="inlineStr"/>
    </row>
    <row r="102" ht="15" customHeight="1">
      <c r="A102" t="inlineStr">
        <is>
          <t>A 21614-2022</t>
        </is>
      </c>
      <c r="B102" s="1" t="n">
        <v>44706</v>
      </c>
      <c r="C102" s="1" t="n">
        <v>46097</v>
      </c>
      <c r="D102" t="inlineStr">
        <is>
          <t>STOCKHOLMS LÄN</t>
        </is>
      </c>
      <c r="E102" t="inlineStr">
        <is>
          <t>VALLENTUNA</t>
        </is>
      </c>
      <c r="G102" t="n">
        <v>4</v>
      </c>
      <c r="H102" t="n">
        <v>0</v>
      </c>
      <c r="I102" t="n">
        <v>0</v>
      </c>
      <c r="J102" t="n">
        <v>0</v>
      </c>
      <c r="K102" t="n">
        <v>0</v>
      </c>
      <c r="L102" t="n">
        <v>0</v>
      </c>
      <c r="M102" t="n">
        <v>0</v>
      </c>
      <c r="N102" t="n">
        <v>0</v>
      </c>
      <c r="O102" t="n">
        <v>0</v>
      </c>
      <c r="P102" t="n">
        <v>0</v>
      </c>
      <c r="Q102" t="n">
        <v>0</v>
      </c>
      <c r="R102" s="2" t="inlineStr"/>
    </row>
    <row r="103" ht="15" customHeight="1">
      <c r="A103" t="inlineStr">
        <is>
          <t>A 17340-2025</t>
        </is>
      </c>
      <c r="B103" s="1" t="n">
        <v>45756</v>
      </c>
      <c r="C103" s="1" t="n">
        <v>46097</v>
      </c>
      <c r="D103" t="inlineStr">
        <is>
          <t>STOCKHOLMS LÄN</t>
        </is>
      </c>
      <c r="E103" t="inlineStr">
        <is>
          <t>VALLENTUNA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20791-2025</t>
        </is>
      </c>
      <c r="B104" s="1" t="n">
        <v>45776.62738425926</v>
      </c>
      <c r="C104" s="1" t="n">
        <v>46097</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11950-2025</t>
        </is>
      </c>
      <c r="B105" s="1" t="n">
        <v>45728.55622685186</v>
      </c>
      <c r="C105" s="1" t="n">
        <v>46097</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10073-2024</t>
        </is>
      </c>
      <c r="B106" s="1" t="n">
        <v>45364.40821759259</v>
      </c>
      <c r="C106" s="1" t="n">
        <v>46097</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34452-2021</t>
        </is>
      </c>
      <c r="B107" s="1" t="n">
        <v>44381</v>
      </c>
      <c r="C107" s="1" t="n">
        <v>46097</v>
      </c>
      <c r="D107" t="inlineStr">
        <is>
          <t>STOCKHOLMS LÄN</t>
        </is>
      </c>
      <c r="E107" t="inlineStr">
        <is>
          <t>VALLENTUNA</t>
        </is>
      </c>
      <c r="G107" t="n">
        <v>14.7</v>
      </c>
      <c r="H107" t="n">
        <v>0</v>
      </c>
      <c r="I107" t="n">
        <v>0</v>
      </c>
      <c r="J107" t="n">
        <v>0</v>
      </c>
      <c r="K107" t="n">
        <v>0</v>
      </c>
      <c r="L107" t="n">
        <v>0</v>
      </c>
      <c r="M107" t="n">
        <v>0</v>
      </c>
      <c r="N107" t="n">
        <v>0</v>
      </c>
      <c r="O107" t="n">
        <v>0</v>
      </c>
      <c r="P107" t="n">
        <v>0</v>
      </c>
      <c r="Q107" t="n">
        <v>0</v>
      </c>
      <c r="R107" s="2" t="inlineStr"/>
    </row>
    <row r="108" ht="15" customHeight="1">
      <c r="A108" t="inlineStr">
        <is>
          <t>A 12621-2024</t>
        </is>
      </c>
      <c r="B108" s="1" t="n">
        <v>45383.6325</v>
      </c>
      <c r="C108" s="1" t="n">
        <v>46097</v>
      </c>
      <c r="D108" t="inlineStr">
        <is>
          <t>STOCKHOLMS LÄN</t>
        </is>
      </c>
      <c r="E108" t="inlineStr">
        <is>
          <t>VALLENTUNA</t>
        </is>
      </c>
      <c r="G108" t="n">
        <v>4.4</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46097</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12585-2023</t>
        </is>
      </c>
      <c r="B110" s="1" t="n">
        <v>45000.41373842592</v>
      </c>
      <c r="C110" s="1" t="n">
        <v>46097</v>
      </c>
      <c r="D110" t="inlineStr">
        <is>
          <t>STOCKHOLMS LÄN</t>
        </is>
      </c>
      <c r="E110" t="inlineStr">
        <is>
          <t>VALLENTUNA</t>
        </is>
      </c>
      <c r="G110" t="n">
        <v>3.7</v>
      </c>
      <c r="H110" t="n">
        <v>0</v>
      </c>
      <c r="I110" t="n">
        <v>0</v>
      </c>
      <c r="J110" t="n">
        <v>0</v>
      </c>
      <c r="K110" t="n">
        <v>0</v>
      </c>
      <c r="L110" t="n">
        <v>0</v>
      </c>
      <c r="M110" t="n">
        <v>0</v>
      </c>
      <c r="N110" t="n">
        <v>0</v>
      </c>
      <c r="O110" t="n">
        <v>0</v>
      </c>
      <c r="P110" t="n">
        <v>0</v>
      </c>
      <c r="Q110" t="n">
        <v>0</v>
      </c>
      <c r="R110" s="2" t="inlineStr"/>
    </row>
    <row r="111" ht="15" customHeight="1">
      <c r="A111" t="inlineStr">
        <is>
          <t>A 8787-2024</t>
        </is>
      </c>
      <c r="B111" s="1" t="n">
        <v>45356</v>
      </c>
      <c r="C111" s="1" t="n">
        <v>46097</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46381-2023</t>
        </is>
      </c>
      <c r="B112" s="1" t="n">
        <v>45193</v>
      </c>
      <c r="C112" s="1" t="n">
        <v>46097</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30902-2025</t>
        </is>
      </c>
      <c r="B113" s="1" t="n">
        <v>45832.36104166666</v>
      </c>
      <c r="C113" s="1" t="n">
        <v>46097</v>
      </c>
      <c r="D113" t="inlineStr">
        <is>
          <t>STOCKHOLMS LÄN</t>
        </is>
      </c>
      <c r="E113" t="inlineStr">
        <is>
          <t>VALLENTUNA</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46097</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46097</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23009-2024</t>
        </is>
      </c>
      <c r="B116" s="1" t="n">
        <v>45450.34506944445</v>
      </c>
      <c r="C116" s="1" t="n">
        <v>46097</v>
      </c>
      <c r="D116" t="inlineStr">
        <is>
          <t>STOCKHOLMS LÄN</t>
        </is>
      </c>
      <c r="E116" t="inlineStr">
        <is>
          <t>VALLENTUNA</t>
        </is>
      </c>
      <c r="G116" t="n">
        <v>1.4</v>
      </c>
      <c r="H116" t="n">
        <v>0</v>
      </c>
      <c r="I116" t="n">
        <v>0</v>
      </c>
      <c r="J116" t="n">
        <v>0</v>
      </c>
      <c r="K116" t="n">
        <v>0</v>
      </c>
      <c r="L116" t="n">
        <v>0</v>
      </c>
      <c r="M116" t="n">
        <v>0</v>
      </c>
      <c r="N116" t="n">
        <v>0</v>
      </c>
      <c r="O116" t="n">
        <v>0</v>
      </c>
      <c r="P116" t="n">
        <v>0</v>
      </c>
      <c r="Q116" t="n">
        <v>0</v>
      </c>
      <c r="R116" s="2" t="inlineStr"/>
    </row>
    <row r="117" ht="15" customHeight="1">
      <c r="A117" t="inlineStr">
        <is>
          <t>A 4804-2024</t>
        </is>
      </c>
      <c r="B117" s="1" t="n">
        <v>45328</v>
      </c>
      <c r="C117" s="1" t="n">
        <v>46097</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23923-2025</t>
        </is>
      </c>
      <c r="B118" s="1" t="n">
        <v>45795.39648148148</v>
      </c>
      <c r="C118" s="1" t="n">
        <v>46097</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28431-2025</t>
        </is>
      </c>
      <c r="B119" s="1" t="n">
        <v>45819.38072916667</v>
      </c>
      <c r="C119" s="1" t="n">
        <v>46097</v>
      </c>
      <c r="D119" t="inlineStr">
        <is>
          <t>STOCKHOLMS LÄN</t>
        </is>
      </c>
      <c r="E119" t="inlineStr">
        <is>
          <t>VALLENTUNA</t>
        </is>
      </c>
      <c r="G119" t="n">
        <v>1.5</v>
      </c>
      <c r="H119" t="n">
        <v>0</v>
      </c>
      <c r="I119" t="n">
        <v>0</v>
      </c>
      <c r="J119" t="n">
        <v>0</v>
      </c>
      <c r="K119" t="n">
        <v>0</v>
      </c>
      <c r="L119" t="n">
        <v>0</v>
      </c>
      <c r="M119" t="n">
        <v>0</v>
      </c>
      <c r="N119" t="n">
        <v>0</v>
      </c>
      <c r="O119" t="n">
        <v>0</v>
      </c>
      <c r="P119" t="n">
        <v>0</v>
      </c>
      <c r="Q119" t="n">
        <v>0</v>
      </c>
      <c r="R119" s="2" t="inlineStr"/>
    </row>
    <row r="120" ht="15" customHeight="1">
      <c r="A120" t="inlineStr">
        <is>
          <t>A 25984-2025</t>
        </is>
      </c>
      <c r="B120" s="1" t="n">
        <v>45804.64016203704</v>
      </c>
      <c r="C120" s="1" t="n">
        <v>46097</v>
      </c>
      <c r="D120" t="inlineStr">
        <is>
          <t>STOCKHOLMS LÄN</t>
        </is>
      </c>
      <c r="E120" t="inlineStr">
        <is>
          <t>VALLENTUNA</t>
        </is>
      </c>
      <c r="G120" t="n">
        <v>2.5</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46097</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46097</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46097</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41206-2025</t>
        </is>
      </c>
      <c r="B124" s="1" t="n">
        <v>45898</v>
      </c>
      <c r="C124" s="1" t="n">
        <v>46097</v>
      </c>
      <c r="D124" t="inlineStr">
        <is>
          <t>STOCKHOLMS LÄN</t>
        </is>
      </c>
      <c r="E124" t="inlineStr">
        <is>
          <t>VALLENTUNA</t>
        </is>
      </c>
      <c r="G124" t="n">
        <v>10</v>
      </c>
      <c r="H124" t="n">
        <v>0</v>
      </c>
      <c r="I124" t="n">
        <v>0</v>
      </c>
      <c r="J124" t="n">
        <v>0</v>
      </c>
      <c r="K124" t="n">
        <v>0</v>
      </c>
      <c r="L124" t="n">
        <v>0</v>
      </c>
      <c r="M124" t="n">
        <v>0</v>
      </c>
      <c r="N124" t="n">
        <v>0</v>
      </c>
      <c r="O124" t="n">
        <v>0</v>
      </c>
      <c r="P124" t="n">
        <v>0</v>
      </c>
      <c r="Q124" t="n">
        <v>0</v>
      </c>
      <c r="R124" s="2" t="inlineStr"/>
    </row>
    <row r="125" ht="15" customHeight="1">
      <c r="A125" t="inlineStr">
        <is>
          <t>A 44346-2021</t>
        </is>
      </c>
      <c r="B125" s="1" t="n">
        <v>44434</v>
      </c>
      <c r="C125" s="1" t="n">
        <v>46097</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15300-2023</t>
        </is>
      </c>
      <c r="B126" s="1" t="n">
        <v>45019</v>
      </c>
      <c r="C126" s="1" t="n">
        <v>46097</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46097</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46097</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29704-2023</t>
        </is>
      </c>
      <c r="B129" s="1" t="n">
        <v>45107</v>
      </c>
      <c r="C129" s="1" t="n">
        <v>46097</v>
      </c>
      <c r="D129" t="inlineStr">
        <is>
          <t>STOCKHOLMS LÄN</t>
        </is>
      </c>
      <c r="E129" t="inlineStr">
        <is>
          <t>VALLENTUNA</t>
        </is>
      </c>
      <c r="G129" t="n">
        <v>3.7</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46097</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45496-2023</t>
        </is>
      </c>
      <c r="B131" s="1" t="n">
        <v>45194</v>
      </c>
      <c r="C131" s="1" t="n">
        <v>46097</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45499-2023</t>
        </is>
      </c>
      <c r="B132" s="1" t="n">
        <v>45194</v>
      </c>
      <c r="C132" s="1" t="n">
        <v>46097</v>
      </c>
      <c r="D132" t="inlineStr">
        <is>
          <t>STOCKHOLMS LÄN</t>
        </is>
      </c>
      <c r="E132" t="inlineStr">
        <is>
          <t>VALLENTUNA</t>
        </is>
      </c>
      <c r="G132" t="n">
        <v>2.5</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46097</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44988-2025</t>
        </is>
      </c>
      <c r="B134" s="1" t="n">
        <v>45918.65505787037</v>
      </c>
      <c r="C134" s="1" t="n">
        <v>46097</v>
      </c>
      <c r="D134" t="inlineStr">
        <is>
          <t>STOCKHOLMS LÄN</t>
        </is>
      </c>
      <c r="E134" t="inlineStr">
        <is>
          <t>VALLENTUNA</t>
        </is>
      </c>
      <c r="G134" t="n">
        <v>1</v>
      </c>
      <c r="H134" t="n">
        <v>0</v>
      </c>
      <c r="I134" t="n">
        <v>0</v>
      </c>
      <c r="J134" t="n">
        <v>0</v>
      </c>
      <c r="K134" t="n">
        <v>0</v>
      </c>
      <c r="L134" t="n">
        <v>0</v>
      </c>
      <c r="M134" t="n">
        <v>0</v>
      </c>
      <c r="N134" t="n">
        <v>0</v>
      </c>
      <c r="O134" t="n">
        <v>0</v>
      </c>
      <c r="P134" t="n">
        <v>0</v>
      </c>
      <c r="Q134" t="n">
        <v>0</v>
      </c>
      <c r="R134" s="2" t="inlineStr"/>
    </row>
    <row r="135" ht="15" customHeight="1">
      <c r="A135" t="inlineStr">
        <is>
          <t>A 48014-2025</t>
        </is>
      </c>
      <c r="B135" s="1" t="n">
        <v>45932.64520833334</v>
      </c>
      <c r="C135" s="1" t="n">
        <v>46097</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48038-2025</t>
        </is>
      </c>
      <c r="B136" s="1" t="n">
        <v>45932.66008101852</v>
      </c>
      <c r="C136" s="1" t="n">
        <v>46097</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46097</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46097</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54466-2025</t>
        </is>
      </c>
      <c r="B139" s="1" t="n">
        <v>45965.56984953704</v>
      </c>
      <c r="C139" s="1" t="n">
        <v>46097</v>
      </c>
      <c r="D139" t="inlineStr">
        <is>
          <t>STOCKHOLMS LÄN</t>
        </is>
      </c>
      <c r="E139" t="inlineStr">
        <is>
          <t>VALLENTUNA</t>
        </is>
      </c>
      <c r="G139" t="n">
        <v>3</v>
      </c>
      <c r="H139" t="n">
        <v>0</v>
      </c>
      <c r="I139" t="n">
        <v>0</v>
      </c>
      <c r="J139" t="n">
        <v>0</v>
      </c>
      <c r="K139" t="n">
        <v>0</v>
      </c>
      <c r="L139" t="n">
        <v>0</v>
      </c>
      <c r="M139" t="n">
        <v>0</v>
      </c>
      <c r="N139" t="n">
        <v>0</v>
      </c>
      <c r="O139" t="n">
        <v>0</v>
      </c>
      <c r="P139" t="n">
        <v>0</v>
      </c>
      <c r="Q139" t="n">
        <v>0</v>
      </c>
      <c r="R139" s="2" t="inlineStr"/>
    </row>
    <row r="140" ht="15" customHeight="1">
      <c r="A140" t="inlineStr">
        <is>
          <t>A 54460-2025</t>
        </is>
      </c>
      <c r="B140" s="1" t="n">
        <v>45965.56219907408</v>
      </c>
      <c r="C140" s="1" t="n">
        <v>46097</v>
      </c>
      <c r="D140" t="inlineStr">
        <is>
          <t>STOCKHOLMS LÄN</t>
        </is>
      </c>
      <c r="E140" t="inlineStr">
        <is>
          <t>VALLENTUNA</t>
        </is>
      </c>
      <c r="G140" t="n">
        <v>22.9</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46097</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61646-2025</t>
        </is>
      </c>
      <c r="B142" s="1" t="n">
        <v>46002</v>
      </c>
      <c r="C142" s="1" t="n">
        <v>46097</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6298-2026</t>
        </is>
      </c>
      <c r="B143" s="1" t="n">
        <v>46055.5656712963</v>
      </c>
      <c r="C143" s="1" t="n">
        <v>46097</v>
      </c>
      <c r="D143" t="inlineStr">
        <is>
          <t>STOCKHOLMS LÄN</t>
        </is>
      </c>
      <c r="E143" t="inlineStr">
        <is>
          <t>VALLENTUNA</t>
        </is>
      </c>
      <c r="G143" t="n">
        <v>3.3</v>
      </c>
      <c r="H143" t="n">
        <v>0</v>
      </c>
      <c r="I143" t="n">
        <v>0</v>
      </c>
      <c r="J143" t="n">
        <v>0</v>
      </c>
      <c r="K143" t="n">
        <v>0</v>
      </c>
      <c r="L143" t="n">
        <v>0</v>
      </c>
      <c r="M143" t="n">
        <v>0</v>
      </c>
      <c r="N143" t="n">
        <v>0</v>
      </c>
      <c r="O143" t="n">
        <v>0</v>
      </c>
      <c r="P143" t="n">
        <v>0</v>
      </c>
      <c r="Q143" t="n">
        <v>0</v>
      </c>
      <c r="R143" s="2" t="inlineStr"/>
    </row>
    <row r="144" ht="15" customHeight="1">
      <c r="A144" t="inlineStr">
        <is>
          <t>A 414-2026</t>
        </is>
      </c>
      <c r="B144" s="1" t="n">
        <v>46028.76050925926</v>
      </c>
      <c r="C144" s="1" t="n">
        <v>46097</v>
      </c>
      <c r="D144" t="inlineStr">
        <is>
          <t>STOCKHOLMS LÄN</t>
        </is>
      </c>
      <c r="E144" t="inlineStr">
        <is>
          <t>VALLENTUNA</t>
        </is>
      </c>
      <c r="G144" t="n">
        <v>2.6</v>
      </c>
      <c r="H144" t="n">
        <v>0</v>
      </c>
      <c r="I144" t="n">
        <v>0</v>
      </c>
      <c r="J144" t="n">
        <v>0</v>
      </c>
      <c r="K144" t="n">
        <v>0</v>
      </c>
      <c r="L144" t="n">
        <v>0</v>
      </c>
      <c r="M144" t="n">
        <v>0</v>
      </c>
      <c r="N144" t="n">
        <v>0</v>
      </c>
      <c r="O144" t="n">
        <v>0</v>
      </c>
      <c r="P144" t="n">
        <v>0</v>
      </c>
      <c r="Q144" t="n">
        <v>0</v>
      </c>
      <c r="R144" s="2" t="inlineStr"/>
    </row>
    <row r="145" ht="15" customHeight="1">
      <c r="A145" t="inlineStr">
        <is>
          <t>A 12396-2026</t>
        </is>
      </c>
      <c r="B145" s="1" t="n">
        <v>46090.38930555555</v>
      </c>
      <c r="C145" s="1" t="n">
        <v>46097</v>
      </c>
      <c r="D145" t="inlineStr">
        <is>
          <t>STOCKHOLMS LÄN</t>
        </is>
      </c>
      <c r="E145" t="inlineStr">
        <is>
          <t>VALLENTUNA</t>
        </is>
      </c>
      <c r="G145" t="n">
        <v>3</v>
      </c>
      <c r="H145" t="n">
        <v>0</v>
      </c>
      <c r="I145" t="n">
        <v>0</v>
      </c>
      <c r="J145" t="n">
        <v>0</v>
      </c>
      <c r="K145" t="n">
        <v>0</v>
      </c>
      <c r="L145" t="n">
        <v>0</v>
      </c>
      <c r="M145" t="n">
        <v>0</v>
      </c>
      <c r="N145" t="n">
        <v>0</v>
      </c>
      <c r="O145" t="n">
        <v>0</v>
      </c>
      <c r="P145" t="n">
        <v>0</v>
      </c>
      <c r="Q145" t="n">
        <v>0</v>
      </c>
      <c r="R145" s="2" t="inlineStr"/>
    </row>
    <row r="146" ht="15" customHeight="1">
      <c r="A146" t="inlineStr">
        <is>
          <t>A 12400-2026</t>
        </is>
      </c>
      <c r="B146" s="1" t="n">
        <v>46090.39423611111</v>
      </c>
      <c r="C146" s="1" t="n">
        <v>46097</v>
      </c>
      <c r="D146" t="inlineStr">
        <is>
          <t>STOCKHOLMS LÄN</t>
        </is>
      </c>
      <c r="E146" t="inlineStr">
        <is>
          <t>VALLENTUNA</t>
        </is>
      </c>
      <c r="G146" t="n">
        <v>1.9</v>
      </c>
      <c r="H146" t="n">
        <v>0</v>
      </c>
      <c r="I146" t="n">
        <v>0</v>
      </c>
      <c r="J146" t="n">
        <v>0</v>
      </c>
      <c r="K146" t="n">
        <v>0</v>
      </c>
      <c r="L146" t="n">
        <v>0</v>
      </c>
      <c r="M146" t="n">
        <v>0</v>
      </c>
      <c r="N146" t="n">
        <v>0</v>
      </c>
      <c r="O146" t="n">
        <v>0</v>
      </c>
      <c r="P146" t="n">
        <v>0</v>
      </c>
      <c r="Q146" t="n">
        <v>0</v>
      </c>
      <c r="R146" s="2" t="inlineStr"/>
    </row>
    <row r="147" ht="15" customHeight="1">
      <c r="A147" t="inlineStr">
        <is>
          <t>A 12819-2026</t>
        </is>
      </c>
      <c r="B147" s="1" t="n">
        <v>46092.40896990741</v>
      </c>
      <c r="C147" s="1" t="n">
        <v>46097</v>
      </c>
      <c r="D147" t="inlineStr">
        <is>
          <t>STOCKHOLMS LÄN</t>
        </is>
      </c>
      <c r="E147" t="inlineStr">
        <is>
          <t>VALLENTUNA</t>
        </is>
      </c>
      <c r="G147" t="n">
        <v>3.5</v>
      </c>
      <c r="H147" t="n">
        <v>0</v>
      </c>
      <c r="I147" t="n">
        <v>0</v>
      </c>
      <c r="J147" t="n">
        <v>0</v>
      </c>
      <c r="K147" t="n">
        <v>0</v>
      </c>
      <c r="L147" t="n">
        <v>0</v>
      </c>
      <c r="M147" t="n">
        <v>0</v>
      </c>
      <c r="N147" t="n">
        <v>0</v>
      </c>
      <c r="O147" t="n">
        <v>0</v>
      </c>
      <c r="P147" t="n">
        <v>0</v>
      </c>
      <c r="Q147" t="n">
        <v>0</v>
      </c>
      <c r="R147" s="2" t="inlineStr"/>
    </row>
    <row r="148" ht="15" customHeight="1">
      <c r="A148" t="inlineStr">
        <is>
          <t>A 12822-2026</t>
        </is>
      </c>
      <c r="B148" s="1" t="n">
        <v>46092.41358796296</v>
      </c>
      <c r="C148" s="1" t="n">
        <v>46097</v>
      </c>
      <c r="D148" t="inlineStr">
        <is>
          <t>STOCKHOLMS LÄN</t>
        </is>
      </c>
      <c r="E148" t="inlineStr">
        <is>
          <t>VALLENTUNA</t>
        </is>
      </c>
      <c r="G148" t="n">
        <v>2.7</v>
      </c>
      <c r="H148" t="n">
        <v>0</v>
      </c>
      <c r="I148" t="n">
        <v>0</v>
      </c>
      <c r="J148" t="n">
        <v>0</v>
      </c>
      <c r="K148" t="n">
        <v>0</v>
      </c>
      <c r="L148" t="n">
        <v>0</v>
      </c>
      <c r="M148" t="n">
        <v>0</v>
      </c>
      <c r="N148" t="n">
        <v>0</v>
      </c>
      <c r="O148" t="n">
        <v>0</v>
      </c>
      <c r="P148" t="n">
        <v>0</v>
      </c>
      <c r="Q148" t="n">
        <v>0</v>
      </c>
      <c r="R148" s="2" t="inlineStr"/>
    </row>
    <row r="149" ht="15" customHeight="1">
      <c r="A149" t="inlineStr">
        <is>
          <t>A 12828-2026</t>
        </is>
      </c>
      <c r="B149" s="1" t="n">
        <v>46092.41760416667</v>
      </c>
      <c r="C149" s="1" t="n">
        <v>46097</v>
      </c>
      <c r="D149" t="inlineStr">
        <is>
          <t>STOCKHOLMS LÄN</t>
        </is>
      </c>
      <c r="E149" t="inlineStr">
        <is>
          <t>VALLENTUNA</t>
        </is>
      </c>
      <c r="G149" t="n">
        <v>1</v>
      </c>
      <c r="H149" t="n">
        <v>0</v>
      </c>
      <c r="I149" t="n">
        <v>0</v>
      </c>
      <c r="J149" t="n">
        <v>0</v>
      </c>
      <c r="K149" t="n">
        <v>0</v>
      </c>
      <c r="L149" t="n">
        <v>0</v>
      </c>
      <c r="M149" t="n">
        <v>0</v>
      </c>
      <c r="N149" t="n">
        <v>0</v>
      </c>
      <c r="O149" t="n">
        <v>0</v>
      </c>
      <c r="P149" t="n">
        <v>0</v>
      </c>
      <c r="Q149" t="n">
        <v>0</v>
      </c>
      <c r="R149" s="2" t="inlineStr"/>
    </row>
    <row r="150">
      <c r="A150" t="inlineStr">
        <is>
          <t>A 12830-2026</t>
        </is>
      </c>
      <c r="B150" s="1" t="n">
        <v>46092.42290509259</v>
      </c>
      <c r="C150" s="1" t="n">
        <v>46097</v>
      </c>
      <c r="D150" t="inlineStr">
        <is>
          <t>STOCKHOLMS LÄN</t>
        </is>
      </c>
      <c r="E150" t="inlineStr">
        <is>
          <t>VALLENTUNA</t>
        </is>
      </c>
      <c r="G150" t="n">
        <v>1.6</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2026-03-16T11:20:55Z</dcterms:created>
  <dcterms:modified xmlns:dcterms="http://purl.org/dc/terms/" xmlns:xsi="http://www.w3.org/2001/XMLSchema-instance" xsi:type="dcterms:W3CDTF">2026-03-16T11:20:55Z</dcterms:modified>
</cp:coreProperties>
</file>