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46225</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46225</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46225</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46225</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46225</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46225</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46225</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46225</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46225</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t="n">
        <v>11</v>
      </c>
      <c r="V10" s="2" t="inlineStr">
        <is>
          <t>Gränsticka
Fjällig taggsvamp s.str.
Orange taggsvamp
Skarp dropptaggsvamp
Gullgröppa
Rödgul trumpetsvamp
Vedticka</t>
        </is>
      </c>
      <c r="W10">
        <f>HYPERLINK("https://klasma.github.io/Logging_0115/artfynd/A 25512-2022 artfynd.xlsx", "A 25512-2022")</f>
        <v/>
      </c>
      <c r="X10">
        <f>HYPERLINK("https://klasma.github.io/Logging_0115/kartor/A 25512-2022 karta.png", "A 25512-2022")</f>
        <v/>
      </c>
      <c r="Y10">
        <f>HYPERLINK("https://klasma.github.io/Logging_0115/kartor_geotiff/A 25512-2022 georefererad karta.tif", "A 25512-2022")</f>
        <v/>
      </c>
      <c r="AA10">
        <f>HYPERLINK("https://klasma.github.io/Logging_0115/klagomål/A 25512-2022 FSC-klagomål.docx", "A 25512-2022")</f>
        <v/>
      </c>
      <c r="AB10">
        <f>HYPERLINK("https://klasma.github.io/Logging_0115/klagomålsmail/A 25512-2022 FSC-klagomål mail.docx", "A 25512-2022")</f>
        <v/>
      </c>
      <c r="AC10">
        <f>HYPERLINK("https://klasma.github.io/Logging_0115/tillsyn/A 25512-2022 tillsynsbegäran.docx", "A 25512-2022")</f>
        <v/>
      </c>
      <c r="AD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46225</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t="n">
        <v>5</v>
      </c>
      <c r="V11" s="2" t="inlineStr">
        <is>
          <t>Knärot
Björksplintborre
Blåmossa
Bronshjon
Vedticka
Spillkråka</t>
        </is>
      </c>
      <c r="W11">
        <f>HYPERLINK("https://klasma.github.io/Logging_0115/artfynd/A 8500-2022 artfynd.xlsx", "A 8500-2022")</f>
        <v/>
      </c>
      <c r="X11">
        <f>HYPERLINK("https://klasma.github.io/Logging_0115/kartor/A 8500-2022 karta.png", "A 8500-2022")</f>
        <v/>
      </c>
      <c r="Y11">
        <f>HYPERLINK("https://klasma.github.io/Logging_0115/kartor_geotiff/A 8500-2022 georefererad karta.tif", "A 8500-2022")</f>
        <v/>
      </c>
      <c r="Z11">
        <f>HYPERLINK("https://klasma.github.io/Logging_0115/knärot/A 8500-2022 karta knärot.png", "A 8500-2022")</f>
        <v/>
      </c>
      <c r="AA11">
        <f>HYPERLINK("https://klasma.github.io/Logging_0115/klagomål/A 8500-2022 FSC-klagomål.docx", "A 8500-2022")</f>
        <v/>
      </c>
      <c r="AB11">
        <f>HYPERLINK("https://klasma.github.io/Logging_0115/klagomålsmail/A 8500-2022 FSC-klagomål mail.docx", "A 8500-2022")</f>
        <v/>
      </c>
      <c r="AC11">
        <f>HYPERLINK("https://klasma.github.io/Logging_0115/tillsyn/A 8500-2022 tillsynsbegäran.docx", "A 8500-2022")</f>
        <v/>
      </c>
      <c r="AD11">
        <f>HYPERLINK("https://klasma.github.io/Logging_0115/tillsynsmail/A 8500-2022 tillsynsbegäran mail.docx", "A 8500-2022")</f>
        <v/>
      </c>
      <c r="AE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46225</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t="n">
        <v>6</v>
      </c>
      <c r="V12" s="2" t="inlineStr">
        <is>
          <t>Denisespindling
Kryddspindling
Motaggsvamp
Orange taggsvamp
Anisspindling
Brandticka</t>
        </is>
      </c>
      <c r="W12">
        <f>HYPERLINK("https://klasma.github.io/Logging_0115/artfynd/A 62402-2022 artfynd.xlsx", "A 62402-2022")</f>
        <v/>
      </c>
      <c r="X12">
        <f>HYPERLINK("https://klasma.github.io/Logging_0115/kartor/A 62402-2022 karta.png", "A 62402-2022")</f>
        <v/>
      </c>
      <c r="Y12">
        <f>HYPERLINK("https://klasma.github.io/Logging_0115/kartor_geotiff/A 62402-2022 georefererad karta.tif", "A 62402-2022")</f>
        <v/>
      </c>
      <c r="AA12">
        <f>HYPERLINK("https://klasma.github.io/Logging_0115/klagomål/A 62402-2022 FSC-klagomål.docx", "A 62402-2022")</f>
        <v/>
      </c>
      <c r="AB12">
        <f>HYPERLINK("https://klasma.github.io/Logging_0115/klagomålsmail/A 62402-2022 FSC-klagomål mail.docx", "A 62402-2022")</f>
        <v/>
      </c>
      <c r="AC12">
        <f>HYPERLINK("https://klasma.github.io/Logging_0115/tillsyn/A 62402-2022 tillsynsbegäran.docx", "A 62402-2022")</f>
        <v/>
      </c>
      <c r="AD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46225</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t="n">
        <v>0</v>
      </c>
      <c r="V13" s="2" t="inlineStr">
        <is>
          <t>Lunglav
Ullticka
Vårärt
Barkticka
Mindre märgborre
Stuplav</t>
        </is>
      </c>
      <c r="W13">
        <f>HYPERLINK("https://klasma.github.io/Logging_0115/artfynd/S 3063-2024 artfynd.xlsx", "S 3063-2024")</f>
        <v/>
      </c>
      <c r="X13">
        <f>HYPERLINK("https://klasma.github.io/Logging_0115/kartor/S 3063-2024 karta.png", "S 3063-2024")</f>
        <v/>
      </c>
      <c r="Y13">
        <f>HYPERLINK("https://klasma.github.io/Logging_0115/kartor_geotiff/S 3063-2024 georefererad karta.tif", "S 3063-2024")</f>
        <v/>
      </c>
      <c r="AA13">
        <f>HYPERLINK("https://klasma.github.io/Logging_0115/klagomål/S 3063-2024 FSC-klagomål.docx", "S 3063-2024")</f>
        <v/>
      </c>
      <c r="AB13">
        <f>HYPERLINK("https://klasma.github.io/Logging_0115/klagomålsmail/S 3063-2024 FSC-klagomål mail.docx", "S 3063-2024")</f>
        <v/>
      </c>
      <c r="AC13">
        <f>HYPERLINK("https://klasma.github.io/Logging_0115/tillsyn/S 3063-2024 tillsynsbegäran.docx", "S 3063-2024")</f>
        <v/>
      </c>
      <c r="AD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46225</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t="n">
        <v>5</v>
      </c>
      <c r="V14" s="2" t="inlineStr">
        <is>
          <t>Motaggsvamp
Mindre märgborre
Vågbandad barkbock
Spillkråka
Grönsiska</t>
        </is>
      </c>
      <c r="W14">
        <f>HYPERLINK("https://klasma.github.io/Logging_0115/artfynd/A 17342-2025 artfynd.xlsx", "A 17342-2025")</f>
        <v/>
      </c>
      <c r="X14">
        <f>HYPERLINK("https://klasma.github.io/Logging_0115/kartor/A 17342-2025 karta.png", "A 17342-2025")</f>
        <v/>
      </c>
      <c r="Y14">
        <f>HYPERLINK("https://klasma.github.io/Logging_0115/kartor_geotiff/A 17342-2025 georefererad karta.tif", "A 17342-2025")</f>
        <v/>
      </c>
      <c r="AA14">
        <f>HYPERLINK("https://klasma.github.io/Logging_0115/klagomål/A 17342-2025 FSC-klagomål.docx", "A 17342-2025")</f>
        <v/>
      </c>
      <c r="AB14">
        <f>HYPERLINK("https://klasma.github.io/Logging_0115/klagomålsmail/A 17342-2025 FSC-klagomål mail.docx", "A 17342-2025")</f>
        <v/>
      </c>
      <c r="AC14">
        <f>HYPERLINK("https://klasma.github.io/Logging_0115/tillsyn/A 17342-2025 tillsynsbegäran.docx", "A 17342-2025")</f>
        <v/>
      </c>
      <c r="AD14">
        <f>HYPERLINK("https://klasma.github.io/Logging_0115/tillsynsmail/A 17342-2025 tillsynsbegäran mail.docx", "A 17342-2025")</f>
        <v/>
      </c>
      <c r="AE14">
        <f>HYPERLINK("https://klasma.github.io/Logging_0115/fåglar/A 17342-2025 prioriterade fågelarter.docx", "A 17342-2025")</f>
        <v/>
      </c>
    </row>
    <row r="15" ht="15" customHeight="1">
      <c r="A15" t="inlineStr">
        <is>
          <t>A 14508-2024</t>
        </is>
      </c>
      <c r="B15" t="inlineStr">
        <is>
          <t>avverkningsanmälan</t>
        </is>
      </c>
      <c r="C15" t="inlineStr">
        <is>
          <t>Föryngringsavverkning</t>
        </is>
      </c>
      <c r="D15" s="1" t="n">
        <v>45394</v>
      </c>
      <c r="E15" s="1" t="n">
        <v>46225</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t="n">
        <v>2</v>
      </c>
      <c r="V15" s="2" t="inlineStr">
        <is>
          <t>Hussvala
Berggräsfjäril
Mindre hackspett</t>
        </is>
      </c>
      <c r="W15">
        <f>HYPERLINK("https://klasma.github.io/Logging_0115/artfynd/A 14508-2024 artfynd.xlsx", "A 14508-2024")</f>
        <v/>
      </c>
      <c r="X15">
        <f>HYPERLINK("https://klasma.github.io/Logging_0115/kartor/A 14508-2024 karta.png", "A 14508-2024")</f>
        <v/>
      </c>
      <c r="Y15">
        <f>HYPERLINK("https://klasma.github.io/Logging_0115/kartor_geotiff/A 14508-2024 georefererad karta.tif", "A 14508-2024")</f>
        <v/>
      </c>
      <c r="AA15">
        <f>HYPERLINK("https://klasma.github.io/Logging_0115/klagomål/A 14508-2024 FSC-klagomål.docx", "A 14508-2024")</f>
        <v/>
      </c>
      <c r="AB15">
        <f>HYPERLINK("https://klasma.github.io/Logging_0115/klagomålsmail/A 14508-2024 FSC-klagomål mail.docx", "A 14508-2024")</f>
        <v/>
      </c>
      <c r="AC15">
        <f>HYPERLINK("https://klasma.github.io/Logging_0115/tillsyn/A 14508-2024 tillsynsbegäran.docx", "A 14508-2024")</f>
        <v/>
      </c>
      <c r="AD15">
        <f>HYPERLINK("https://klasma.github.io/Logging_0115/tillsynsmail/A 14508-2024 tillsynsbegäran mail.docx", "A 14508-2024")</f>
        <v/>
      </c>
      <c r="AE15">
        <f>HYPERLINK("https://klasma.github.io/Logging_0115/fåglar/A 14508-2024 prioriterade fågelarter.docx", "A 14508-2024")</f>
        <v/>
      </c>
    </row>
    <row r="16" ht="15" customHeight="1">
      <c r="A16" t="inlineStr">
        <is>
          <t>A 48717-2024</t>
        </is>
      </c>
      <c r="B16" t="inlineStr">
        <is>
          <t>avverkningsanmälan</t>
        </is>
      </c>
      <c r="C16" t="inlineStr">
        <is>
          <t>Föryngringsavverkning</t>
        </is>
      </c>
      <c r="D16" s="1" t="n">
        <v>45593</v>
      </c>
      <c r="E16" s="1" t="n">
        <v>46225</v>
      </c>
      <c r="F16" t="inlineStr">
        <is>
          <t>STOCKHOLMS LÄN</t>
        </is>
      </c>
      <c r="G16" t="inlineStr">
        <is>
          <t>VALLENTUNA</t>
        </is>
      </c>
      <c r="I16" t="n">
        <v>6.2</v>
      </c>
      <c r="J16" t="n">
        <v>2</v>
      </c>
      <c r="K16" t="n">
        <v>0</v>
      </c>
      <c r="L16" t="n">
        <v>1</v>
      </c>
      <c r="M16" t="n">
        <v>0</v>
      </c>
      <c r="N16" t="n">
        <v>0</v>
      </c>
      <c r="O16" t="n">
        <v>0</v>
      </c>
      <c r="P16" t="n">
        <v>0</v>
      </c>
      <c r="Q16" t="n">
        <v>1</v>
      </c>
      <c r="R16" t="n">
        <v>0</v>
      </c>
      <c r="S16" t="n">
        <v>3</v>
      </c>
      <c r="T16" t="n">
        <v>4</v>
      </c>
      <c r="U16" t="n">
        <v>2</v>
      </c>
      <c r="V16" s="2" t="inlineStr">
        <is>
          <t>Ullticka
Tjäder
Kungsfågel</t>
        </is>
      </c>
      <c r="W16">
        <f>HYPERLINK("https://klasma.github.io/Logging_0115/artfynd/A 48717-2024 artfynd.xlsx", "A 48717-2024")</f>
        <v/>
      </c>
      <c r="X16">
        <f>HYPERLINK("https://klasma.github.io/Logging_0115/kartor/A 48717-2024 karta.png", "A 48717-2024")</f>
        <v/>
      </c>
      <c r="Y16">
        <f>HYPERLINK("https://klasma.github.io/Logging_0115/kartor_geotiff/A 48717-2024 georefererad karta.tif", "A 48717-2024")</f>
        <v/>
      </c>
      <c r="AA16">
        <f>HYPERLINK("https://klasma.github.io/Logging_0115/klagomål/A 48717-2024 FSC-klagomål.docx", "A 48717-2024")</f>
        <v/>
      </c>
      <c r="AB16">
        <f>HYPERLINK("https://klasma.github.io/Logging_0115/klagomålsmail/A 48717-2024 FSC-klagomål mail.docx", "A 48717-2024")</f>
        <v/>
      </c>
      <c r="AC16">
        <f>HYPERLINK("https://klasma.github.io/Logging_0115/tillsyn/A 48717-2024 tillsynsbegäran.docx", "A 48717-2024")</f>
        <v/>
      </c>
      <c r="AD16">
        <f>HYPERLINK("https://klasma.github.io/Logging_0115/tillsynsmail/A 48717-2024 tillsynsbegäran mail.docx", "A 48717-2024")</f>
        <v/>
      </c>
      <c r="AE16">
        <f>HYPERLINK("https://klasma.github.io/Logging_0115/fåglar/A 48717-2024 prioriterade fågelarter.docx", "A 48717-2024")</f>
        <v/>
      </c>
    </row>
    <row r="17" ht="15" customHeight="1">
      <c r="A17" t="inlineStr">
        <is>
          <t>A 9807-2026</t>
        </is>
      </c>
      <c r="B17" t="inlineStr">
        <is>
          <t>avverkningsanmälan</t>
        </is>
      </c>
      <c r="C17" t="inlineStr">
        <is>
          <t>Avverkning för annat ändamål</t>
        </is>
      </c>
      <c r="D17" s="1" t="n">
        <v>46072</v>
      </c>
      <c r="E17" s="1" t="n">
        <v>46225</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46225</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37456-2023</t>
        </is>
      </c>
      <c r="B19" t="inlineStr">
        <is>
          <t>avverkningsanmälan</t>
        </is>
      </c>
      <c r="C19" t="inlineStr">
        <is>
          <t>Föryngringsavverkning</t>
        </is>
      </c>
      <c r="D19" s="1" t="n">
        <v>45156</v>
      </c>
      <c r="E19" s="1" t="n">
        <v>46225</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46225</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46225</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t="n">
        <v>0</v>
      </c>
      <c r="V21" s="2" t="inlineStr">
        <is>
          <t>Vårärt
Vätteros</t>
        </is>
      </c>
      <c r="W21">
        <f>HYPERLINK("https://klasma.github.io/Logging_0115/artfynd/A 60-2022 artfynd.xlsx", "A 60-2022")</f>
        <v/>
      </c>
      <c r="X21">
        <f>HYPERLINK("https://klasma.github.io/Logging_0115/kartor/A 60-2022 karta.png", "A 60-2022")</f>
        <v/>
      </c>
      <c r="Y21">
        <f>HYPERLINK("https://klasma.github.io/Logging_0115/kartor_geotiff/A 60-2022 georefererad karta.tif", "A 60-2022")</f>
        <v/>
      </c>
      <c r="AA21">
        <f>HYPERLINK("https://klasma.github.io/Logging_0115/klagomål/A 60-2022 FSC-klagomål.docx", "A 60-2022")</f>
        <v/>
      </c>
      <c r="AB21">
        <f>HYPERLINK("https://klasma.github.io/Logging_0115/klagomålsmail/A 60-2022 FSC-klagomål mail.docx", "A 60-2022")</f>
        <v/>
      </c>
      <c r="AC21">
        <f>HYPERLINK("https://klasma.github.io/Logging_0115/tillsyn/A 60-2022 tillsynsbegäran.docx", "A 60-2022")</f>
        <v/>
      </c>
      <c r="AD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46225</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t="n">
        <v>3</v>
      </c>
      <c r="V22" s="2" t="inlineStr">
        <is>
          <t>Talltita
Tibast</t>
        </is>
      </c>
      <c r="W22">
        <f>HYPERLINK("https://klasma.github.io/Logging_0115/artfynd/A 70608-2021 artfynd.xlsx", "A 70608-2021")</f>
        <v/>
      </c>
      <c r="X22">
        <f>HYPERLINK("https://klasma.github.io/Logging_0115/kartor/A 70608-2021 karta.png", "A 70608-2021")</f>
        <v/>
      </c>
      <c r="Y22">
        <f>HYPERLINK("https://klasma.github.io/Logging_0115/kartor_geotiff/A 70608-2021 georefererad karta.tif", "A 70608-2021")</f>
        <v/>
      </c>
      <c r="AA22">
        <f>HYPERLINK("https://klasma.github.io/Logging_0115/klagomål/A 70608-2021 FSC-klagomål.docx", "A 70608-2021")</f>
        <v/>
      </c>
      <c r="AB22">
        <f>HYPERLINK("https://klasma.github.io/Logging_0115/klagomålsmail/A 70608-2021 FSC-klagomål mail.docx", "A 70608-2021")</f>
        <v/>
      </c>
      <c r="AC22">
        <f>HYPERLINK("https://klasma.github.io/Logging_0115/tillsyn/A 70608-2021 tillsynsbegäran.docx", "A 70608-2021")</f>
        <v/>
      </c>
      <c r="AD22">
        <f>HYPERLINK("https://klasma.github.io/Logging_0115/tillsynsmail/A 70608-2021 tillsynsbegäran mail.docx", "A 70608-2021")</f>
        <v/>
      </c>
      <c r="AE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46225</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46225</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46225</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t="n">
        <v>0</v>
      </c>
      <c r="V25" s="2" t="inlineStr">
        <is>
          <t>Större vattensalamander
Mindre vattensalamander</t>
        </is>
      </c>
      <c r="W25">
        <f>HYPERLINK("https://klasma.github.io/Logging_0115/artfynd/A 27935-2026 artfynd.xlsx", "A 27935-2026")</f>
        <v/>
      </c>
      <c r="X25">
        <f>HYPERLINK("https://klasma.github.io/Logging_0115/kartor/A 27935-2026 karta.png", "A 27935-2026")</f>
        <v/>
      </c>
      <c r="Y25">
        <f>HYPERLINK("https://klasma.github.io/Logging_0115/kartor_geotiff/A 27935-2026 georefererad karta.tif", "A 27935-2026")</f>
        <v/>
      </c>
      <c r="AA25">
        <f>HYPERLINK("https://klasma.github.io/Logging_0115/klagomål/A 27935-2026 FSC-klagomål.docx", "A 27935-2026")</f>
        <v/>
      </c>
      <c r="AB25">
        <f>HYPERLINK("https://klasma.github.io/Logging_0115/klagomålsmail/A 27935-2026 FSC-klagomål mail.docx", "A 27935-2026")</f>
        <v/>
      </c>
      <c r="AC25">
        <f>HYPERLINK("https://klasma.github.io/Logging_0115/tillsyn/A 27935-2026 tillsynsbegäran.docx", "A 27935-2026")</f>
        <v/>
      </c>
      <c r="AD25">
        <f>HYPERLINK("https://klasma.github.io/Logging_0115/tillsynsmail/A 27935-2026 tillsynsbegäran mail.docx", "A 27935-2026")</f>
        <v/>
      </c>
    </row>
    <row r="26" ht="15" customHeight="1">
      <c r="A26" t="inlineStr">
        <is>
          <t>A 41021-2023</t>
        </is>
      </c>
      <c r="B26" t="inlineStr">
        <is>
          <t>avverkningsanmälan</t>
        </is>
      </c>
      <c r="C26" t="inlineStr">
        <is>
          <t>Föryngringsavverkning</t>
        </is>
      </c>
      <c r="D26" s="1" t="n">
        <v>45173</v>
      </c>
      <c r="E26" s="1" t="n">
        <v>46225</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46225</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8817-2025</t>
        </is>
      </c>
      <c r="B28" t="inlineStr">
        <is>
          <t>avverkningsanmälan</t>
        </is>
      </c>
      <c r="C28" t="inlineStr">
        <is>
          <t>Föryngringsavverkning</t>
        </is>
      </c>
      <c r="D28" s="1" t="n">
        <v>45712</v>
      </c>
      <c r="E28" s="1" t="n">
        <v>46225</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8817-2025 artfynd.xlsx", "A 8817-2025")</f>
        <v/>
      </c>
      <c r="X28">
        <f>HYPERLINK("https://klasma.github.io/Logging_0115/kartor/A 8817-2025 karta.png", "A 8817-2025")</f>
        <v/>
      </c>
      <c r="Y28">
        <f>HYPERLINK("https://klasma.github.io/Logging_0115/kartor_geotiff/A 8817-2025 georefererad karta.tif", "A 8817-2025")</f>
        <v/>
      </c>
      <c r="AA28">
        <f>HYPERLINK("https://klasma.github.io/Logging_0115/klagomål/A 8817-2025 FSC-klagomål.docx", "A 8817-2025")</f>
        <v/>
      </c>
      <c r="AB28">
        <f>HYPERLINK("https://klasma.github.io/Logging_0115/klagomålsmail/A 8817-2025 FSC-klagomål mail.docx", "A 8817-2025")</f>
        <v/>
      </c>
      <c r="AC28">
        <f>HYPERLINK("https://klasma.github.io/Logging_0115/tillsyn/A 8817-2025 tillsynsbegäran.docx", "A 8817-2025")</f>
        <v/>
      </c>
      <c r="AD28">
        <f>HYPERLINK("https://klasma.github.io/Logging_0115/tillsynsmail/A 8817-2025 tillsynsbegäran mail.docx", "A 8817-2025")</f>
        <v/>
      </c>
    </row>
    <row r="29" ht="15" customHeight="1">
      <c r="A29" t="inlineStr">
        <is>
          <t>A 17348-2025</t>
        </is>
      </c>
      <c r="B29" t="inlineStr">
        <is>
          <t>avverkningsanmälan</t>
        </is>
      </c>
      <c r="C29" t="inlineStr">
        <is>
          <t>Föryngringsavverkning</t>
        </is>
      </c>
      <c r="D29" s="1" t="n">
        <v>45756</v>
      </c>
      <c r="E29" s="1" t="n">
        <v>46225</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t="n">
        <v>0</v>
      </c>
      <c r="V29" s="2" t="inlineStr">
        <is>
          <t>Björksplintborre</t>
        </is>
      </c>
      <c r="W29">
        <f>HYPERLINK("https://klasma.github.io/Logging_0115/artfynd/A 17348-2025 artfynd.xlsx", "A 17348-2025")</f>
        <v/>
      </c>
      <c r="X29">
        <f>HYPERLINK("https://klasma.github.io/Logging_0115/kartor/A 17348-2025 karta.png", "A 17348-2025")</f>
        <v/>
      </c>
      <c r="Y29">
        <f>HYPERLINK("https://klasma.github.io/Logging_0115/kartor_geotiff/A 17348-2025 georefererad karta.tif", "A 17348-2025")</f>
        <v/>
      </c>
      <c r="AA29">
        <f>HYPERLINK("https://klasma.github.io/Logging_0115/klagomål/A 17348-2025 FSC-klagomål.docx", "A 17348-2025")</f>
        <v/>
      </c>
      <c r="AB29">
        <f>HYPERLINK("https://klasma.github.io/Logging_0115/klagomålsmail/A 17348-2025 FSC-klagomål mail.docx", "A 17348-2025")</f>
        <v/>
      </c>
      <c r="AC29">
        <f>HYPERLINK("https://klasma.github.io/Logging_0115/tillsyn/A 17348-2025 tillsynsbegäran.docx", "A 17348-2025")</f>
        <v/>
      </c>
      <c r="AD29">
        <f>HYPERLINK("https://klasma.github.io/Logging_0115/tillsynsmail/A 17348-2025 tillsynsbegäran mail.docx", "A 17348-2025")</f>
        <v/>
      </c>
    </row>
    <row r="30" ht="15" customHeight="1">
      <c r="A30" t="inlineStr">
        <is>
          <t>A 22830-2024</t>
        </is>
      </c>
      <c r="B30" t="inlineStr">
        <is>
          <t>avverkningsanmälan</t>
        </is>
      </c>
      <c r="C30" t="inlineStr">
        <is>
          <t>Föryngringsavverkning</t>
        </is>
      </c>
      <c r="D30" s="1" t="n">
        <v>45448</v>
      </c>
      <c r="E30" s="1" t="n">
        <v>46225</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HYPERLINK("https://klasma.github.io/Logging_0115/artfynd/A 22830-2024 artfynd.xlsx", "A 22830-2024")</f>
        <v/>
      </c>
      <c r="X30">
        <f>HYPERLINK("https://klasma.github.io/Logging_0115/kartor/A 22830-2024 karta.png", "A 22830-2024")</f>
        <v/>
      </c>
      <c r="Y30">
        <f>HYPERLINK("https://klasma.github.io/Logging_0115/kartor_geotiff/A 22830-2024 georefererad karta.tif", "A 22830-2024")</f>
        <v/>
      </c>
      <c r="AA30">
        <f>HYPERLINK("https://klasma.github.io/Logging_0115/klagomål/A 22830-2024 FSC-klagomål.docx", "A 22830-2024")</f>
        <v/>
      </c>
      <c r="AB30">
        <f>HYPERLINK("https://klasma.github.io/Logging_0115/klagomålsmail/A 22830-2024 FSC-klagomål mail.docx", "A 22830-2024")</f>
        <v/>
      </c>
      <c r="AC30">
        <f>HYPERLINK("https://klasma.github.io/Logging_0115/tillsyn/A 22830-2024 tillsynsbegäran.docx", "A 22830-2024")</f>
        <v/>
      </c>
      <c r="AD30">
        <f>HYPERLINK("https://klasma.github.io/Logging_0115/tillsynsmail/A 22830-2024 tillsynsbegäran mail.docx", "A 22830-2024")</f>
        <v/>
      </c>
    </row>
    <row r="31" ht="15" customHeight="1">
      <c r="A31" t="inlineStr">
        <is>
          <t>A 12396-2026</t>
        </is>
      </c>
      <c r="B31" t="inlineStr">
        <is>
          <t>avverkningsanmälan</t>
        </is>
      </c>
      <c r="C31" t="inlineStr">
        <is>
          <t>Föryngringsavverkning</t>
        </is>
      </c>
      <c r="D31" s="1" t="n">
        <v>46090</v>
      </c>
      <c r="E31" s="1" t="n">
        <v>46225</v>
      </c>
      <c r="F31" t="inlineStr">
        <is>
          <t>STOCKHOLMS LÄN</t>
        </is>
      </c>
      <c r="G31" t="inlineStr">
        <is>
          <t>VALLENTUNA</t>
        </is>
      </c>
      <c r="I31" t="n">
        <v>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HYPERLINK("https://klasma.github.io/Logging_0115/artfynd/A 12396-2026 artfynd.xlsx", "A 12396-2026")</f>
        <v/>
      </c>
      <c r="X31">
        <f>HYPERLINK("https://klasma.github.io/Logging_0115/kartor/A 12396-2026 karta.png", "A 12396-2026")</f>
        <v/>
      </c>
      <c r="Y31">
        <f>HYPERLINK("https://klasma.github.io/Logging_0115/kartor_geotiff/A 12396-2026 georefererad karta.tif", "A 12396-2026")</f>
        <v/>
      </c>
      <c r="AA31">
        <f>HYPERLINK("https://klasma.github.io/Logging_0115/klagomål/A 12396-2026 FSC-klagomål.docx", "A 12396-2026")</f>
        <v/>
      </c>
      <c r="AB31">
        <f>HYPERLINK("https://klasma.github.io/Logging_0115/klagomålsmail/A 12396-2026 FSC-klagomål mail.docx", "A 12396-2026")</f>
        <v/>
      </c>
      <c r="AC31">
        <f>HYPERLINK("https://klasma.github.io/Logging_0115/tillsyn/A 12396-2026 tillsynsbegäran.docx", "A 12396-2026")</f>
        <v/>
      </c>
      <c r="AD31">
        <f>HYPERLINK("https://klasma.github.io/Logging_0115/tillsynsmail/A 12396-2026 tillsynsbegäran mail.docx", "A 12396-2026")</f>
        <v/>
      </c>
      <c r="AE31">
        <f>HYPERLINK("https://klasma.github.io/Logging_0115/fåglar/A 12396-2026 prioriterade fågelarter.docx", "A 12396-2026")</f>
        <v/>
      </c>
    </row>
    <row r="32" ht="15" customHeight="1">
      <c r="A32" t="inlineStr">
        <is>
          <t>A 12401-2026</t>
        </is>
      </c>
      <c r="B32" t="inlineStr">
        <is>
          <t>avverkningsanmälan</t>
        </is>
      </c>
      <c r="C32" t="inlineStr">
        <is>
          <t>Föryngringsavverkning</t>
        </is>
      </c>
      <c r="D32" s="1" t="n">
        <v>46090</v>
      </c>
      <c r="E32" s="1" t="n">
        <v>46225</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54481-2025</t>
        </is>
      </c>
      <c r="B33" t="inlineStr">
        <is>
          <t>avverkningsanmälan</t>
        </is>
      </c>
      <c r="C33" t="inlineStr">
        <is>
          <t>Föryngringsavverkning</t>
        </is>
      </c>
      <c r="D33" s="1" t="n">
        <v>45965</v>
      </c>
      <c r="E33" s="1" t="n">
        <v>46225</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46225</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54460-2025 artfynd.xlsx", "A 54460-2025")</f>
        <v/>
      </c>
      <c r="X34">
        <f>HYPERLINK("https://klasma.github.io/Logging_0115/kartor/A 54460-2025 karta.png", "A 54460-2025")</f>
        <v/>
      </c>
      <c r="Y34">
        <f>HYPERLINK("https://klasma.github.io/Logging_0115/kartor_geotiff/A 54460-2025 georefererad karta.tif", "A 54460-2025")</f>
        <v/>
      </c>
      <c r="AA34">
        <f>HYPERLINK("https://klasma.github.io/Logging_0115/klagomål/A 54460-2025 FSC-klagomål.docx", "A 54460-2025")</f>
        <v/>
      </c>
      <c r="AB34">
        <f>HYPERLINK("https://klasma.github.io/Logging_0115/klagomålsmail/A 54460-2025 FSC-klagomål mail.docx", "A 54460-2025")</f>
        <v/>
      </c>
      <c r="AC34">
        <f>HYPERLINK("https://klasma.github.io/Logging_0115/tillsyn/A 54460-2025 tillsynsbegäran.docx", "A 54460-2025")</f>
        <v/>
      </c>
      <c r="AD34">
        <f>HYPERLINK("https://klasma.github.io/Logging_0115/tillsynsmail/A 54460-2025 tillsynsbegäran mail.docx", "A 54460-2025")</f>
        <v/>
      </c>
    </row>
    <row r="35" ht="15" customHeight="1">
      <c r="A35" t="inlineStr">
        <is>
          <t>A 20910-2026</t>
        </is>
      </c>
      <c r="B35" t="inlineStr">
        <is>
          <t>avverkningsanmälan</t>
        </is>
      </c>
      <c r="C35" t="inlineStr">
        <is>
          <t>Föryngringsavverkning</t>
        </is>
      </c>
      <c r="D35" s="1" t="n">
        <v>46142</v>
      </c>
      <c r="E35" s="1" t="n">
        <v>46225</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24068-2024</t>
        </is>
      </c>
      <c r="B36" t="inlineStr">
        <is>
          <t>avverkningsanmälan</t>
        </is>
      </c>
      <c r="C36" t="inlineStr">
        <is>
          <t>Föryngringsavverkning</t>
        </is>
      </c>
      <c r="D36" s="1" t="n">
        <v>45456</v>
      </c>
      <c r="E36" s="1" t="n">
        <v>46225</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7890-2023</t>
        </is>
      </c>
      <c r="B37" t="inlineStr">
        <is>
          <t>avverkningsanmälan</t>
        </is>
      </c>
      <c r="C37" t="inlineStr">
        <is>
          <t>Föryngringsavverkning</t>
        </is>
      </c>
      <c r="D37" s="1" t="n">
        <v>44973</v>
      </c>
      <c r="E37" s="1" t="n">
        <v>46225</v>
      </c>
      <c r="F37" t="inlineStr">
        <is>
          <t>STOCKHOLMS LÄN</t>
        </is>
      </c>
      <c r="G37" t="inlineStr">
        <is>
          <t>VALLENTUNA</t>
        </is>
      </c>
      <c r="I37" t="n">
        <v>0.5</v>
      </c>
      <c r="J37" t="n">
        <v>0</v>
      </c>
      <c r="K37" t="n">
        <v>0</v>
      </c>
      <c r="L37" t="n">
        <v>1</v>
      </c>
      <c r="M37" t="n">
        <v>0</v>
      </c>
      <c r="N37" t="n">
        <v>0</v>
      </c>
      <c r="O37" t="n">
        <v>0</v>
      </c>
      <c r="P37" t="n">
        <v>0</v>
      </c>
      <c r="Q37" t="n">
        <v>1</v>
      </c>
      <c r="R37" t="n">
        <v>0</v>
      </c>
      <c r="S37" t="n">
        <v>1</v>
      </c>
      <c r="T37" t="n">
        <v>1</v>
      </c>
      <c r="U37" t="n">
        <v>1</v>
      </c>
      <c r="V37" s="2" t="inlineStr">
        <is>
          <t>Ullticka</t>
        </is>
      </c>
      <c r="W37">
        <f>HYPERLINK("https://klasma.github.io/Logging_0115/artfynd/A 7890-2023 artfynd.xlsx", "A 7890-2023")</f>
        <v/>
      </c>
      <c r="X37">
        <f>HYPERLINK("https://klasma.github.io/Logging_0115/kartor/A 7890-2023 karta.png", "A 7890-2023")</f>
        <v/>
      </c>
      <c r="Y37">
        <f>HYPERLINK("https://klasma.github.io/Logging_0115/kartor_geotiff/A 7890-2023 georefererad karta.tif", "A 7890-2023")</f>
        <v/>
      </c>
      <c r="AA37">
        <f>HYPERLINK("https://klasma.github.io/Logging_0115/klagomål/A 7890-2023 FSC-klagomål.docx", "A 7890-2023")</f>
        <v/>
      </c>
      <c r="AB37">
        <f>HYPERLINK("https://klasma.github.io/Logging_0115/klagomålsmail/A 7890-2023 FSC-klagomål mail.docx", "A 7890-2023")</f>
        <v/>
      </c>
      <c r="AC37">
        <f>HYPERLINK("https://klasma.github.io/Logging_0115/tillsyn/A 7890-2023 tillsynsbegäran.docx", "A 7890-2023")</f>
        <v/>
      </c>
      <c r="AD37">
        <f>HYPERLINK("https://klasma.github.io/Logging_0115/tillsynsmail/A 7890-2023 tillsynsbegäran mail.docx", "A 7890-2023")</f>
        <v/>
      </c>
    </row>
    <row r="38" ht="15" customHeight="1">
      <c r="A38" t="inlineStr">
        <is>
          <t>A 20914-2026</t>
        </is>
      </c>
      <c r="B38" t="inlineStr">
        <is>
          <t>avverkningsanmälan</t>
        </is>
      </c>
      <c r="C38" t="inlineStr">
        <is>
          <t>Avverkning för att bevara och utveckla /försöksver</t>
        </is>
      </c>
      <c r="D38" s="1" t="n">
        <v>46142</v>
      </c>
      <c r="E38" s="1" t="n">
        <v>46225</v>
      </c>
      <c r="F38" t="inlineStr">
        <is>
          <t>STOCKHOLMS LÄN</t>
        </is>
      </c>
      <c r="G38" t="inlineStr">
        <is>
          <t>VALLENTUNA</t>
        </is>
      </c>
      <c r="I38" t="n">
        <v>1.1</v>
      </c>
      <c r="J38" t="n">
        <v>0</v>
      </c>
      <c r="K38" t="n">
        <v>0</v>
      </c>
      <c r="L38" t="n">
        <v>1</v>
      </c>
      <c r="M38" t="n">
        <v>0</v>
      </c>
      <c r="N38" t="n">
        <v>0</v>
      </c>
      <c r="O38" t="n">
        <v>0</v>
      </c>
      <c r="P38" t="n">
        <v>0</v>
      </c>
      <c r="Q38" t="n">
        <v>1</v>
      </c>
      <c r="R38" t="n">
        <v>0</v>
      </c>
      <c r="S38" t="n">
        <v>1</v>
      </c>
      <c r="T38" t="n">
        <v>2</v>
      </c>
      <c r="U38" t="n">
        <v>2</v>
      </c>
      <c r="V38" s="2" t="inlineStr">
        <is>
          <t>Tallticka</t>
        </is>
      </c>
      <c r="W38">
        <f>HYPERLINK("https://klasma.github.io/Logging_0115/artfynd/A 20914-2026 artfynd.xlsx", "A 20914-2026")</f>
        <v/>
      </c>
      <c r="X38">
        <f>HYPERLINK("https://klasma.github.io/Logging_0115/kartor/A 20914-2026 karta.png", "A 20914-2026")</f>
        <v/>
      </c>
      <c r="Y38">
        <f>HYPERLINK("https://klasma.github.io/Logging_0115/kartor_geotiff/A 20914-2026 georefererad karta.tif", "A 20914-2026")</f>
        <v/>
      </c>
      <c r="AA38">
        <f>HYPERLINK("https://klasma.github.io/Logging_0115/klagomål/A 20914-2026 FSC-klagomål.docx", "A 20914-2026")</f>
        <v/>
      </c>
      <c r="AB38">
        <f>HYPERLINK("https://klasma.github.io/Logging_0115/klagomålsmail/A 20914-2026 FSC-klagomål mail.docx", "A 20914-2026")</f>
        <v/>
      </c>
      <c r="AC38">
        <f>HYPERLINK("https://klasma.github.io/Logging_0115/tillsyn/A 20914-2026 tillsynsbegäran.docx", "A 20914-2026")</f>
        <v/>
      </c>
      <c r="AD38">
        <f>HYPERLINK("https://klasma.github.io/Logging_0115/tillsynsmail/A 20914-2026 tillsynsbegäran mail.docx", "A 20914-2026")</f>
        <v/>
      </c>
    </row>
    <row r="39" ht="15" customHeight="1">
      <c r="A39" t="inlineStr">
        <is>
          <t>A 21-2022</t>
        </is>
      </c>
      <c r="B39" t="inlineStr">
        <is>
          <t>avverkningsanmälan</t>
        </is>
      </c>
      <c r="C39" t="inlineStr">
        <is>
          <t>Föryngringsavverkning</t>
        </is>
      </c>
      <c r="D39" s="1" t="n">
        <v>44560</v>
      </c>
      <c r="E39" s="1" t="n">
        <v>46225</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17341-2025</t>
        </is>
      </c>
      <c r="B40" t="inlineStr">
        <is>
          <t>avverkningsanmälan</t>
        </is>
      </c>
      <c r="C40" t="inlineStr">
        <is>
          <t>Föryngringsavverkning</t>
        </is>
      </c>
      <c r="D40" s="1" t="n">
        <v>45756</v>
      </c>
      <c r="E40" s="1" t="n">
        <v>46225</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34458-2023</t>
        </is>
      </c>
      <c r="B41" t="inlineStr">
        <is>
          <t>avverkningsanmälan</t>
        </is>
      </c>
      <c r="C41" t="inlineStr">
        <is>
          <t>Föryngringsavverkning</t>
        </is>
      </c>
      <c r="D41" s="1" t="n">
        <v>45139</v>
      </c>
      <c r="E41" s="1" t="n">
        <v>46225</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23009-2024</t>
        </is>
      </c>
      <c r="B42" t="inlineStr">
        <is>
          <t>avverkningsanmälan</t>
        </is>
      </c>
      <c r="C42" t="inlineStr">
        <is>
          <t>Föryngringsavverkning</t>
        </is>
      </c>
      <c r="D42" s="1" t="n">
        <v>45450</v>
      </c>
      <c r="E42" s="1" t="n">
        <v>46225</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46225</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46225</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46225</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46225</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46225</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46225</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46225</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37657-2021</t>
        </is>
      </c>
      <c r="B50" t="inlineStr">
        <is>
          <t>avverkningsanmälan</t>
        </is>
      </c>
      <c r="C50" t="inlineStr">
        <is>
          <t>Föryngringsavverkning</t>
        </is>
      </c>
      <c r="D50" s="1" t="n">
        <v>44400</v>
      </c>
      <c r="E50" s="1" t="n">
        <v>46225</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48078-2021</t>
        </is>
      </c>
      <c r="B51" t="inlineStr">
        <is>
          <t>avverkningsanmälan</t>
        </is>
      </c>
      <c r="C51" t="inlineStr">
        <is>
          <t>Föryngringsavverkning</t>
        </is>
      </c>
      <c r="D51" s="1" t="n">
        <v>44449</v>
      </c>
      <c r="E51" s="1" t="n">
        <v>46225</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42624-2021</t>
        </is>
      </c>
      <c r="B52" t="inlineStr">
        <is>
          <t>avverkningsanmälan</t>
        </is>
      </c>
      <c r="C52" t="inlineStr">
        <is>
          <t>Föryngringsavverkning</t>
        </is>
      </c>
      <c r="D52" s="1" t="n">
        <v>44428</v>
      </c>
      <c r="E52" s="1" t="n">
        <v>46225</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14725-2022</t>
        </is>
      </c>
      <c r="B53" t="inlineStr">
        <is>
          <t>avverkningsanmälan</t>
        </is>
      </c>
      <c r="C53" t="inlineStr">
        <is>
          <t>Avverkning för annat ändamål</t>
        </is>
      </c>
      <c r="D53" s="1" t="n">
        <v>44655</v>
      </c>
      <c r="E53" s="1" t="n">
        <v>46225</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7085-2022</t>
        </is>
      </c>
      <c r="B54" t="inlineStr">
        <is>
          <t>avverkningsanmälan</t>
        </is>
      </c>
      <c r="C54" t="inlineStr">
        <is>
          <t>Föryngringsavverkning</t>
        </is>
      </c>
      <c r="D54" s="1" t="n">
        <v>44603</v>
      </c>
      <c r="E54" s="1" t="n">
        <v>46225</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49530-2023</t>
        </is>
      </c>
      <c r="B55" t="inlineStr">
        <is>
          <t>avverkningsanmälan</t>
        </is>
      </c>
      <c r="C55" t="inlineStr">
        <is>
          <t>Föryngringsavverkning</t>
        </is>
      </c>
      <c r="D55" s="1" t="n">
        <v>45205</v>
      </c>
      <c r="E55" s="1" t="n">
        <v>46225</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52989-2023</t>
        </is>
      </c>
      <c r="B56" t="inlineStr">
        <is>
          <t>avverkningsanmälan</t>
        </is>
      </c>
      <c r="C56" t="inlineStr">
        <is>
          <t>Föryngringsavverkning</t>
        </is>
      </c>
      <c r="D56" s="1" t="n">
        <v>45226</v>
      </c>
      <c r="E56" s="1" t="n">
        <v>46225</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3078-2023</t>
        </is>
      </c>
      <c r="B57" t="inlineStr">
        <is>
          <t>avverkningsanmälan</t>
        </is>
      </c>
      <c r="C57" t="inlineStr">
        <is>
          <t>Föryngringsavverkning</t>
        </is>
      </c>
      <c r="D57" s="1" t="n">
        <v>44946</v>
      </c>
      <c r="E57" s="1" t="n">
        <v>46225</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60795-2023</t>
        </is>
      </c>
      <c r="B58" t="inlineStr">
        <is>
          <t>avverkningsanmälan</t>
        </is>
      </c>
      <c r="C58" t="inlineStr">
        <is>
          <t>Avverkning för annat ändamål</t>
        </is>
      </c>
      <c r="D58" s="1" t="n">
        <v>45260</v>
      </c>
      <c r="E58" s="1" t="n">
        <v>46225</v>
      </c>
      <c r="F58" t="inlineStr">
        <is>
          <t>STOCKHOLMS LÄN</t>
        </is>
      </c>
      <c r="G58" t="inlineStr">
        <is>
          <t>VALLENTUNA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14480-2024</t>
        </is>
      </c>
      <c r="B59" t="inlineStr">
        <is>
          <t>avverkningsanmälan</t>
        </is>
      </c>
      <c r="C59" t="inlineStr">
        <is>
          <t>Föryngringsavverkning</t>
        </is>
      </c>
      <c r="D59" s="1" t="n">
        <v>45394</v>
      </c>
      <c r="E59" s="1" t="n">
        <v>46225</v>
      </c>
      <c r="F59" t="inlineStr">
        <is>
          <t>STOCKHOLMS LÄN</t>
        </is>
      </c>
      <c r="G59" t="inlineStr">
        <is>
          <t>VALLENTUNA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414-2026</t>
        </is>
      </c>
      <c r="B60" t="inlineStr">
        <is>
          <t>avverkningsanmälan</t>
        </is>
      </c>
      <c r="C60" t="inlineStr">
        <is>
          <t>Föryngringsavverkning</t>
        </is>
      </c>
      <c r="D60" s="1" t="n">
        <v>46028</v>
      </c>
      <c r="E60" s="1" t="n">
        <v>46225</v>
      </c>
      <c r="F60" t="inlineStr">
        <is>
          <t>STOCKHOLMS LÄN</t>
        </is>
      </c>
      <c r="G60" t="inlineStr">
        <is>
          <t>VALLENTUNA</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30902-2025</t>
        </is>
      </c>
      <c r="B61" t="inlineStr">
        <is>
          <t>avverkningsanmälan</t>
        </is>
      </c>
      <c r="C61" t="inlineStr">
        <is>
          <t>Föryngringsavverkning</t>
        </is>
      </c>
      <c r="D61" s="1" t="n">
        <v>45832</v>
      </c>
      <c r="E61" s="1" t="n">
        <v>46225</v>
      </c>
      <c r="F61" t="inlineStr">
        <is>
          <t>STOCKHOLMS LÄN</t>
        </is>
      </c>
      <c r="G61" t="inlineStr">
        <is>
          <t>VALLENTUNA</t>
        </is>
      </c>
      <c r="I61" t="n">
        <v>8.199999999999999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6298-2026</t>
        </is>
      </c>
      <c r="B62" t="inlineStr">
        <is>
          <t>avverkningsanmälan</t>
        </is>
      </c>
      <c r="C62" t="inlineStr">
        <is>
          <t>Föryngringsavverkning</t>
        </is>
      </c>
      <c r="D62" s="1" t="n">
        <v>46055</v>
      </c>
      <c r="E62" s="1" t="n">
        <v>46225</v>
      </c>
      <c r="F62" t="inlineStr">
        <is>
          <t>STOCKHOLMS LÄN</t>
        </is>
      </c>
      <c r="G62" t="inlineStr">
        <is>
          <t>VALLENTUNA</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28431-2025</t>
        </is>
      </c>
      <c r="B63" t="inlineStr">
        <is>
          <t>avverkningsanmälan</t>
        </is>
      </c>
      <c r="C63" t="inlineStr">
        <is>
          <t>Föryngringsavverkning</t>
        </is>
      </c>
      <c r="D63" s="1" t="n">
        <v>45819</v>
      </c>
      <c r="E63" s="1" t="n">
        <v>46225</v>
      </c>
      <c r="F63" t="inlineStr">
        <is>
          <t>STOCKHOLMS LÄN</t>
        </is>
      </c>
      <c r="G63" t="inlineStr">
        <is>
          <t>VALLENTUNA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46225</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48014-2025</t>
        </is>
      </c>
      <c r="B65" t="inlineStr">
        <is>
          <t>avverkningsanmälan</t>
        </is>
      </c>
      <c r="C65" t="inlineStr">
        <is>
          <t>Föryngringsavverkning</t>
        </is>
      </c>
      <c r="D65" s="1" t="n">
        <v>45932</v>
      </c>
      <c r="E65" s="1" t="n">
        <v>46225</v>
      </c>
      <c r="F65" t="inlineStr">
        <is>
          <t>STOCKHOLMS LÄN</t>
        </is>
      </c>
      <c r="G65" t="inlineStr">
        <is>
          <t>VALLENTUNA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48038-2025</t>
        </is>
      </c>
      <c r="B66" t="inlineStr">
        <is>
          <t>avverkningsanmälan</t>
        </is>
      </c>
      <c r="C66" t="inlineStr">
        <is>
          <t>Föryngringsavverkning</t>
        </is>
      </c>
      <c r="D66" s="1" t="n">
        <v>45932</v>
      </c>
      <c r="E66" s="1" t="n">
        <v>46225</v>
      </c>
      <c r="F66" t="inlineStr">
        <is>
          <t>STOCKHOLMS LÄN</t>
        </is>
      </c>
      <c r="G66" t="inlineStr">
        <is>
          <t>VALLENTUNA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12819-2026</t>
        </is>
      </c>
      <c r="B67" t="inlineStr">
        <is>
          <t>avverkningsanmälan</t>
        </is>
      </c>
      <c r="C67" t="inlineStr">
        <is>
          <t>Föryngringsavverkning</t>
        </is>
      </c>
      <c r="D67" s="1" t="n">
        <v>46092</v>
      </c>
      <c r="E67" s="1" t="n">
        <v>46225</v>
      </c>
      <c r="F67" t="inlineStr">
        <is>
          <t>STOCKHOLMS LÄN</t>
        </is>
      </c>
      <c r="G67" t="inlineStr">
        <is>
          <t>VALLENTUNA</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12830-2026</t>
        </is>
      </c>
      <c r="B68" t="inlineStr">
        <is>
          <t>avverkningsanmälan</t>
        </is>
      </c>
      <c r="C68" t="inlineStr">
        <is>
          <t>Föryngringsavverkning</t>
        </is>
      </c>
      <c r="D68" s="1" t="n">
        <v>46092</v>
      </c>
      <c r="E68" s="1" t="n">
        <v>46225</v>
      </c>
      <c r="F68" t="inlineStr">
        <is>
          <t>STOCKHOLMS LÄN</t>
        </is>
      </c>
      <c r="G68" t="inlineStr">
        <is>
          <t>VALLENTUNA</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12822-2026</t>
        </is>
      </c>
      <c r="B69" t="inlineStr">
        <is>
          <t>avverkningsanmälan</t>
        </is>
      </c>
      <c r="C69" t="inlineStr">
        <is>
          <t>Föryngringsavverkning</t>
        </is>
      </c>
      <c r="D69" s="1" t="n">
        <v>46092</v>
      </c>
      <c r="E69" s="1" t="n">
        <v>46225</v>
      </c>
      <c r="F69" t="inlineStr">
        <is>
          <t>STOCKHOLMS LÄN</t>
        </is>
      </c>
      <c r="G69" t="inlineStr">
        <is>
          <t>VALLENTUNA</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12828-2026</t>
        </is>
      </c>
      <c r="B70" t="inlineStr">
        <is>
          <t>avverkningsanmälan</t>
        </is>
      </c>
      <c r="C70" t="inlineStr">
        <is>
          <t>Föryngringsavverkning</t>
        </is>
      </c>
      <c r="D70" s="1" t="n">
        <v>46092</v>
      </c>
      <c r="E70" s="1" t="n">
        <v>46225</v>
      </c>
      <c r="F70" t="inlineStr">
        <is>
          <t>STOCKHOLMS LÄN</t>
        </is>
      </c>
      <c r="G70" t="inlineStr">
        <is>
          <t>VALLENTUNA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44346-2021</t>
        </is>
      </c>
      <c r="B71" t="inlineStr">
        <is>
          <t>avverkningsanmälan</t>
        </is>
      </c>
      <c r="C71" t="inlineStr">
        <is>
          <t>Föryngringsavverkning</t>
        </is>
      </c>
      <c r="D71" s="1" t="n">
        <v>44434</v>
      </c>
      <c r="E71" s="1" t="n">
        <v>46225</v>
      </c>
      <c r="F71" t="inlineStr">
        <is>
          <t>STOCKHOLMS LÄN</t>
        </is>
      </c>
      <c r="G71" t="inlineStr">
        <is>
          <t>VALLENTUNA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14799-2026</t>
        </is>
      </c>
      <c r="B72" t="inlineStr">
        <is>
          <t>avverkningsanmälan</t>
        </is>
      </c>
      <c r="C72" t="inlineStr">
        <is>
          <t>Föryngringsavverkning</t>
        </is>
      </c>
      <c r="D72" s="1" t="n">
        <v>46102</v>
      </c>
      <c r="E72" s="1" t="n">
        <v>46225</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17389-2026</t>
        </is>
      </c>
      <c r="B73" t="inlineStr">
        <is>
          <t>avverkningsanmälan</t>
        </is>
      </c>
      <c r="C73" t="inlineStr">
        <is>
          <t>Föryngringsavverkning</t>
        </is>
      </c>
      <c r="D73" s="1" t="n">
        <v>46119</v>
      </c>
      <c r="E73" s="1" t="n">
        <v>46225</v>
      </c>
      <c r="F73" t="inlineStr">
        <is>
          <t>STOCKHOLMS LÄN</t>
        </is>
      </c>
      <c r="G73" t="inlineStr">
        <is>
          <t>VALLENTUNA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17387-2026</t>
        </is>
      </c>
      <c r="B74" t="inlineStr">
        <is>
          <t>avverkningsanmälan</t>
        </is>
      </c>
      <c r="C74" t="inlineStr">
        <is>
          <t>Föryngringsavverkning</t>
        </is>
      </c>
      <c r="D74" s="1" t="n">
        <v>46119</v>
      </c>
      <c r="E74" s="1" t="n">
        <v>46225</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48068-2021</t>
        </is>
      </c>
      <c r="B75" t="inlineStr">
        <is>
          <t>avverkningsanmälan</t>
        </is>
      </c>
      <c r="C75" t="inlineStr">
        <is>
          <t>Föryngringsavverkning</t>
        </is>
      </c>
      <c r="D75" s="1" t="n">
        <v>44449</v>
      </c>
      <c r="E75" s="1" t="n">
        <v>46225</v>
      </c>
      <c r="F75" t="inlineStr">
        <is>
          <t>STOCKHOLMS LÄN</t>
        </is>
      </c>
      <c r="G75" t="inlineStr">
        <is>
          <t>VALLENTUNA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3937-2022</t>
        </is>
      </c>
      <c r="B76" t="inlineStr">
        <is>
          <t>avverkningsanmälan</t>
        </is>
      </c>
      <c r="C76" t="inlineStr">
        <is>
          <t>Föryngringsavverkning</t>
        </is>
      </c>
      <c r="D76" s="1" t="n">
        <v>44587</v>
      </c>
      <c r="E76" s="1" t="n">
        <v>46225</v>
      </c>
      <c r="F76" t="inlineStr">
        <is>
          <t>STOCKHOLMS LÄN</t>
        </is>
      </c>
      <c r="G76" t="inlineStr">
        <is>
          <t>VALLENTUNA</t>
        </is>
      </c>
      <c r="I76" t="n">
        <v>6.6</v>
      </c>
      <c r="J76" t="n">
        <v>0</v>
      </c>
      <c r="K76" t="n">
        <v>0</v>
      </c>
      <c r="L76" t="n">
        <v>0</v>
      </c>
      <c r="M76" t="n">
        <v>0</v>
      </c>
      <c r="N76" t="n">
        <v>0</v>
      </c>
      <c r="O76" t="n">
        <v>0</v>
      </c>
      <c r="P76" t="n">
        <v>0</v>
      </c>
      <c r="Q76" t="n">
        <v>0</v>
      </c>
      <c r="R76" t="n">
        <v>0</v>
      </c>
      <c r="S76" t="n">
        <v>0</v>
      </c>
      <c r="T76" t="n">
        <v>0</v>
      </c>
      <c r="U76" t="n">
        <v>0</v>
      </c>
      <c r="V76" s="2" t="inlineStr"/>
    </row>
    <row r="77" ht="15" customHeight="1">
      <c r="A77" t="inlineStr">
        <is>
          <t>A 4804-2024</t>
        </is>
      </c>
      <c r="B77" t="inlineStr">
        <is>
          <t>avverkningsanmälan</t>
        </is>
      </c>
      <c r="C77" t="inlineStr">
        <is>
          <t>Avverkning för annat ändamål</t>
        </is>
      </c>
      <c r="D77" s="1" t="n">
        <v>45328</v>
      </c>
      <c r="E77" s="1" t="n">
        <v>46225</v>
      </c>
      <c r="F77" t="inlineStr">
        <is>
          <t>STOCKHOLMS LÄN</t>
        </is>
      </c>
      <c r="G77" t="inlineStr">
        <is>
          <t>VALLENTUNA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60818-2023</t>
        </is>
      </c>
      <c r="B78" t="inlineStr">
        <is>
          <t>avverkningsanmälan</t>
        </is>
      </c>
      <c r="C78" t="inlineStr">
        <is>
          <t>Föryngringsavverkning</t>
        </is>
      </c>
      <c r="D78" s="1" t="n">
        <v>45259</v>
      </c>
      <c r="E78" s="1" t="n">
        <v>46225</v>
      </c>
      <c r="F78" t="inlineStr">
        <is>
          <t>STOCKHOLMS LÄN</t>
        </is>
      </c>
      <c r="G78" t="inlineStr">
        <is>
          <t>VALLENTUNA</t>
        </is>
      </c>
      <c r="I78" t="n">
        <v>9.4</v>
      </c>
      <c r="J78" t="n">
        <v>0</v>
      </c>
      <c r="K78" t="n">
        <v>0</v>
      </c>
      <c r="L78" t="n">
        <v>0</v>
      </c>
      <c r="M78" t="n">
        <v>0</v>
      </c>
      <c r="N78" t="n">
        <v>0</v>
      </c>
      <c r="O78" t="n">
        <v>0</v>
      </c>
      <c r="P78" t="n">
        <v>0</v>
      </c>
      <c r="Q78" t="n">
        <v>0</v>
      </c>
      <c r="R78" t="n">
        <v>0</v>
      </c>
      <c r="S78" t="n">
        <v>0</v>
      </c>
      <c r="T78" t="n">
        <v>0</v>
      </c>
      <c r="U78" t="n">
        <v>0</v>
      </c>
      <c r="V78" s="2" t="inlineStr"/>
    </row>
    <row r="79" ht="15" customHeight="1">
      <c r="A79" t="inlineStr">
        <is>
          <t>A 7264-2022</t>
        </is>
      </c>
      <c r="B79" t="inlineStr">
        <is>
          <t>avverkningsanmälan</t>
        </is>
      </c>
      <c r="C79" t="inlineStr">
        <is>
          <t>Föryngringsavverkning</t>
        </is>
      </c>
      <c r="D79" s="1" t="n">
        <v>44606</v>
      </c>
      <c r="E79" s="1" t="n">
        <v>46225</v>
      </c>
      <c r="F79" t="inlineStr">
        <is>
          <t>STOCKHOLMS LÄN</t>
        </is>
      </c>
      <c r="G79" t="inlineStr">
        <is>
          <t>VALLENTUNA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61646-2025</t>
        </is>
      </c>
      <c r="B80" t="inlineStr">
        <is>
          <t>avverkningsanmälan</t>
        </is>
      </c>
      <c r="C80" t="inlineStr">
        <is>
          <t>Föryngringsavverkning</t>
        </is>
      </c>
      <c r="D80" s="1" t="n">
        <v>46002</v>
      </c>
      <c r="E80" s="1" t="n">
        <v>46225</v>
      </c>
      <c r="F80" t="inlineStr">
        <is>
          <t>STOCKHOLMS LÄN</t>
        </is>
      </c>
      <c r="G80" t="inlineStr">
        <is>
          <t>VALLENTUNA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19356-2025</t>
        </is>
      </c>
      <c r="B81" t="inlineStr">
        <is>
          <t>avverkningsanmälan</t>
        </is>
      </c>
      <c r="C81" t="inlineStr">
        <is>
          <t>Föryngringsavverkning</t>
        </is>
      </c>
      <c r="D81" s="1" t="n">
        <v>45769</v>
      </c>
      <c r="E81" s="1" t="n">
        <v>46225</v>
      </c>
      <c r="F81" t="inlineStr">
        <is>
          <t>STOCKHOLMS LÄN</t>
        </is>
      </c>
      <c r="G81" t="inlineStr">
        <is>
          <t>VALLENTUNA</t>
        </is>
      </c>
      <c r="H81" t="inlineStr">
        <is>
          <t>Övriga Aktiebolag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12562-2023</t>
        </is>
      </c>
      <c r="B82" t="inlineStr">
        <is>
          <t>avverkningsanmälan</t>
        </is>
      </c>
      <c r="C82" t="inlineStr">
        <is>
          <t>Föryngringsavverkning</t>
        </is>
      </c>
      <c r="D82" s="1" t="n">
        <v>45000</v>
      </c>
      <c r="E82" s="1" t="n">
        <v>46225</v>
      </c>
      <c r="F82" t="inlineStr">
        <is>
          <t>STOCKHOLMS LÄN</t>
        </is>
      </c>
      <c r="G82" t="inlineStr">
        <is>
          <t>VALLENTUNA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19503-2023</t>
        </is>
      </c>
      <c r="B83" t="inlineStr">
        <is>
          <t>avverkningsanmälan</t>
        </is>
      </c>
      <c r="C83" t="inlineStr">
        <is>
          <t>Föryngringsavverkning</t>
        </is>
      </c>
      <c r="D83" s="1" t="n">
        <v>45050</v>
      </c>
      <c r="E83" s="1" t="n">
        <v>46225</v>
      </c>
      <c r="F83" t="inlineStr">
        <is>
          <t>STOCKHOLMS LÄN</t>
        </is>
      </c>
      <c r="G83" t="inlineStr">
        <is>
          <t>VALLENTUNA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21445-2023</t>
        </is>
      </c>
      <c r="B84" t="inlineStr">
        <is>
          <t>avverkningsanmälan</t>
        </is>
      </c>
      <c r="C84" t="inlineStr">
        <is>
          <t>Föryngringsavverkning</t>
        </is>
      </c>
      <c r="D84" s="1" t="n">
        <v>45063</v>
      </c>
      <c r="E84" s="1" t="n">
        <v>46225</v>
      </c>
      <c r="F84" t="inlineStr">
        <is>
          <t>STOCKHOLMS LÄN</t>
        </is>
      </c>
      <c r="G84" t="inlineStr">
        <is>
          <t>VALLENTUNA</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22683-2023</t>
        </is>
      </c>
      <c r="B85" t="inlineStr">
        <is>
          <t>avverkningsanmälan</t>
        </is>
      </c>
      <c r="C85" t="inlineStr">
        <is>
          <t>Föryngringsavverkning</t>
        </is>
      </c>
      <c r="D85" s="1" t="n">
        <v>45071</v>
      </c>
      <c r="E85" s="1" t="n">
        <v>46225</v>
      </c>
      <c r="F85" t="inlineStr">
        <is>
          <t>STOCKHOLMS LÄN</t>
        </is>
      </c>
      <c r="G85" t="inlineStr">
        <is>
          <t>VALLENTUNA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24943-2024</t>
        </is>
      </c>
      <c r="B86" t="inlineStr">
        <is>
          <t>avverkningsanmälan</t>
        </is>
      </c>
      <c r="C86" t="inlineStr">
        <is>
          <t>Föryngringsavverkning</t>
        </is>
      </c>
      <c r="D86" s="1" t="n">
        <v>45461</v>
      </c>
      <c r="E86" s="1" t="n">
        <v>46225</v>
      </c>
      <c r="F86" t="inlineStr">
        <is>
          <t>STOCKHOLMS LÄN</t>
        </is>
      </c>
      <c r="G86" t="inlineStr">
        <is>
          <t>VALLENTUNA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5910-2022</t>
        </is>
      </c>
      <c r="B87" t="inlineStr">
        <is>
          <t>avverkningsanmälan</t>
        </is>
      </c>
      <c r="C87" t="inlineStr">
        <is>
          <t>Föryngringsavverkning</t>
        </is>
      </c>
      <c r="D87" s="1" t="n">
        <v>44597</v>
      </c>
      <c r="E87" s="1" t="n">
        <v>46225</v>
      </c>
      <c r="F87" t="inlineStr">
        <is>
          <t>STOCKHOLMS LÄN</t>
        </is>
      </c>
      <c r="G87" t="inlineStr">
        <is>
          <t>VALLENTUNA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24740-2026</t>
        </is>
      </c>
      <c r="B88" t="inlineStr">
        <is>
          <t>avverkningsanmälan</t>
        </is>
      </c>
      <c r="C88" t="inlineStr">
        <is>
          <t>Föryngringsavverkning</t>
        </is>
      </c>
      <c r="D88" s="1" t="n">
        <v>46171</v>
      </c>
      <c r="E88" s="1" t="n">
        <v>46225</v>
      </c>
      <c r="F88" t="inlineStr">
        <is>
          <t>STOCKHOLMS LÄN</t>
        </is>
      </c>
      <c r="G88" t="inlineStr">
        <is>
          <t>VALLENTUNA</t>
        </is>
      </c>
      <c r="H88" t="inlineStr">
        <is>
          <t>Övriga Aktiebolag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26390-2023</t>
        </is>
      </c>
      <c r="B89" t="inlineStr">
        <is>
          <t>avverkningsanmälan</t>
        </is>
      </c>
      <c r="C89" t="inlineStr">
        <is>
          <t>Föryngringsavverkning</t>
        </is>
      </c>
      <c r="D89" s="1" t="n">
        <v>45086</v>
      </c>
      <c r="E89" s="1" t="n">
        <v>46225</v>
      </c>
      <c r="F89" t="inlineStr">
        <is>
          <t>STOCKHOLMS LÄN</t>
        </is>
      </c>
      <c r="G89" t="inlineStr">
        <is>
          <t>VALLENTUNA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25740-2026</t>
        </is>
      </c>
      <c r="B90" t="inlineStr">
        <is>
          <t>avverkningsanmälan</t>
        </is>
      </c>
      <c r="C90" t="inlineStr">
        <is>
          <t>Föryngringsavverkning</t>
        </is>
      </c>
      <c r="D90" s="1" t="n">
        <v>46178</v>
      </c>
      <c r="E90" s="1" t="n">
        <v>46225</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25752-2026</t>
        </is>
      </c>
      <c r="B91" t="inlineStr">
        <is>
          <t>avverkningsanmälan</t>
        </is>
      </c>
      <c r="C91" t="inlineStr">
        <is>
          <t>Föryngringsavverkning</t>
        </is>
      </c>
      <c r="D91" s="1" t="n">
        <v>46178</v>
      </c>
      <c r="E91" s="1" t="n">
        <v>46225</v>
      </c>
      <c r="F91" t="inlineStr">
        <is>
          <t>STOCKHOLMS LÄN</t>
        </is>
      </c>
      <c r="G91" t="inlineStr">
        <is>
          <t>VALLENTUNA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24707-2023</t>
        </is>
      </c>
      <c r="B92" t="inlineStr">
        <is>
          <t>avverkningsanmälan</t>
        </is>
      </c>
      <c r="C92" t="inlineStr">
        <is>
          <t>Föryngringsavverkning</t>
        </is>
      </c>
      <c r="D92" s="1" t="n">
        <v>45084</v>
      </c>
      <c r="E92" s="1" t="n">
        <v>46225</v>
      </c>
      <c r="F92" t="inlineStr">
        <is>
          <t>STOCKHOLMS LÄN</t>
        </is>
      </c>
      <c r="G92" t="inlineStr">
        <is>
          <t>VALLENTUNA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12609-2024</t>
        </is>
      </c>
      <c r="B93" t="inlineStr">
        <is>
          <t>avverkningsanmälan</t>
        </is>
      </c>
      <c r="C93" t="inlineStr">
        <is>
          <t>Avverkning för annat ändamål</t>
        </is>
      </c>
      <c r="D93" s="1" t="n">
        <v>45382</v>
      </c>
      <c r="E93" s="1" t="n">
        <v>46225</v>
      </c>
      <c r="F93" t="inlineStr">
        <is>
          <t>STOCKHOLMS LÄN</t>
        </is>
      </c>
      <c r="G93" t="inlineStr">
        <is>
          <t>VALLENTUNA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47140-2024</t>
        </is>
      </c>
      <c r="B94" t="inlineStr">
        <is>
          <t>avverkningsanmälan</t>
        </is>
      </c>
      <c r="C94" t="inlineStr">
        <is>
          <t>Föryngringsavverkning</t>
        </is>
      </c>
      <c r="D94" s="1" t="n">
        <v>45586</v>
      </c>
      <c r="E94" s="1" t="n">
        <v>46225</v>
      </c>
      <c r="F94" t="inlineStr">
        <is>
          <t>STOCKHOLMS LÄN</t>
        </is>
      </c>
      <c r="G94" t="inlineStr">
        <is>
          <t>VALLENTUNA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9063-2024</t>
        </is>
      </c>
      <c r="B95" t="inlineStr">
        <is>
          <t>avverkningsanmälan</t>
        </is>
      </c>
      <c r="C95" t="inlineStr">
        <is>
          <t>Föryngringsavverkning</t>
        </is>
      </c>
      <c r="D95" s="1" t="n">
        <v>45357</v>
      </c>
      <c r="E95" s="1" t="n">
        <v>46225</v>
      </c>
      <c r="F95" t="inlineStr">
        <is>
          <t>STOCKHOLMS LÄN</t>
        </is>
      </c>
      <c r="G95" t="inlineStr">
        <is>
          <t>VALLENTUNA</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4803-2024</t>
        </is>
      </c>
      <c r="B96" t="inlineStr">
        <is>
          <t>avverkningsanmälan</t>
        </is>
      </c>
      <c r="C96" t="inlineStr">
        <is>
          <t>Avverkning för annat ändamål</t>
        </is>
      </c>
      <c r="D96" s="1" t="n">
        <v>45328</v>
      </c>
      <c r="E96" s="1" t="n">
        <v>46225</v>
      </c>
      <c r="F96" t="inlineStr">
        <is>
          <t>STOCKHOLMS LÄN</t>
        </is>
      </c>
      <c r="G96" t="inlineStr">
        <is>
          <t>VALLENTUNA</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52542-2023</t>
        </is>
      </c>
      <c r="B97" t="inlineStr">
        <is>
          <t>avverkningsanmälan</t>
        </is>
      </c>
      <c r="C97" t="inlineStr">
        <is>
          <t>Föryngringsavverkning</t>
        </is>
      </c>
      <c r="D97" s="1" t="n">
        <v>45225</v>
      </c>
      <c r="E97" s="1" t="n">
        <v>46225</v>
      </c>
      <c r="F97" t="inlineStr">
        <is>
          <t>STOCKHOLMS LÄN</t>
        </is>
      </c>
      <c r="G97" t="inlineStr">
        <is>
          <t>VALLENTUNA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11950-2025</t>
        </is>
      </c>
      <c r="B98" t="inlineStr">
        <is>
          <t>avverkningsanmälan</t>
        </is>
      </c>
      <c r="C98" t="inlineStr">
        <is>
          <t>Föryngringsavverkning</t>
        </is>
      </c>
      <c r="D98" s="1" t="n">
        <v>45728</v>
      </c>
      <c r="E98" s="1" t="n">
        <v>46225</v>
      </c>
      <c r="F98" t="inlineStr">
        <is>
          <t>STOCKHOLMS LÄN</t>
        </is>
      </c>
      <c r="G98" t="inlineStr">
        <is>
          <t>VALLENTUNA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14489-2024</t>
        </is>
      </c>
      <c r="B99" t="inlineStr">
        <is>
          <t>avverkningsanmälan</t>
        </is>
      </c>
      <c r="C99" t="inlineStr">
        <is>
          <t>Föryngringsavverkning</t>
        </is>
      </c>
      <c r="D99" s="1" t="n">
        <v>45394</v>
      </c>
      <c r="E99" s="1" t="n">
        <v>46225</v>
      </c>
      <c r="F99" t="inlineStr">
        <is>
          <t>STOCKHOLMS LÄN</t>
        </is>
      </c>
      <c r="G99" t="inlineStr">
        <is>
          <t>VALLENTUNA</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52562-2023</t>
        </is>
      </c>
      <c r="B100" t="inlineStr">
        <is>
          <t>avverkningsanmälan</t>
        </is>
      </c>
      <c r="C100" t="inlineStr">
        <is>
          <t>Föryngringsavverkning</t>
        </is>
      </c>
      <c r="D100" s="1" t="n">
        <v>45225</v>
      </c>
      <c r="E100" s="1" t="n">
        <v>46225</v>
      </c>
      <c r="F100" t="inlineStr">
        <is>
          <t>STOCKHOLMS LÄN</t>
        </is>
      </c>
      <c r="G100" t="inlineStr">
        <is>
          <t>VALLENTUNA</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23013-2024</t>
        </is>
      </c>
      <c r="B101" t="inlineStr">
        <is>
          <t>avverkningsanmälan</t>
        </is>
      </c>
      <c r="C101" t="inlineStr">
        <is>
          <t>Föryngringsavverkning</t>
        </is>
      </c>
      <c r="D101" s="1" t="n">
        <v>45450</v>
      </c>
      <c r="E101" s="1" t="n">
        <v>46225</v>
      </c>
      <c r="F101" t="inlineStr">
        <is>
          <t>STOCKHOLMS LÄN</t>
        </is>
      </c>
      <c r="G101" t="inlineStr">
        <is>
          <t>VALLENTUNA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2318-2024</t>
        </is>
      </c>
      <c r="B102" t="inlineStr">
        <is>
          <t>avverkningsanmälan</t>
        </is>
      </c>
      <c r="C102" t="inlineStr">
        <is>
          <t>Föryngringsavverkning</t>
        </is>
      </c>
      <c r="D102" s="1" t="n">
        <v>45310</v>
      </c>
      <c r="E102" s="1" t="n">
        <v>46225</v>
      </c>
      <c r="F102" t="inlineStr">
        <is>
          <t>STOCKHOLMS LÄN</t>
        </is>
      </c>
      <c r="G102" t="inlineStr">
        <is>
          <t>VALLENTUNA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61742-2022</t>
        </is>
      </c>
      <c r="B103" t="inlineStr">
        <is>
          <t>avverkningsanmälan</t>
        </is>
      </c>
      <c r="C103" t="inlineStr">
        <is>
          <t>Avverkning för annat ändamål</t>
        </is>
      </c>
      <c r="D103" s="1" t="n">
        <v>44917</v>
      </c>
      <c r="E103" s="1" t="n">
        <v>46225</v>
      </c>
      <c r="F103" t="inlineStr">
        <is>
          <t>STOCKHOLMS LÄN</t>
        </is>
      </c>
      <c r="G103" t="inlineStr">
        <is>
          <t>VALLENTUNA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3698-2022</t>
        </is>
      </c>
      <c r="B104" t="inlineStr">
        <is>
          <t>avverkningsanmälan</t>
        </is>
      </c>
      <c r="C104" t="inlineStr">
        <is>
          <t>Föryngringsavverkning</t>
        </is>
      </c>
      <c r="D104" s="1" t="n">
        <v>44586</v>
      </c>
      <c r="E104" s="1" t="n">
        <v>46225</v>
      </c>
      <c r="F104" t="inlineStr">
        <is>
          <t>STOCKHOLMS LÄN</t>
        </is>
      </c>
      <c r="G104" t="inlineStr">
        <is>
          <t>VALLENTUNA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12234-2022</t>
        </is>
      </c>
      <c r="B105" t="inlineStr">
        <is>
          <t>avverkningsanmälan</t>
        </is>
      </c>
      <c r="C105" t="inlineStr">
        <is>
          <t>Föryngringsavverkning</t>
        </is>
      </c>
      <c r="D105" s="1" t="n">
        <v>44637</v>
      </c>
      <c r="E105" s="1" t="n">
        <v>46225</v>
      </c>
      <c r="F105" t="inlineStr">
        <is>
          <t>STOCKHOLMS LÄN</t>
        </is>
      </c>
      <c r="G105" t="inlineStr">
        <is>
          <t>VALLENTUNA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21614-2022</t>
        </is>
      </c>
      <c r="B106" t="inlineStr">
        <is>
          <t>avverkningsanmälan</t>
        </is>
      </c>
      <c r="C106" t="inlineStr">
        <is>
          <t>Föryngringsavverkning</t>
        </is>
      </c>
      <c r="D106" s="1" t="n">
        <v>44706</v>
      </c>
      <c r="E106" s="1" t="n">
        <v>46225</v>
      </c>
      <c r="F106" t="inlineStr">
        <is>
          <t>STOCKHOLMS LÄN</t>
        </is>
      </c>
      <c r="G106" t="inlineStr">
        <is>
          <t>VALLENTUNA</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12585-2023</t>
        </is>
      </c>
      <c r="B107" t="inlineStr">
        <is>
          <t>avverkningsanmälan</t>
        </is>
      </c>
      <c r="C107" t="inlineStr">
        <is>
          <t>Föryngringsavverkning</t>
        </is>
      </c>
      <c r="D107" s="1" t="n">
        <v>45000</v>
      </c>
      <c r="E107" s="1" t="n">
        <v>46225</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8787-2024</t>
        </is>
      </c>
      <c r="B108" t="inlineStr">
        <is>
          <t>avverkningsanmälan</t>
        </is>
      </c>
      <c r="C108" t="inlineStr">
        <is>
          <t>Avverkning för annat ändamål</t>
        </is>
      </c>
      <c r="D108" s="1" t="n">
        <v>45356</v>
      </c>
      <c r="E108" s="1" t="n">
        <v>46225</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34441-2023</t>
        </is>
      </c>
      <c r="B109" t="inlineStr">
        <is>
          <t>avverkningsanmälan</t>
        </is>
      </c>
      <c r="C109" t="inlineStr">
        <is>
          <t>Föryngringsavverkning</t>
        </is>
      </c>
      <c r="D109" s="1" t="n">
        <v>45139</v>
      </c>
      <c r="E109" s="1" t="n">
        <v>46225</v>
      </c>
      <c r="F109" t="inlineStr">
        <is>
          <t>STOCKHOLMS LÄN</t>
        </is>
      </c>
      <c r="G109" t="inlineStr">
        <is>
          <t>VALLENTUNA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34445-2023</t>
        </is>
      </c>
      <c r="B110" t="inlineStr">
        <is>
          <t>avverkningsanmälan</t>
        </is>
      </c>
      <c r="C110" t="inlineStr">
        <is>
          <t>Föryngringsavverkning</t>
        </is>
      </c>
      <c r="D110" s="1" t="n">
        <v>45139</v>
      </c>
      <c r="E110" s="1" t="n">
        <v>46225</v>
      </c>
      <c r="F110" t="inlineStr">
        <is>
          <t>STOCKHOLMS LÄN</t>
        </is>
      </c>
      <c r="G110" t="inlineStr">
        <is>
          <t>VALLENTUNA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23986-2023</t>
        </is>
      </c>
      <c r="B111" t="inlineStr">
        <is>
          <t>avverkningsanmälan</t>
        </is>
      </c>
      <c r="C111" t="inlineStr">
        <is>
          <t>Föryngringsavverkning</t>
        </is>
      </c>
      <c r="D111" s="1" t="n">
        <v>45078</v>
      </c>
      <c r="E111" s="1" t="n">
        <v>46225</v>
      </c>
      <c r="F111" t="inlineStr">
        <is>
          <t>STOCKHOLMS LÄN</t>
        </is>
      </c>
      <c r="G111" t="inlineStr">
        <is>
          <t>VALLENTUNA</t>
        </is>
      </c>
      <c r="H111" t="inlineStr">
        <is>
          <t>Kyrkan</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8077-2022</t>
        </is>
      </c>
      <c r="B112" t="inlineStr">
        <is>
          <t>avverkningsanmälan</t>
        </is>
      </c>
      <c r="C112" t="inlineStr">
        <is>
          <t>Föryngringsavverkning</t>
        </is>
      </c>
      <c r="D112" s="1" t="n">
        <v>44609</v>
      </c>
      <c r="E112" s="1" t="n">
        <v>46225</v>
      </c>
      <c r="F112" t="inlineStr">
        <is>
          <t>STOCKHOLMS LÄN</t>
        </is>
      </c>
      <c r="G112" t="inlineStr">
        <is>
          <t>VALLENTUNA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13836-2022</t>
        </is>
      </c>
      <c r="B113" t="inlineStr">
        <is>
          <t>avverkningsanmälan</t>
        </is>
      </c>
      <c r="C113" t="inlineStr">
        <is>
          <t>Föryngringsavverkning</t>
        </is>
      </c>
      <c r="D113" s="1" t="n">
        <v>44649</v>
      </c>
      <c r="E113" s="1" t="n">
        <v>46225</v>
      </c>
      <c r="F113" t="inlineStr">
        <is>
          <t>STOCKHOLMS LÄN</t>
        </is>
      </c>
      <c r="G113" t="inlineStr">
        <is>
          <t>VALLENTUNA</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29704-2023</t>
        </is>
      </c>
      <c r="B114" t="inlineStr">
        <is>
          <t>avverkningsanmälan</t>
        </is>
      </c>
      <c r="C114" t="inlineStr">
        <is>
          <t>Föryngringsavverkning</t>
        </is>
      </c>
      <c r="D114" s="1" t="n">
        <v>45107</v>
      </c>
      <c r="E114" s="1" t="n">
        <v>46225</v>
      </c>
      <c r="F114" t="inlineStr">
        <is>
          <t>STOCKHOLMS LÄN</t>
        </is>
      </c>
      <c r="G114" t="inlineStr">
        <is>
          <t>VALLENTUNA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21765-2023</t>
        </is>
      </c>
      <c r="B115" t="inlineStr">
        <is>
          <t>avverkningsanmälan</t>
        </is>
      </c>
      <c r="C115" t="inlineStr">
        <is>
          <t>Föryngringsavverkning</t>
        </is>
      </c>
      <c r="D115" s="1" t="n">
        <v>45064</v>
      </c>
      <c r="E115" s="1" t="n">
        <v>46225</v>
      </c>
      <c r="F115" t="inlineStr">
        <is>
          <t>STOCKHOLMS LÄN</t>
        </is>
      </c>
      <c r="G115" t="inlineStr">
        <is>
          <t>VALLENTUNA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45496-2023</t>
        </is>
      </c>
      <c r="B116" t="inlineStr">
        <is>
          <t>avverkningsanmälan</t>
        </is>
      </c>
      <c r="C116" t="inlineStr">
        <is>
          <t>Föryngringsavverkning</t>
        </is>
      </c>
      <c r="D116" s="1" t="n">
        <v>45194</v>
      </c>
      <c r="E116" s="1" t="n">
        <v>46225</v>
      </c>
      <c r="F116" t="inlineStr">
        <is>
          <t>STOCKHOLMS LÄN</t>
        </is>
      </c>
      <c r="G116" t="inlineStr">
        <is>
          <t>VALLENTUNA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45499-2023</t>
        </is>
      </c>
      <c r="B117" t="inlineStr">
        <is>
          <t>avverkningsanmälan</t>
        </is>
      </c>
      <c r="C117" t="inlineStr">
        <is>
          <t>Föryngringsavverkning</t>
        </is>
      </c>
      <c r="D117" s="1" t="n">
        <v>45194</v>
      </c>
      <c r="E117" s="1" t="n">
        <v>46225</v>
      </c>
      <c r="F117" t="inlineStr">
        <is>
          <t>STOCKHOLMS LÄN</t>
        </is>
      </c>
      <c r="G117" t="inlineStr">
        <is>
          <t>VALLENTUNA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14782-2024</t>
        </is>
      </c>
      <c r="B118" t="inlineStr">
        <is>
          <t>avverkningsanmälan</t>
        </is>
      </c>
      <c r="C118" t="inlineStr">
        <is>
          <t>Avverkning för att bevara och utveckla /försöksver</t>
        </is>
      </c>
      <c r="D118" s="1" t="n">
        <v>45397</v>
      </c>
      <c r="E118" s="1" t="n">
        <v>46225</v>
      </c>
      <c r="F118" t="inlineStr">
        <is>
          <t>STOCKHOLMS LÄN</t>
        </is>
      </c>
      <c r="G118" t="inlineStr">
        <is>
          <t>VALLENTUNA</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1385-2024</t>
        </is>
      </c>
      <c r="B119" t="inlineStr">
        <is>
          <t>avverkningsanmälan</t>
        </is>
      </c>
      <c r="C119" t="inlineStr">
        <is>
          <t>Föryngringsavverkning</t>
        </is>
      </c>
      <c r="D119" s="1" t="n">
        <v>45303</v>
      </c>
      <c r="E119" s="1" t="n">
        <v>46225</v>
      </c>
      <c r="F119" t="inlineStr">
        <is>
          <t>STOCKHOLMS LÄN</t>
        </is>
      </c>
      <c r="G119" t="inlineStr">
        <is>
          <t>VALLENTUNA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14775-2024</t>
        </is>
      </c>
      <c r="B120" t="inlineStr">
        <is>
          <t>avverkningsanmälan</t>
        </is>
      </c>
      <c r="C120" t="inlineStr">
        <is>
          <t>Föryngringsavverkning</t>
        </is>
      </c>
      <c r="D120" s="1" t="n">
        <v>45397</v>
      </c>
      <c r="E120" s="1" t="n">
        <v>46225</v>
      </c>
      <c r="F120" t="inlineStr">
        <is>
          <t>STOCKHOLMS LÄN</t>
        </is>
      </c>
      <c r="G120" t="inlineStr">
        <is>
          <t>VALLENTUNA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17411-2023</t>
        </is>
      </c>
      <c r="B121" t="inlineStr">
        <is>
          <t>avverkningsanmälan</t>
        </is>
      </c>
      <c r="C121" t="inlineStr">
        <is>
          <t>Föryngringsavverkning</t>
        </is>
      </c>
      <c r="D121" s="1" t="n">
        <v>45035</v>
      </c>
      <c r="E121" s="1" t="n">
        <v>46225</v>
      </c>
      <c r="F121" t="inlineStr">
        <is>
          <t>STOCKHOLMS LÄN</t>
        </is>
      </c>
      <c r="G121" t="inlineStr">
        <is>
          <t>VALLENTUNA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38102-2024</t>
        </is>
      </c>
      <c r="B122" t="inlineStr">
        <is>
          <t>avverkningsanmälan</t>
        </is>
      </c>
      <c r="C122" t="inlineStr">
        <is>
          <t>Föryngringsavverkning</t>
        </is>
      </c>
      <c r="D122" s="1" t="n">
        <v>45545</v>
      </c>
      <c r="E122" s="1" t="n">
        <v>46225</v>
      </c>
      <c r="F122" t="inlineStr">
        <is>
          <t>STOCKHOLMS LÄN</t>
        </is>
      </c>
      <c r="G122" t="inlineStr">
        <is>
          <t>VALLENTUNA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17340-2025</t>
        </is>
      </c>
      <c r="B123" t="inlineStr">
        <is>
          <t>avverkningsanmälan</t>
        </is>
      </c>
      <c r="C123" t="inlineStr">
        <is>
          <t>Föryngringsavverkning</t>
        </is>
      </c>
      <c r="D123" s="1" t="n">
        <v>45756</v>
      </c>
      <c r="E123" s="1" t="n">
        <v>46225</v>
      </c>
      <c r="F123" t="inlineStr">
        <is>
          <t>STOCKHOLMS LÄN</t>
        </is>
      </c>
      <c r="G123" t="inlineStr">
        <is>
          <t>VALLENTUNA</t>
        </is>
      </c>
      <c r="H123" t="inlineStr">
        <is>
          <t>Övriga Aktiebolag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10073-2024</t>
        </is>
      </c>
      <c r="B124" t="inlineStr">
        <is>
          <t>avverkningsanmälan</t>
        </is>
      </c>
      <c r="C124" t="inlineStr">
        <is>
          <t>Föryngringsavverkning</t>
        </is>
      </c>
      <c r="D124" s="1" t="n">
        <v>45364</v>
      </c>
      <c r="E124" s="1" t="n">
        <v>46225</v>
      </c>
      <c r="F124" t="inlineStr">
        <is>
          <t>STOCKHOLMS LÄN</t>
        </is>
      </c>
      <c r="G124" t="inlineStr">
        <is>
          <t>VALLENTUNA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12621-2024</t>
        </is>
      </c>
      <c r="B125" t="inlineStr">
        <is>
          <t>avverkningsanmälan</t>
        </is>
      </c>
      <c r="C125" t="inlineStr">
        <is>
          <t>Föryngringsavverkning</t>
        </is>
      </c>
      <c r="D125" s="1" t="n">
        <v>45383</v>
      </c>
      <c r="E125" s="1" t="n">
        <v>46225</v>
      </c>
      <c r="F125" t="inlineStr">
        <is>
          <t>STOCKHOLMS LÄN</t>
        </is>
      </c>
      <c r="G125" t="inlineStr">
        <is>
          <t>VALLENTUNA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46381-2023</t>
        </is>
      </c>
      <c r="B126" t="inlineStr">
        <is>
          <t>avverkningsanmälan</t>
        </is>
      </c>
      <c r="C126" t="inlineStr">
        <is>
          <t>Föryngringsavverkning</t>
        </is>
      </c>
      <c r="D126" s="1" t="n">
        <v>45193</v>
      </c>
      <c r="E126" s="1" t="n">
        <v>46225</v>
      </c>
      <c r="F126" t="inlineStr">
        <is>
          <t>STOCKHOLMS LÄN</t>
        </is>
      </c>
      <c r="G126" t="inlineStr">
        <is>
          <t>VALLENTUNA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61027-2023</t>
        </is>
      </c>
      <c r="B127" t="inlineStr">
        <is>
          <t>avverkningsanmälan</t>
        </is>
      </c>
      <c r="C127" t="inlineStr">
        <is>
          <t>Föryngringsavverkning</t>
        </is>
      </c>
      <c r="D127" s="1" t="n">
        <v>45261</v>
      </c>
      <c r="E127" s="1" t="n">
        <v>46225</v>
      </c>
      <c r="F127" t="inlineStr">
        <is>
          <t>STOCKHOLMS LÄN</t>
        </is>
      </c>
      <c r="G127" t="inlineStr">
        <is>
          <t>VALLENTUNA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S 6321-2022</t>
        </is>
      </c>
      <c r="B128" t="inlineStr">
        <is>
          <t>samrådsanmälan</t>
        </is>
      </c>
      <c r="C128" t="inlineStr">
        <is>
          <t>Annan skogsbruksåtgärd</t>
        </is>
      </c>
      <c r="D128" s="1" t="n">
        <v>44872</v>
      </c>
      <c r="E128" s="1" t="n">
        <v>46225</v>
      </c>
      <c r="F128" t="inlineStr">
        <is>
          <t>STOCKHOLMS LÄN</t>
        </is>
      </c>
      <c r="G128" t="inlineStr">
        <is>
          <t>VALLENTUNA</t>
        </is>
      </c>
      <c r="I128" t="n">
        <v>0.1</v>
      </c>
      <c r="J128" t="n">
        <v>0</v>
      </c>
      <c r="K128" t="n">
        <v>0</v>
      </c>
      <c r="L128" t="n">
        <v>0</v>
      </c>
      <c r="M128" t="n">
        <v>0</v>
      </c>
      <c r="N128" t="n">
        <v>0</v>
      </c>
      <c r="O128" t="n">
        <v>0</v>
      </c>
      <c r="P128" t="n">
        <v>0</v>
      </c>
      <c r="Q128" t="n">
        <v>0</v>
      </c>
      <c r="R128" t="n">
        <v>0</v>
      </c>
      <c r="S128" t="n">
        <v>0</v>
      </c>
      <c r="T128" t="n">
        <v>0</v>
      </c>
      <c r="U128" t="n">
        <v>0</v>
      </c>
      <c r="V128" s="2" t="inlineStr"/>
    </row>
    <row r="129">
      <c r="A129" t="inlineStr">
        <is>
          <t>S 2547-2025</t>
        </is>
      </c>
      <c r="B129" t="inlineStr">
        <is>
          <t>samrådsanmälan</t>
        </is>
      </c>
      <c r="C129" t="inlineStr">
        <is>
          <t>Annan skogsbruksåtgärd</t>
        </is>
      </c>
      <c r="D129" s="1" t="n">
        <v>45911</v>
      </c>
      <c r="E129" s="1" t="n">
        <v>46225</v>
      </c>
      <c r="F129" t="inlineStr">
        <is>
          <t>STOCKHOLMS LÄN</t>
        </is>
      </c>
      <c r="G129" t="inlineStr">
        <is>
          <t>VALLENTUNA</t>
        </is>
      </c>
      <c r="I129" t="n">
        <v>1.9</v>
      </c>
      <c r="J129" t="n">
        <v>0</v>
      </c>
      <c r="K129" t="n">
        <v>0</v>
      </c>
      <c r="L129" t="n">
        <v>0</v>
      </c>
      <c r="M129" t="n">
        <v>0</v>
      </c>
      <c r="N129" t="n">
        <v>0</v>
      </c>
      <c r="O129" t="n">
        <v>0</v>
      </c>
      <c r="P129" t="n">
        <v>0</v>
      </c>
      <c r="Q129" t="n">
        <v>0</v>
      </c>
      <c r="R129" t="n">
        <v>0</v>
      </c>
      <c r="S129" t="n">
        <v>0</v>
      </c>
      <c r="T129" t="n">
        <v>0</v>
      </c>
      <c r="U129" t="n">
        <v>0</v>
      </c>
      <c r="V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2026-07-22T01:34:29Z</dcterms:created>
  <dcterms:modified xmlns:dcterms="http://purl.org/dc/terms/" xmlns:xsi="http://www.w3.org/2001/XMLSchema-instance" xsi:type="dcterms:W3CDTF">2026-07-22T01:34:30Z</dcterms:modified>
</cp:coreProperties>
</file>