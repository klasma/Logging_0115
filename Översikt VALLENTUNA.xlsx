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46167</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46167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46167</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46167</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46167</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46167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46167</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46167</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46167</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46-2022</t>
        </is>
      </c>
      <c r="B25" s="1" t="n">
        <v>44560</v>
      </c>
      <c r="C25" s="1" t="n">
        <v>46167</v>
      </c>
      <c r="D25" t="inlineStr">
        <is>
          <t>STOCKHOLMS LÄN</t>
        </is>
      </c>
      <c r="E25" t="inlineStr">
        <is>
          <t>VALLENTUNA</t>
        </is>
      </c>
      <c r="F25" t="inlineStr">
        <is>
          <t>Övriga Aktiebolag</t>
        </is>
      </c>
      <c r="G25" t="n">
        <v>7.9</v>
      </c>
      <c r="H25" t="n">
        <v>1</v>
      </c>
      <c r="I25" t="n">
        <v>1</v>
      </c>
      <c r="J25" t="n">
        <v>0</v>
      </c>
      <c r="K25" t="n">
        <v>0</v>
      </c>
      <c r="L25" t="n">
        <v>0</v>
      </c>
      <c r="M25" t="n">
        <v>0</v>
      </c>
      <c r="N25" t="n">
        <v>0</v>
      </c>
      <c r="O25" t="n">
        <v>0</v>
      </c>
      <c r="P25" t="n">
        <v>0</v>
      </c>
      <c r="Q25" t="n">
        <v>2</v>
      </c>
      <c r="R25" s="2" t="inlineStr">
        <is>
          <t>Fällmossa
Blåsippa</t>
        </is>
      </c>
      <c r="S25">
        <f>HYPERLINK("https://klasma.github.io/Logging_0115/artfynd/A 46-2022 artfynd.xlsx", "A 46-2022")</f>
        <v/>
      </c>
      <c r="T25">
        <f>HYPERLINK("https://klasma.github.io/Logging_0115/kartor/A 46-2022 karta.png", "A 46-2022")</f>
        <v/>
      </c>
      <c r="V25">
        <f>HYPERLINK("https://klasma.github.io/Logging_0115/klagomål/A 46-2022 FSC-klagomål.docx", "A 46-2022")</f>
        <v/>
      </c>
      <c r="W25">
        <f>HYPERLINK("https://klasma.github.io/Logging_0115/klagomålsmail/A 46-2022 FSC-klagomål mail.docx", "A 46-2022")</f>
        <v/>
      </c>
      <c r="X25">
        <f>HYPERLINK("https://klasma.github.io/Logging_0115/tillsyn/A 46-2022 tillsynsbegäran.docx", "A 46-2022")</f>
        <v/>
      </c>
      <c r="Y25">
        <f>HYPERLINK("https://klasma.github.io/Logging_0115/tillsynsmail/A 46-2022 tillsynsbegäran mail.docx", "A 46-2022")</f>
        <v/>
      </c>
    </row>
    <row r="26" ht="15" customHeight="1">
      <c r="A26" t="inlineStr">
        <is>
          <t>A 754-2024</t>
        </is>
      </c>
      <c r="B26" s="1" t="n">
        <v>45300</v>
      </c>
      <c r="C26" s="1" t="n">
        <v>46167</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46167</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46167</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46167</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46167</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34460-2023</t>
        </is>
      </c>
      <c r="B31" s="1" t="n">
        <v>45139</v>
      </c>
      <c r="C31" s="1" t="n">
        <v>46167</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63539-2025</t>
        </is>
      </c>
      <c r="B32" s="1" t="n">
        <v>46013.58824074074</v>
      </c>
      <c r="C32" s="1" t="n">
        <v>46167</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63543-2025</t>
        </is>
      </c>
      <c r="B33" s="1" t="n">
        <v>46013.59207175926</v>
      </c>
      <c r="C33" s="1" t="n">
        <v>46167</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17348-2025</t>
        </is>
      </c>
      <c r="B34" s="1" t="n">
        <v>45756</v>
      </c>
      <c r="C34" s="1" t="n">
        <v>46167</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34458-2023</t>
        </is>
      </c>
      <c r="B35" s="1" t="n">
        <v>45139</v>
      </c>
      <c r="C35" s="1" t="n">
        <v>46167</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12401-2026</t>
        </is>
      </c>
      <c r="B36" s="1" t="n">
        <v>46090</v>
      </c>
      <c r="C36" s="1" t="n">
        <v>46167</v>
      </c>
      <c r="D36" t="inlineStr">
        <is>
          <t>STOCKHOLMS LÄN</t>
        </is>
      </c>
      <c r="E36" t="inlineStr">
        <is>
          <t>VALLENTUNA</t>
        </is>
      </c>
      <c r="G36" t="n">
        <v>5.9</v>
      </c>
      <c r="H36" t="n">
        <v>1</v>
      </c>
      <c r="I36" t="n">
        <v>0</v>
      </c>
      <c r="J36" t="n">
        <v>1</v>
      </c>
      <c r="K36" t="n">
        <v>0</v>
      </c>
      <c r="L36" t="n">
        <v>0</v>
      </c>
      <c r="M36" t="n">
        <v>0</v>
      </c>
      <c r="N36" t="n">
        <v>0</v>
      </c>
      <c r="O36" t="n">
        <v>1</v>
      </c>
      <c r="P36" t="n">
        <v>0</v>
      </c>
      <c r="Q36" t="n">
        <v>1</v>
      </c>
      <c r="R36" s="2" t="inlineStr">
        <is>
          <t>Spillkråka</t>
        </is>
      </c>
      <c r="S36">
        <f>HYPERLINK("https://klasma.github.io/Logging_0115/artfynd/A 12401-2026 artfynd.xlsx", "A 12401-2026")</f>
        <v/>
      </c>
      <c r="T36">
        <f>HYPERLINK("https://klasma.github.io/Logging_0115/kartor/A 12401-2026 karta.png", "A 12401-2026")</f>
        <v/>
      </c>
      <c r="V36">
        <f>HYPERLINK("https://klasma.github.io/Logging_0115/klagomål/A 12401-2026 FSC-klagomål.docx", "A 12401-2026")</f>
        <v/>
      </c>
      <c r="W36">
        <f>HYPERLINK("https://klasma.github.io/Logging_0115/klagomålsmail/A 12401-2026 FSC-klagomål mail.docx", "A 12401-2026")</f>
        <v/>
      </c>
      <c r="X36">
        <f>HYPERLINK("https://klasma.github.io/Logging_0115/tillsyn/A 12401-2026 tillsynsbegäran.docx", "A 12401-2026")</f>
        <v/>
      </c>
      <c r="Y36">
        <f>HYPERLINK("https://klasma.github.io/Logging_0115/tillsynsmail/A 12401-2026 tillsynsbegäran mail.docx", "A 12401-2026")</f>
        <v/>
      </c>
      <c r="Z36">
        <f>HYPERLINK("https://klasma.github.io/Logging_0115/fåglar/A 12401-2026 prioriterade fågelarter.docx", "A 12401-2026")</f>
        <v/>
      </c>
    </row>
    <row r="37" ht="15" customHeight="1">
      <c r="A37" t="inlineStr">
        <is>
          <t>A 12396-2026</t>
        </is>
      </c>
      <c r="B37" s="1" t="n">
        <v>46090.38930555555</v>
      </c>
      <c r="C37" s="1" t="n">
        <v>46167</v>
      </c>
      <c r="D37" t="inlineStr">
        <is>
          <t>STOCKHOLMS LÄN</t>
        </is>
      </c>
      <c r="E37" t="inlineStr">
        <is>
          <t>VALLENTUNA</t>
        </is>
      </c>
      <c r="G37" t="n">
        <v>3</v>
      </c>
      <c r="H37" t="n">
        <v>1</v>
      </c>
      <c r="I37" t="n">
        <v>0</v>
      </c>
      <c r="J37" t="n">
        <v>1</v>
      </c>
      <c r="K37" t="n">
        <v>0</v>
      </c>
      <c r="L37" t="n">
        <v>0</v>
      </c>
      <c r="M37" t="n">
        <v>0</v>
      </c>
      <c r="N37" t="n">
        <v>0</v>
      </c>
      <c r="O37" t="n">
        <v>1</v>
      </c>
      <c r="P37" t="n">
        <v>0</v>
      </c>
      <c r="Q37" t="n">
        <v>1</v>
      </c>
      <c r="R37" s="2" t="inlineStr">
        <is>
          <t>Spillkråka</t>
        </is>
      </c>
      <c r="S37">
        <f>HYPERLINK("https://klasma.github.io/Logging_0115/artfynd/A 12396-2026 artfynd.xlsx", "A 12396-2026")</f>
        <v/>
      </c>
      <c r="T37">
        <f>HYPERLINK("https://klasma.github.io/Logging_0115/kartor/A 12396-2026 karta.png", "A 12396-2026")</f>
        <v/>
      </c>
      <c r="V37">
        <f>HYPERLINK("https://klasma.github.io/Logging_0115/klagomål/A 12396-2026 FSC-klagomål.docx", "A 12396-2026")</f>
        <v/>
      </c>
      <c r="W37">
        <f>HYPERLINK("https://klasma.github.io/Logging_0115/klagomålsmail/A 12396-2026 FSC-klagomål mail.docx", "A 12396-2026")</f>
        <v/>
      </c>
      <c r="X37">
        <f>HYPERLINK("https://klasma.github.io/Logging_0115/tillsyn/A 12396-2026 tillsynsbegäran.docx", "A 12396-2026")</f>
        <v/>
      </c>
      <c r="Y37">
        <f>HYPERLINK("https://klasma.github.io/Logging_0115/tillsynsmail/A 12396-2026 tillsynsbegäran mail.docx", "A 12396-2026")</f>
        <v/>
      </c>
      <c r="Z37">
        <f>HYPERLINK("https://klasma.github.io/Logging_0115/fåglar/A 12396-2026 prioriterade fågelarter.docx", "A 12396-2026")</f>
        <v/>
      </c>
    </row>
    <row r="38" ht="15" customHeight="1">
      <c r="A38" t="inlineStr">
        <is>
          <t>A 21-2022</t>
        </is>
      </c>
      <c r="B38" s="1" t="n">
        <v>44560</v>
      </c>
      <c r="C38" s="1" t="n">
        <v>46167</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46167</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46167</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46167</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46167</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46167</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46167</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46167</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46167</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46167</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46167</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46167</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46167</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46167</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46167</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46167</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46167</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46167</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46167</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26390-2023</t>
        </is>
      </c>
      <c r="B57" s="1" t="n">
        <v>45086</v>
      </c>
      <c r="C57" s="1" t="n">
        <v>46167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15300-2023</t>
        </is>
      </c>
      <c r="B58" s="1" t="n">
        <v>45019</v>
      </c>
      <c r="C58" s="1" t="n">
        <v>46167</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61742-2022</t>
        </is>
      </c>
      <c r="B59" s="1" t="n">
        <v>44917</v>
      </c>
      <c r="C59" s="1" t="n">
        <v>46167</v>
      </c>
      <c r="D59" t="inlineStr">
        <is>
          <t>STOCKHOLMS LÄN</t>
        </is>
      </c>
      <c r="E59" t="inlineStr">
        <is>
          <t>VALLENTUNA</t>
        </is>
      </c>
      <c r="G59" t="n">
        <v>0.5</v>
      </c>
      <c r="H59" t="n">
        <v>0</v>
      </c>
      <c r="I59" t="n">
        <v>0</v>
      </c>
      <c r="J59" t="n">
        <v>0</v>
      </c>
      <c r="K59" t="n">
        <v>0</v>
      </c>
      <c r="L59" t="n">
        <v>0</v>
      </c>
      <c r="M59" t="n">
        <v>0</v>
      </c>
      <c r="N59" t="n">
        <v>0</v>
      </c>
      <c r="O59" t="n">
        <v>0</v>
      </c>
      <c r="P59" t="n">
        <v>0</v>
      </c>
      <c r="Q59" t="n">
        <v>0</v>
      </c>
      <c r="R59" s="2" t="inlineStr"/>
    </row>
    <row r="60" ht="15" customHeight="1">
      <c r="A60" t="inlineStr">
        <is>
          <t>A 12562-2023</t>
        </is>
      </c>
      <c r="B60" s="1" t="n">
        <v>45000</v>
      </c>
      <c r="C60" s="1" t="n">
        <v>46167</v>
      </c>
      <c r="D60" t="inlineStr">
        <is>
          <t>STOCKHOLMS LÄN</t>
        </is>
      </c>
      <c r="E60" t="inlineStr">
        <is>
          <t>VALLENTUNA</t>
        </is>
      </c>
      <c r="G60" t="n">
        <v>2.1</v>
      </c>
      <c r="H60" t="n">
        <v>0</v>
      </c>
      <c r="I60" t="n">
        <v>0</v>
      </c>
      <c r="J60" t="n">
        <v>0</v>
      </c>
      <c r="K60" t="n">
        <v>0</v>
      </c>
      <c r="L60" t="n">
        <v>0</v>
      </c>
      <c r="M60" t="n">
        <v>0</v>
      </c>
      <c r="N60" t="n">
        <v>0</v>
      </c>
      <c r="O60" t="n">
        <v>0</v>
      </c>
      <c r="P60" t="n">
        <v>0</v>
      </c>
      <c r="Q60" t="n">
        <v>0</v>
      </c>
      <c r="R60" s="2" t="inlineStr"/>
    </row>
    <row r="61" ht="15" customHeight="1">
      <c r="A61" t="inlineStr">
        <is>
          <t>A 17340-2025</t>
        </is>
      </c>
      <c r="B61" s="1" t="n">
        <v>45756</v>
      </c>
      <c r="C61" s="1" t="n">
        <v>46167</v>
      </c>
      <c r="D61" t="inlineStr">
        <is>
          <t>STOCKHOLMS LÄN</t>
        </is>
      </c>
      <c r="E61" t="inlineStr">
        <is>
          <t>VALLENTUNA</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14480-2024</t>
        </is>
      </c>
      <c r="B62" s="1" t="n">
        <v>45394.56777777777</v>
      </c>
      <c r="C62" s="1" t="n">
        <v>46167</v>
      </c>
      <c r="D62" t="inlineStr">
        <is>
          <t>STOCKHOLMS LÄN</t>
        </is>
      </c>
      <c r="E62" t="inlineStr">
        <is>
          <t>VALLENTUNA</t>
        </is>
      </c>
      <c r="G62" t="n">
        <v>1.8</v>
      </c>
      <c r="H62" t="n">
        <v>0</v>
      </c>
      <c r="I62" t="n">
        <v>0</v>
      </c>
      <c r="J62" t="n">
        <v>0</v>
      </c>
      <c r="K62" t="n">
        <v>0</v>
      </c>
      <c r="L62" t="n">
        <v>0</v>
      </c>
      <c r="M62" t="n">
        <v>0</v>
      </c>
      <c r="N62" t="n">
        <v>0</v>
      </c>
      <c r="O62" t="n">
        <v>0</v>
      </c>
      <c r="P62" t="n">
        <v>0</v>
      </c>
      <c r="Q62" t="n">
        <v>0</v>
      </c>
      <c r="R62" s="2" t="inlineStr"/>
    </row>
    <row r="63" ht="15" customHeight="1">
      <c r="A63" t="inlineStr">
        <is>
          <t>A 30913-2021</t>
        </is>
      </c>
      <c r="B63" s="1" t="n">
        <v>44365</v>
      </c>
      <c r="C63" s="1" t="n">
        <v>46167</v>
      </c>
      <c r="D63" t="inlineStr">
        <is>
          <t>STOCKHOLMS LÄN</t>
        </is>
      </c>
      <c r="E63" t="inlineStr">
        <is>
          <t>VALLENTUNA</t>
        </is>
      </c>
      <c r="F63" t="inlineStr">
        <is>
          <t>Övriga Aktiebolag</t>
        </is>
      </c>
      <c r="G63" t="n">
        <v>3.3</v>
      </c>
      <c r="H63" t="n">
        <v>0</v>
      </c>
      <c r="I63" t="n">
        <v>0</v>
      </c>
      <c r="J63" t="n">
        <v>0</v>
      </c>
      <c r="K63" t="n">
        <v>0</v>
      </c>
      <c r="L63" t="n">
        <v>0</v>
      </c>
      <c r="M63" t="n">
        <v>0</v>
      </c>
      <c r="N63" t="n">
        <v>0</v>
      </c>
      <c r="O63" t="n">
        <v>0</v>
      </c>
      <c r="P63" t="n">
        <v>0</v>
      </c>
      <c r="Q63" t="n">
        <v>0</v>
      </c>
      <c r="R63" s="2" t="inlineStr"/>
    </row>
    <row r="64" ht="15" customHeight="1">
      <c r="A64" t="inlineStr">
        <is>
          <t>A 45496-2023</t>
        </is>
      </c>
      <c r="B64" s="1" t="n">
        <v>45194</v>
      </c>
      <c r="C64" s="1" t="n">
        <v>46167</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29704-2023</t>
        </is>
      </c>
      <c r="B65" s="1" t="n">
        <v>45107</v>
      </c>
      <c r="C65" s="1" t="n">
        <v>46167</v>
      </c>
      <c r="D65" t="inlineStr">
        <is>
          <t>STOCKHOLMS LÄN</t>
        </is>
      </c>
      <c r="E65" t="inlineStr">
        <is>
          <t>VALLENTUNA</t>
        </is>
      </c>
      <c r="G65" t="n">
        <v>3.7</v>
      </c>
      <c r="H65" t="n">
        <v>0</v>
      </c>
      <c r="I65" t="n">
        <v>0</v>
      </c>
      <c r="J65" t="n">
        <v>0</v>
      </c>
      <c r="K65" t="n">
        <v>0</v>
      </c>
      <c r="L65" t="n">
        <v>0</v>
      </c>
      <c r="M65" t="n">
        <v>0</v>
      </c>
      <c r="N65" t="n">
        <v>0</v>
      </c>
      <c r="O65" t="n">
        <v>0</v>
      </c>
      <c r="P65" t="n">
        <v>0</v>
      </c>
      <c r="Q65" t="n">
        <v>0</v>
      </c>
      <c r="R65" s="2" t="inlineStr"/>
    </row>
    <row r="66" ht="15" customHeight="1">
      <c r="A66" t="inlineStr">
        <is>
          <t>A 17387-2026</t>
        </is>
      </c>
      <c r="B66" s="1" t="n">
        <v>46119.79578703704</v>
      </c>
      <c r="C66" s="1" t="n">
        <v>46167</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17388-2026</t>
        </is>
      </c>
      <c r="B67" s="1" t="n">
        <v>46119.79952546296</v>
      </c>
      <c r="C67" s="1" t="n">
        <v>46167</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17389-2026</t>
        </is>
      </c>
      <c r="B68" s="1" t="n">
        <v>46119.80603009259</v>
      </c>
      <c r="C68" s="1" t="n">
        <v>46167</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46167</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44346-2021</t>
        </is>
      </c>
      <c r="B70" s="1" t="n">
        <v>44434</v>
      </c>
      <c r="C70" s="1" t="n">
        <v>46167</v>
      </c>
      <c r="D70" t="inlineStr">
        <is>
          <t>STOCKHOLMS LÄN</t>
        </is>
      </c>
      <c r="E70" t="inlineStr">
        <is>
          <t>VALLENTUNA</t>
        </is>
      </c>
      <c r="G70" t="n">
        <v>3</v>
      </c>
      <c r="H70" t="n">
        <v>0</v>
      </c>
      <c r="I70" t="n">
        <v>0</v>
      </c>
      <c r="J70" t="n">
        <v>0</v>
      </c>
      <c r="K70" t="n">
        <v>0</v>
      </c>
      <c r="L70" t="n">
        <v>0</v>
      </c>
      <c r="M70" t="n">
        <v>0</v>
      </c>
      <c r="N70" t="n">
        <v>0</v>
      </c>
      <c r="O70" t="n">
        <v>0</v>
      </c>
      <c r="P70" t="n">
        <v>0</v>
      </c>
      <c r="Q70" t="n">
        <v>0</v>
      </c>
      <c r="R70" s="2" t="inlineStr"/>
    </row>
    <row r="71" ht="15" customHeight="1">
      <c r="A71" t="inlineStr">
        <is>
          <t>A 12609-2024</t>
        </is>
      </c>
      <c r="B71" s="1" t="n">
        <v>45382.8109375</v>
      </c>
      <c r="C71" s="1" t="n">
        <v>46167</v>
      </c>
      <c r="D71" t="inlineStr">
        <is>
          <t>STOCKHOLMS LÄN</t>
        </is>
      </c>
      <c r="E71" t="inlineStr">
        <is>
          <t>VALLENTUNA</t>
        </is>
      </c>
      <c r="G71" t="n">
        <v>0.9</v>
      </c>
      <c r="H71" t="n">
        <v>0</v>
      </c>
      <c r="I71" t="n">
        <v>0</v>
      </c>
      <c r="J71" t="n">
        <v>0</v>
      </c>
      <c r="K71" t="n">
        <v>0</v>
      </c>
      <c r="L71" t="n">
        <v>0</v>
      </c>
      <c r="M71" t="n">
        <v>0</v>
      </c>
      <c r="N71" t="n">
        <v>0</v>
      </c>
      <c r="O71" t="n">
        <v>0</v>
      </c>
      <c r="P71" t="n">
        <v>0</v>
      </c>
      <c r="Q71" t="n">
        <v>0</v>
      </c>
      <c r="R71" s="2" t="inlineStr"/>
    </row>
    <row r="72" ht="15" customHeight="1">
      <c r="A72" t="inlineStr">
        <is>
          <t>A 13836-2022</t>
        </is>
      </c>
      <c r="B72" s="1" t="n">
        <v>44649</v>
      </c>
      <c r="C72" s="1" t="n">
        <v>46167</v>
      </c>
      <c r="D72" t="inlineStr">
        <is>
          <t>STOCKHOLMS LÄN</t>
        </is>
      </c>
      <c r="E72" t="inlineStr">
        <is>
          <t>VALLENTUNA</t>
        </is>
      </c>
      <c r="G72" t="n">
        <v>3.5</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46167</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4804-2024</t>
        </is>
      </c>
      <c r="B74" s="1" t="n">
        <v>45328</v>
      </c>
      <c r="C74" s="1" t="n">
        <v>46167</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46167</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46167</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24707-2023</t>
        </is>
      </c>
      <c r="B77" s="1" t="n">
        <v>45084</v>
      </c>
      <c r="C77" s="1" t="n">
        <v>46167</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50784-2025</t>
        </is>
      </c>
      <c r="B78" s="1" t="n">
        <v>45946</v>
      </c>
      <c r="C78" s="1" t="n">
        <v>46167</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5910-2022</t>
        </is>
      </c>
      <c r="B79" s="1" t="n">
        <v>44597</v>
      </c>
      <c r="C79" s="1" t="n">
        <v>46167</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24994-2021</t>
        </is>
      </c>
      <c r="B80" s="1" t="n">
        <v>44341</v>
      </c>
      <c r="C80" s="1" t="n">
        <v>46167</v>
      </c>
      <c r="D80" t="inlineStr">
        <is>
          <t>STOCKHOLMS LÄN</t>
        </is>
      </c>
      <c r="E80" t="inlineStr">
        <is>
          <t>VALLENTUNA</t>
        </is>
      </c>
      <c r="G80" t="n">
        <v>2.6</v>
      </c>
      <c r="H80" t="n">
        <v>0</v>
      </c>
      <c r="I80" t="n">
        <v>0</v>
      </c>
      <c r="J80" t="n">
        <v>0</v>
      </c>
      <c r="K80" t="n">
        <v>0</v>
      </c>
      <c r="L80" t="n">
        <v>0</v>
      </c>
      <c r="M80" t="n">
        <v>0</v>
      </c>
      <c r="N80" t="n">
        <v>0</v>
      </c>
      <c r="O80" t="n">
        <v>0</v>
      </c>
      <c r="P80" t="n">
        <v>0</v>
      </c>
      <c r="Q80" t="n">
        <v>0</v>
      </c>
      <c r="R80" s="2" t="inlineStr"/>
    </row>
    <row r="81" ht="15" customHeight="1">
      <c r="A81" t="inlineStr">
        <is>
          <t>A 60795-2023</t>
        </is>
      </c>
      <c r="B81" s="1" t="n">
        <v>45260</v>
      </c>
      <c r="C81" s="1" t="n">
        <v>46167</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60997-2022</t>
        </is>
      </c>
      <c r="B82" s="1" t="n">
        <v>44914.70746527778</v>
      </c>
      <c r="C82" s="1" t="n">
        <v>46167</v>
      </c>
      <c r="D82" t="inlineStr">
        <is>
          <t>STOCKHOLMS LÄN</t>
        </is>
      </c>
      <c r="E82" t="inlineStr">
        <is>
          <t>VALLENTUNA</t>
        </is>
      </c>
      <c r="G82" t="n">
        <v>1.8</v>
      </c>
      <c r="H82" t="n">
        <v>0</v>
      </c>
      <c r="I82" t="n">
        <v>0</v>
      </c>
      <c r="J82" t="n">
        <v>0</v>
      </c>
      <c r="K82" t="n">
        <v>0</v>
      </c>
      <c r="L82" t="n">
        <v>0</v>
      </c>
      <c r="M82" t="n">
        <v>0</v>
      </c>
      <c r="N82" t="n">
        <v>0</v>
      </c>
      <c r="O82" t="n">
        <v>0</v>
      </c>
      <c r="P82" t="n">
        <v>0</v>
      </c>
      <c r="Q82" t="n">
        <v>0</v>
      </c>
      <c r="R82" s="2" t="inlineStr"/>
    </row>
    <row r="83" ht="15" customHeight="1">
      <c r="A83" t="inlineStr">
        <is>
          <t>A 27868-2025</t>
        </is>
      </c>
      <c r="B83" s="1" t="n">
        <v>45817</v>
      </c>
      <c r="C83" s="1" t="n">
        <v>46167</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54460-2025</t>
        </is>
      </c>
      <c r="B84" s="1" t="n">
        <v>45965.56219907408</v>
      </c>
      <c r="C84" s="1" t="n">
        <v>46167</v>
      </c>
      <c r="D84" t="inlineStr">
        <is>
          <t>STOCKHOLMS LÄN</t>
        </is>
      </c>
      <c r="E84" t="inlineStr">
        <is>
          <t>VALLENTUNA</t>
        </is>
      </c>
      <c r="G84" t="n">
        <v>22.9</v>
      </c>
      <c r="H84" t="n">
        <v>0</v>
      </c>
      <c r="I84" t="n">
        <v>0</v>
      </c>
      <c r="J84" t="n">
        <v>0</v>
      </c>
      <c r="K84" t="n">
        <v>0</v>
      </c>
      <c r="L84" t="n">
        <v>0</v>
      </c>
      <c r="M84" t="n">
        <v>0</v>
      </c>
      <c r="N84" t="n">
        <v>0</v>
      </c>
      <c r="O84" t="n">
        <v>0</v>
      </c>
      <c r="P84" t="n">
        <v>0</v>
      </c>
      <c r="Q84" t="n">
        <v>0</v>
      </c>
      <c r="R84" s="2" t="inlineStr"/>
    </row>
    <row r="85" ht="15" customHeight="1">
      <c r="A85" t="inlineStr">
        <is>
          <t>A 54466-2025</t>
        </is>
      </c>
      <c r="B85" s="1" t="n">
        <v>45965.56984953704</v>
      </c>
      <c r="C85" s="1" t="n">
        <v>46167</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14775-2024</t>
        </is>
      </c>
      <c r="B86" s="1" t="n">
        <v>45397.73675925926</v>
      </c>
      <c r="C86" s="1" t="n">
        <v>46167</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8565-2025</t>
        </is>
      </c>
      <c r="B87" s="1" t="n">
        <v>45709</v>
      </c>
      <c r="C87" s="1" t="n">
        <v>46167</v>
      </c>
      <c r="D87" t="inlineStr">
        <is>
          <t>STOCKHOLMS LÄN</t>
        </is>
      </c>
      <c r="E87" t="inlineStr">
        <is>
          <t>VALLENTUNA</t>
        </is>
      </c>
      <c r="F87" t="inlineStr">
        <is>
          <t>Kommuner</t>
        </is>
      </c>
      <c r="G87" t="n">
        <v>4.2</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46167</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46167</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46167</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46167</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46167</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46167</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9063-2024</t>
        </is>
      </c>
      <c r="B94" s="1" t="n">
        <v>45357.72652777778</v>
      </c>
      <c r="C94" s="1" t="n">
        <v>46167</v>
      </c>
      <c r="D94" t="inlineStr">
        <is>
          <t>STOCKHOLMS LÄN</t>
        </is>
      </c>
      <c r="E94" t="inlineStr">
        <is>
          <t>VALLENTUNA</t>
        </is>
      </c>
      <c r="G94" t="n">
        <v>4.1</v>
      </c>
      <c r="H94" t="n">
        <v>0</v>
      </c>
      <c r="I94" t="n">
        <v>0</v>
      </c>
      <c r="J94" t="n">
        <v>0</v>
      </c>
      <c r="K94" t="n">
        <v>0</v>
      </c>
      <c r="L94" t="n">
        <v>0</v>
      </c>
      <c r="M94" t="n">
        <v>0</v>
      </c>
      <c r="N94" t="n">
        <v>0</v>
      </c>
      <c r="O94" t="n">
        <v>0</v>
      </c>
      <c r="P94" t="n">
        <v>0</v>
      </c>
      <c r="Q94" t="n">
        <v>0</v>
      </c>
      <c r="R94" s="2" t="inlineStr"/>
    </row>
    <row r="95" ht="15" customHeight="1">
      <c r="A95" t="inlineStr">
        <is>
          <t>A 21445-2023</t>
        </is>
      </c>
      <c r="B95" s="1" t="n">
        <v>45063</v>
      </c>
      <c r="C95" s="1" t="n">
        <v>46167</v>
      </c>
      <c r="D95" t="inlineStr">
        <is>
          <t>STOCKHOLMS LÄN</t>
        </is>
      </c>
      <c r="E95" t="inlineStr">
        <is>
          <t>VALLENTUNA</t>
        </is>
      </c>
      <c r="G95" t="n">
        <v>3.1</v>
      </c>
      <c r="H95" t="n">
        <v>0</v>
      </c>
      <c r="I95" t="n">
        <v>0</v>
      </c>
      <c r="J95" t="n">
        <v>0</v>
      </c>
      <c r="K95" t="n">
        <v>0</v>
      </c>
      <c r="L95" t="n">
        <v>0</v>
      </c>
      <c r="M95" t="n">
        <v>0</v>
      </c>
      <c r="N95" t="n">
        <v>0</v>
      </c>
      <c r="O95" t="n">
        <v>0</v>
      </c>
      <c r="P95" t="n">
        <v>0</v>
      </c>
      <c r="Q95" t="n">
        <v>0</v>
      </c>
      <c r="R95" s="2" t="inlineStr"/>
    </row>
    <row r="96" ht="15" customHeight="1">
      <c r="A96" t="inlineStr">
        <is>
          <t>A 27870-2025</t>
        </is>
      </c>
      <c r="B96" s="1" t="n">
        <v>45817</v>
      </c>
      <c r="C96" s="1" t="n">
        <v>46167</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34441-2023</t>
        </is>
      </c>
      <c r="B97" s="1" t="n">
        <v>45139</v>
      </c>
      <c r="C97" s="1" t="n">
        <v>46167</v>
      </c>
      <c r="D97" t="inlineStr">
        <is>
          <t>STOCKHOLMS LÄN</t>
        </is>
      </c>
      <c r="E97" t="inlineStr">
        <is>
          <t>VALLENTUNA</t>
        </is>
      </c>
      <c r="G97" t="n">
        <v>1.6</v>
      </c>
      <c r="H97" t="n">
        <v>0</v>
      </c>
      <c r="I97" t="n">
        <v>0</v>
      </c>
      <c r="J97" t="n">
        <v>0</v>
      </c>
      <c r="K97" t="n">
        <v>0</v>
      </c>
      <c r="L97" t="n">
        <v>0</v>
      </c>
      <c r="M97" t="n">
        <v>0</v>
      </c>
      <c r="N97" t="n">
        <v>0</v>
      </c>
      <c r="O97" t="n">
        <v>0</v>
      </c>
      <c r="P97" t="n">
        <v>0</v>
      </c>
      <c r="Q97" t="n">
        <v>0</v>
      </c>
      <c r="R97" s="2" t="inlineStr"/>
    </row>
    <row r="98" ht="15" customHeight="1">
      <c r="A98" t="inlineStr">
        <is>
          <t>A 34445-2023</t>
        </is>
      </c>
      <c r="B98" s="1" t="n">
        <v>45139</v>
      </c>
      <c r="C98" s="1" t="n">
        <v>46167</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735-2024</t>
        </is>
      </c>
      <c r="B99" s="1" t="n">
        <v>45300</v>
      </c>
      <c r="C99" s="1" t="n">
        <v>46167</v>
      </c>
      <c r="D99" t="inlineStr">
        <is>
          <t>STOCKHOLMS LÄN</t>
        </is>
      </c>
      <c r="E99" t="inlineStr">
        <is>
          <t>VALLENTUNA</t>
        </is>
      </c>
      <c r="G99" t="n">
        <v>1.7</v>
      </c>
      <c r="H99" t="n">
        <v>0</v>
      </c>
      <c r="I99" t="n">
        <v>0</v>
      </c>
      <c r="J99" t="n">
        <v>0</v>
      </c>
      <c r="K99" t="n">
        <v>0</v>
      </c>
      <c r="L99" t="n">
        <v>0</v>
      </c>
      <c r="M99" t="n">
        <v>0</v>
      </c>
      <c r="N99" t="n">
        <v>0</v>
      </c>
      <c r="O99" t="n">
        <v>0</v>
      </c>
      <c r="P99" t="n">
        <v>0</v>
      </c>
      <c r="Q99" t="n">
        <v>0</v>
      </c>
      <c r="R99" s="2" t="inlineStr"/>
    </row>
    <row r="100" ht="15" customHeight="1">
      <c r="A100" t="inlineStr">
        <is>
          <t>A 12585-2023</t>
        </is>
      </c>
      <c r="B100" s="1" t="n">
        <v>45000.41373842592</v>
      </c>
      <c r="C100" s="1" t="n">
        <v>46167</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61646-2025</t>
        </is>
      </c>
      <c r="B101" s="1" t="n">
        <v>46002</v>
      </c>
      <c r="C101" s="1" t="n">
        <v>46167</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8077-2022</t>
        </is>
      </c>
      <c r="B102" s="1" t="n">
        <v>44609</v>
      </c>
      <c r="C102" s="1" t="n">
        <v>46167</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46167</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414-2026</t>
        </is>
      </c>
      <c r="B104" s="1" t="n">
        <v>46028.76050925926</v>
      </c>
      <c r="C104" s="1" t="n">
        <v>46167</v>
      </c>
      <c r="D104" t="inlineStr">
        <is>
          <t>STOCKHOLMS LÄN</t>
        </is>
      </c>
      <c r="E104" t="inlineStr">
        <is>
          <t>VALLENTUNA</t>
        </is>
      </c>
      <c r="G104" t="n">
        <v>2.6</v>
      </c>
      <c r="H104" t="n">
        <v>0</v>
      </c>
      <c r="I104" t="n">
        <v>0</v>
      </c>
      <c r="J104" t="n">
        <v>0</v>
      </c>
      <c r="K104" t="n">
        <v>0</v>
      </c>
      <c r="L104" t="n">
        <v>0</v>
      </c>
      <c r="M104" t="n">
        <v>0</v>
      </c>
      <c r="N104" t="n">
        <v>0</v>
      </c>
      <c r="O104" t="n">
        <v>0</v>
      </c>
      <c r="P104" t="n">
        <v>0</v>
      </c>
      <c r="Q104" t="n">
        <v>0</v>
      </c>
      <c r="R104" s="2" t="inlineStr"/>
    </row>
    <row r="105" ht="15" customHeight="1">
      <c r="A105" t="inlineStr">
        <is>
          <t>A 21765-2023</t>
        </is>
      </c>
      <c r="B105" s="1" t="n">
        <v>45064</v>
      </c>
      <c r="C105" s="1" t="n">
        <v>46167</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6298-2026</t>
        </is>
      </c>
      <c r="B106" s="1" t="n">
        <v>46055.5656712963</v>
      </c>
      <c r="C106" s="1" t="n">
        <v>46167</v>
      </c>
      <c r="D106" t="inlineStr">
        <is>
          <t>STOCKHOLMS LÄN</t>
        </is>
      </c>
      <c r="E106" t="inlineStr">
        <is>
          <t>VALLENTUNA</t>
        </is>
      </c>
      <c r="G106" t="n">
        <v>3.3</v>
      </c>
      <c r="H106" t="n">
        <v>0</v>
      </c>
      <c r="I106" t="n">
        <v>0</v>
      </c>
      <c r="J106" t="n">
        <v>0</v>
      </c>
      <c r="K106" t="n">
        <v>0</v>
      </c>
      <c r="L106" t="n">
        <v>0</v>
      </c>
      <c r="M106" t="n">
        <v>0</v>
      </c>
      <c r="N106" t="n">
        <v>0</v>
      </c>
      <c r="O106" t="n">
        <v>0</v>
      </c>
      <c r="P106" t="n">
        <v>0</v>
      </c>
      <c r="Q106" t="n">
        <v>0</v>
      </c>
      <c r="R106" s="2" t="inlineStr"/>
    </row>
    <row r="107" ht="15" customHeight="1">
      <c r="A107" t="inlineStr">
        <is>
          <t>A 21614-2022</t>
        </is>
      </c>
      <c r="B107" s="1" t="n">
        <v>44706</v>
      </c>
      <c r="C107" s="1" t="n">
        <v>46167</v>
      </c>
      <c r="D107" t="inlineStr">
        <is>
          <t>STOCKHOLMS LÄN</t>
        </is>
      </c>
      <c r="E107" t="inlineStr">
        <is>
          <t>VALLENTUNA</t>
        </is>
      </c>
      <c r="G107" t="n">
        <v>4</v>
      </c>
      <c r="H107" t="n">
        <v>0</v>
      </c>
      <c r="I107" t="n">
        <v>0</v>
      </c>
      <c r="J107" t="n">
        <v>0</v>
      </c>
      <c r="K107" t="n">
        <v>0</v>
      </c>
      <c r="L107" t="n">
        <v>0</v>
      </c>
      <c r="M107" t="n">
        <v>0</v>
      </c>
      <c r="N107" t="n">
        <v>0</v>
      </c>
      <c r="O107" t="n">
        <v>0</v>
      </c>
      <c r="P107" t="n">
        <v>0</v>
      </c>
      <c r="Q107" t="n">
        <v>0</v>
      </c>
      <c r="R107" s="2" t="inlineStr"/>
    </row>
    <row r="108" ht="15" customHeight="1">
      <c r="A108" t="inlineStr">
        <is>
          <t>A 23986-2023</t>
        </is>
      </c>
      <c r="B108" s="1" t="n">
        <v>45078</v>
      </c>
      <c r="C108" s="1" t="n">
        <v>46167</v>
      </c>
      <c r="D108" t="inlineStr">
        <is>
          <t>STOCKHOLMS LÄN</t>
        </is>
      </c>
      <c r="E108" t="inlineStr">
        <is>
          <t>VALLENTUNA</t>
        </is>
      </c>
      <c r="F108" t="inlineStr">
        <is>
          <t>Kyrkan</t>
        </is>
      </c>
      <c r="G108" t="n">
        <v>5.7</v>
      </c>
      <c r="H108" t="n">
        <v>0</v>
      </c>
      <c r="I108" t="n">
        <v>0</v>
      </c>
      <c r="J108" t="n">
        <v>0</v>
      </c>
      <c r="K108" t="n">
        <v>0</v>
      </c>
      <c r="L108" t="n">
        <v>0</v>
      </c>
      <c r="M108" t="n">
        <v>0</v>
      </c>
      <c r="N108" t="n">
        <v>0</v>
      </c>
      <c r="O108" t="n">
        <v>0</v>
      </c>
      <c r="P108" t="n">
        <v>0</v>
      </c>
      <c r="Q108" t="n">
        <v>0</v>
      </c>
      <c r="R108" s="2" t="inlineStr"/>
    </row>
    <row r="109" ht="15" customHeight="1">
      <c r="A109" t="inlineStr">
        <is>
          <t>A 24068-2024</t>
        </is>
      </c>
      <c r="B109" s="1" t="n">
        <v>45456</v>
      </c>
      <c r="C109" s="1" t="n">
        <v>46167</v>
      </c>
      <c r="D109" t="inlineStr">
        <is>
          <t>STOCKHOLMS LÄN</t>
        </is>
      </c>
      <c r="E109" t="inlineStr">
        <is>
          <t>VALLENTUNA</t>
        </is>
      </c>
      <c r="G109" t="n">
        <v>7.4</v>
      </c>
      <c r="H109" t="n">
        <v>0</v>
      </c>
      <c r="I109" t="n">
        <v>0</v>
      </c>
      <c r="J109" t="n">
        <v>0</v>
      </c>
      <c r="K109" t="n">
        <v>0</v>
      </c>
      <c r="L109" t="n">
        <v>0</v>
      </c>
      <c r="M109" t="n">
        <v>0</v>
      </c>
      <c r="N109" t="n">
        <v>0</v>
      </c>
      <c r="O109" t="n">
        <v>0</v>
      </c>
      <c r="P109" t="n">
        <v>0</v>
      </c>
      <c r="Q109" t="n">
        <v>0</v>
      </c>
      <c r="R109" s="2" t="inlineStr"/>
    </row>
    <row r="110" ht="15" customHeight="1">
      <c r="A110" t="inlineStr">
        <is>
          <t>A 3937-2022</t>
        </is>
      </c>
      <c r="B110" s="1" t="n">
        <v>44587</v>
      </c>
      <c r="C110" s="1" t="n">
        <v>46167</v>
      </c>
      <c r="D110" t="inlineStr">
        <is>
          <t>STOCKHOLMS LÄN</t>
        </is>
      </c>
      <c r="E110" t="inlineStr">
        <is>
          <t>VALLENTUNA</t>
        </is>
      </c>
      <c r="G110" t="n">
        <v>6.6</v>
      </c>
      <c r="H110" t="n">
        <v>0</v>
      </c>
      <c r="I110" t="n">
        <v>0</v>
      </c>
      <c r="J110" t="n">
        <v>0</v>
      </c>
      <c r="K110" t="n">
        <v>0</v>
      </c>
      <c r="L110" t="n">
        <v>0</v>
      </c>
      <c r="M110" t="n">
        <v>0</v>
      </c>
      <c r="N110" t="n">
        <v>0</v>
      </c>
      <c r="O110" t="n">
        <v>0</v>
      </c>
      <c r="P110" t="n">
        <v>0</v>
      </c>
      <c r="Q110" t="n">
        <v>0</v>
      </c>
      <c r="R110" s="2" t="inlineStr"/>
    </row>
    <row r="111" ht="15" customHeight="1">
      <c r="A111" t="inlineStr">
        <is>
          <t>A 23013-2024</t>
        </is>
      </c>
      <c r="B111" s="1" t="n">
        <v>45450.35116898148</v>
      </c>
      <c r="C111" s="1" t="n">
        <v>46167</v>
      </c>
      <c r="D111" t="inlineStr">
        <is>
          <t>STOCKHOLMS LÄN</t>
        </is>
      </c>
      <c r="E111" t="inlineStr">
        <is>
          <t>VALLENTUNA</t>
        </is>
      </c>
      <c r="G111" t="n">
        <v>0.4</v>
      </c>
      <c r="H111" t="n">
        <v>0</v>
      </c>
      <c r="I111" t="n">
        <v>0</v>
      </c>
      <c r="J111" t="n">
        <v>0</v>
      </c>
      <c r="K111" t="n">
        <v>0</v>
      </c>
      <c r="L111" t="n">
        <v>0</v>
      </c>
      <c r="M111" t="n">
        <v>0</v>
      </c>
      <c r="N111" t="n">
        <v>0</v>
      </c>
      <c r="O111" t="n">
        <v>0</v>
      </c>
      <c r="P111" t="n">
        <v>0</v>
      </c>
      <c r="Q111" t="n">
        <v>0</v>
      </c>
      <c r="R111" s="2" t="inlineStr"/>
    </row>
    <row r="112" ht="15" customHeight="1">
      <c r="A112" t="inlineStr">
        <is>
          <t>A 3078-2023</t>
        </is>
      </c>
      <c r="B112" s="1" t="n">
        <v>44946.41527777778</v>
      </c>
      <c r="C112" s="1" t="n">
        <v>46167</v>
      </c>
      <c r="D112" t="inlineStr">
        <is>
          <t>STOCKHOLMS LÄN</t>
        </is>
      </c>
      <c r="E112" t="inlineStr">
        <is>
          <t>VALLENTUNA</t>
        </is>
      </c>
      <c r="G112" t="n">
        <v>3.9</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46167</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12822-2026</t>
        </is>
      </c>
      <c r="B114" s="1" t="n">
        <v>46092.41358796296</v>
      </c>
      <c r="C114" s="1" t="n">
        <v>46167</v>
      </c>
      <c r="D114" t="inlineStr">
        <is>
          <t>STOCKHOLMS LÄN</t>
        </is>
      </c>
      <c r="E114" t="inlineStr">
        <is>
          <t>VALLENTUNA</t>
        </is>
      </c>
      <c r="G114" t="n">
        <v>2.7</v>
      </c>
      <c r="H114" t="n">
        <v>0</v>
      </c>
      <c r="I114" t="n">
        <v>0</v>
      </c>
      <c r="J114" t="n">
        <v>0</v>
      </c>
      <c r="K114" t="n">
        <v>0</v>
      </c>
      <c r="L114" t="n">
        <v>0</v>
      </c>
      <c r="M114" t="n">
        <v>0</v>
      </c>
      <c r="N114" t="n">
        <v>0</v>
      </c>
      <c r="O114" t="n">
        <v>0</v>
      </c>
      <c r="P114" t="n">
        <v>0</v>
      </c>
      <c r="Q114" t="n">
        <v>0</v>
      </c>
      <c r="R114" s="2" t="inlineStr"/>
    </row>
    <row r="115" ht="15" customHeight="1">
      <c r="A115" t="inlineStr">
        <is>
          <t>A 12819-2026</t>
        </is>
      </c>
      <c r="B115" s="1" t="n">
        <v>46092.40896990741</v>
      </c>
      <c r="C115" s="1" t="n">
        <v>46167</v>
      </c>
      <c r="D115" t="inlineStr">
        <is>
          <t>STOCKHOLMS LÄN</t>
        </is>
      </c>
      <c r="E115" t="inlineStr">
        <is>
          <t>VALLENTUNA</t>
        </is>
      </c>
      <c r="G115" t="n">
        <v>3.5</v>
      </c>
      <c r="H115" t="n">
        <v>0</v>
      </c>
      <c r="I115" t="n">
        <v>0</v>
      </c>
      <c r="J115" t="n">
        <v>0</v>
      </c>
      <c r="K115" t="n">
        <v>0</v>
      </c>
      <c r="L115" t="n">
        <v>0</v>
      </c>
      <c r="M115" t="n">
        <v>0</v>
      </c>
      <c r="N115" t="n">
        <v>0</v>
      </c>
      <c r="O115" t="n">
        <v>0</v>
      </c>
      <c r="P115" t="n">
        <v>0</v>
      </c>
      <c r="Q115" t="n">
        <v>0</v>
      </c>
      <c r="R115" s="2" t="inlineStr"/>
    </row>
    <row r="116" ht="15" customHeight="1">
      <c r="A116" t="inlineStr">
        <is>
          <t>A 19503-2023</t>
        </is>
      </c>
      <c r="B116" s="1" t="n">
        <v>45050.47333333334</v>
      </c>
      <c r="C116" s="1" t="n">
        <v>46167</v>
      </c>
      <c r="D116" t="inlineStr">
        <is>
          <t>STOCKHOLMS LÄN</t>
        </is>
      </c>
      <c r="E116" t="inlineStr">
        <is>
          <t>VALLENTUNA</t>
        </is>
      </c>
      <c r="G116" t="n">
        <v>0.7</v>
      </c>
      <c r="H116" t="n">
        <v>0</v>
      </c>
      <c r="I116" t="n">
        <v>0</v>
      </c>
      <c r="J116" t="n">
        <v>0</v>
      </c>
      <c r="K116" t="n">
        <v>0</v>
      </c>
      <c r="L116" t="n">
        <v>0</v>
      </c>
      <c r="M116" t="n">
        <v>0</v>
      </c>
      <c r="N116" t="n">
        <v>0</v>
      </c>
      <c r="O116" t="n">
        <v>0</v>
      </c>
      <c r="P116" t="n">
        <v>0</v>
      </c>
      <c r="Q116" t="n">
        <v>0</v>
      </c>
      <c r="R116" s="2" t="inlineStr"/>
    </row>
    <row r="117" ht="15" customHeight="1">
      <c r="A117" t="inlineStr">
        <is>
          <t>A 12828-2026</t>
        </is>
      </c>
      <c r="B117" s="1" t="n">
        <v>46092.41760416667</v>
      </c>
      <c r="C117" s="1" t="n">
        <v>46167</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12830-2026</t>
        </is>
      </c>
      <c r="B118" s="1" t="n">
        <v>46092.42290509259</v>
      </c>
      <c r="C118" s="1" t="n">
        <v>46167</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20914-2026</t>
        </is>
      </c>
      <c r="B119" s="1" t="n">
        <v>46142.4724074074</v>
      </c>
      <c r="C119" s="1" t="n">
        <v>46167</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46167</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46167</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46167</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20910-2026</t>
        </is>
      </c>
      <c r="B123" s="1" t="n">
        <v>46142.46608796297</v>
      </c>
      <c r="C123" s="1" t="n">
        <v>46167</v>
      </c>
      <c r="D123" t="inlineStr">
        <is>
          <t>STOCKHOLMS LÄN</t>
        </is>
      </c>
      <c r="E123" t="inlineStr">
        <is>
          <t>VALLENTUNA</t>
        </is>
      </c>
      <c r="G123" t="n">
        <v>1.8</v>
      </c>
      <c r="H123" t="n">
        <v>0</v>
      </c>
      <c r="I123" t="n">
        <v>0</v>
      </c>
      <c r="J123" t="n">
        <v>0</v>
      </c>
      <c r="K123" t="n">
        <v>0</v>
      </c>
      <c r="L123" t="n">
        <v>0</v>
      </c>
      <c r="M123" t="n">
        <v>0</v>
      </c>
      <c r="N123" t="n">
        <v>0</v>
      </c>
      <c r="O123" t="n">
        <v>0</v>
      </c>
      <c r="P123" t="n">
        <v>0</v>
      </c>
      <c r="Q123" t="n">
        <v>0</v>
      </c>
      <c r="R123" s="2" t="inlineStr"/>
    </row>
    <row r="124" ht="15" customHeight="1">
      <c r="A124" t="inlineStr">
        <is>
          <t>A 12234-2022</t>
        </is>
      </c>
      <c r="B124" s="1" t="n">
        <v>44637</v>
      </c>
      <c r="C124" s="1" t="n">
        <v>46167</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14799-2026</t>
        </is>
      </c>
      <c r="B125" s="1" t="n">
        <v>46102.82101851852</v>
      </c>
      <c r="C125" s="1" t="n">
        <v>46167</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24943-2024</t>
        </is>
      </c>
      <c r="B126" s="1" t="n">
        <v>45461.62585648148</v>
      </c>
      <c r="C126" s="1" t="n">
        <v>46167</v>
      </c>
      <c r="D126" t="inlineStr">
        <is>
          <t>STOCKHOLMS LÄN</t>
        </is>
      </c>
      <c r="E126" t="inlineStr">
        <is>
          <t>VALLENTUNA</t>
        </is>
      </c>
      <c r="G126" t="n">
        <v>2</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46167</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46167</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46167</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46167</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7264-2022</t>
        </is>
      </c>
      <c r="B131" s="1" t="n">
        <v>44606</v>
      </c>
      <c r="C131" s="1" t="n">
        <v>46167</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19356-2025</t>
        </is>
      </c>
      <c r="B132" s="1" t="n">
        <v>45769.62061342593</v>
      </c>
      <c r="C132" s="1" t="n">
        <v>46167</v>
      </c>
      <c r="D132" t="inlineStr">
        <is>
          <t>STOCKHOLMS LÄN</t>
        </is>
      </c>
      <c r="E132" t="inlineStr">
        <is>
          <t>VALLENTUNA</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46167</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14489-2024</t>
        </is>
      </c>
      <c r="B134" s="1" t="n">
        <v>45394.58053240741</v>
      </c>
      <c r="C134" s="1" t="n">
        <v>46167</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45019.41045138889</v>
      </c>
      <c r="C135" s="1" t="n">
        <v>46167</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61442-2024</t>
        </is>
      </c>
      <c r="B136" s="1" t="n">
        <v>45646.47003472222</v>
      </c>
      <c r="C136" s="1" t="n">
        <v>46167</v>
      </c>
      <c r="D136" t="inlineStr">
        <is>
          <t>STOCKHOLMS LÄN</t>
        </is>
      </c>
      <c r="E136" t="inlineStr">
        <is>
          <t>VALLENTUNA</t>
        </is>
      </c>
      <c r="G136" t="n">
        <v>4.6</v>
      </c>
      <c r="H136" t="n">
        <v>0</v>
      </c>
      <c r="I136" t="n">
        <v>0</v>
      </c>
      <c r="J136" t="n">
        <v>0</v>
      </c>
      <c r="K136" t="n">
        <v>0</v>
      </c>
      <c r="L136" t="n">
        <v>0</v>
      </c>
      <c r="M136" t="n">
        <v>0</v>
      </c>
      <c r="N136" t="n">
        <v>0</v>
      </c>
      <c r="O136" t="n">
        <v>0</v>
      </c>
      <c r="P136" t="n">
        <v>0</v>
      </c>
      <c r="Q136" t="n">
        <v>0</v>
      </c>
      <c r="R136" s="2" t="inlineStr"/>
    </row>
    <row r="137" ht="15" customHeight="1">
      <c r="A137" t="inlineStr">
        <is>
          <t>A 48068-2021</t>
        </is>
      </c>
      <c r="B137" s="1" t="n">
        <v>44449.42270833333</v>
      </c>
      <c r="C137" s="1" t="n">
        <v>46167</v>
      </c>
      <c r="D137" t="inlineStr">
        <is>
          <t>STOCKHOLMS LÄN</t>
        </is>
      </c>
      <c r="E137" t="inlineStr">
        <is>
          <t>VALLENTUNA</t>
        </is>
      </c>
      <c r="G137" t="n">
        <v>1.3</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46167</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46167</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20791-2025</t>
        </is>
      </c>
      <c r="B140" s="1" t="n">
        <v>45776.62738425926</v>
      </c>
      <c r="C140" s="1" t="n">
        <v>46167</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10073-2024</t>
        </is>
      </c>
      <c r="B141" s="1" t="n">
        <v>45364.40821759259</v>
      </c>
      <c r="C141" s="1" t="n">
        <v>46167</v>
      </c>
      <c r="D141" t="inlineStr">
        <is>
          <t>STOCKHOLMS LÄN</t>
        </is>
      </c>
      <c r="E141" t="inlineStr">
        <is>
          <t>VALLENTUNA</t>
        </is>
      </c>
      <c r="G141" t="n">
        <v>1.1</v>
      </c>
      <c r="H141" t="n">
        <v>0</v>
      </c>
      <c r="I141" t="n">
        <v>0</v>
      </c>
      <c r="J141" t="n">
        <v>0</v>
      </c>
      <c r="K141" t="n">
        <v>0</v>
      </c>
      <c r="L141" t="n">
        <v>0</v>
      </c>
      <c r="M141" t="n">
        <v>0</v>
      </c>
      <c r="N141" t="n">
        <v>0</v>
      </c>
      <c r="O141" t="n">
        <v>0</v>
      </c>
      <c r="P141" t="n">
        <v>0</v>
      </c>
      <c r="Q141" t="n">
        <v>0</v>
      </c>
      <c r="R141" s="2" t="inlineStr"/>
    </row>
    <row r="142" ht="15" customHeight="1">
      <c r="A142" t="inlineStr">
        <is>
          <t>A 12621-2024</t>
        </is>
      </c>
      <c r="B142" s="1" t="n">
        <v>45383.6325</v>
      </c>
      <c r="C142" s="1" t="n">
        <v>46167</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row r="143" ht="15" customHeight="1">
      <c r="A143" t="inlineStr">
        <is>
          <t>A 46381-2023</t>
        </is>
      </c>
      <c r="B143" s="1" t="n">
        <v>45193</v>
      </c>
      <c r="C143" s="1" t="n">
        <v>46167</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row r="144" ht="15" customHeight="1">
      <c r="A144" t="inlineStr">
        <is>
          <t>A 23009-2024</t>
        </is>
      </c>
      <c r="B144" s="1" t="n">
        <v>45450.34506944445</v>
      </c>
      <c r="C144" s="1" t="n">
        <v>46167</v>
      </c>
      <c r="D144" t="inlineStr">
        <is>
          <t>STOCKHOLMS LÄN</t>
        </is>
      </c>
      <c r="E144" t="inlineStr">
        <is>
          <t>VALLENTUNA</t>
        </is>
      </c>
      <c r="G144" t="n">
        <v>1.4</v>
      </c>
      <c r="H144" t="n">
        <v>0</v>
      </c>
      <c r="I144" t="n">
        <v>0</v>
      </c>
      <c r="J144" t="n">
        <v>0</v>
      </c>
      <c r="K144" t="n">
        <v>0</v>
      </c>
      <c r="L144" t="n">
        <v>0</v>
      </c>
      <c r="M144" t="n">
        <v>0</v>
      </c>
      <c r="N144" t="n">
        <v>0</v>
      </c>
      <c r="O144" t="n">
        <v>0</v>
      </c>
      <c r="P144" t="n">
        <v>0</v>
      </c>
      <c r="Q144" t="n">
        <v>0</v>
      </c>
      <c r="R144" s="2" t="inlineStr"/>
    </row>
    <row r="145" ht="15" customHeight="1">
      <c r="A145" t="inlineStr">
        <is>
          <t>A 61027-2023</t>
        </is>
      </c>
      <c r="B145" s="1" t="n">
        <v>45261</v>
      </c>
      <c r="C145" s="1" t="n">
        <v>46167</v>
      </c>
      <c r="D145" t="inlineStr">
        <is>
          <t>STOCKHOLMS LÄN</t>
        </is>
      </c>
      <c r="E145" t="inlineStr">
        <is>
          <t>VALLENTUNA</t>
        </is>
      </c>
      <c r="G145" t="n">
        <v>7.1</v>
      </c>
      <c r="H145" t="n">
        <v>0</v>
      </c>
      <c r="I145" t="n">
        <v>0</v>
      </c>
      <c r="J145" t="n">
        <v>0</v>
      </c>
      <c r="K145" t="n">
        <v>0</v>
      </c>
      <c r="L145" t="n">
        <v>0</v>
      </c>
      <c r="M145" t="n">
        <v>0</v>
      </c>
      <c r="N145" t="n">
        <v>0</v>
      </c>
      <c r="O145" t="n">
        <v>0</v>
      </c>
      <c r="P145" t="n">
        <v>0</v>
      </c>
      <c r="Q145" t="n">
        <v>0</v>
      </c>
      <c r="R145" s="2" t="inlineStr"/>
    </row>
    <row r="146" ht="15" customHeight="1">
      <c r="A146" t="inlineStr">
        <is>
          <t>A 23923-2025</t>
        </is>
      </c>
      <c r="B146" s="1" t="n">
        <v>45795.39648148148</v>
      </c>
      <c r="C146" s="1" t="n">
        <v>46167</v>
      </c>
      <c r="D146" t="inlineStr">
        <is>
          <t>STOCKHOLMS LÄN</t>
        </is>
      </c>
      <c r="E146" t="inlineStr">
        <is>
          <t>VALLENTUNA</t>
        </is>
      </c>
      <c r="G146" t="n">
        <v>2.3</v>
      </c>
      <c r="H146" t="n">
        <v>0</v>
      </c>
      <c r="I146" t="n">
        <v>0</v>
      </c>
      <c r="J146" t="n">
        <v>0</v>
      </c>
      <c r="K146" t="n">
        <v>0</v>
      </c>
      <c r="L146" t="n">
        <v>0</v>
      </c>
      <c r="M146" t="n">
        <v>0</v>
      </c>
      <c r="N146" t="n">
        <v>0</v>
      </c>
      <c r="O146" t="n">
        <v>0</v>
      </c>
      <c r="P146" t="n">
        <v>0</v>
      </c>
      <c r="Q146" t="n">
        <v>0</v>
      </c>
      <c r="R146" s="2" t="inlineStr"/>
    </row>
    <row r="147" ht="15" customHeight="1">
      <c r="A147" t="inlineStr">
        <is>
          <t>A 25984-2025</t>
        </is>
      </c>
      <c r="B147" s="1" t="n">
        <v>45804.64016203704</v>
      </c>
      <c r="C147" s="1" t="n">
        <v>46167</v>
      </c>
      <c r="D147" t="inlineStr">
        <is>
          <t>STOCKHOLMS LÄN</t>
        </is>
      </c>
      <c r="E147" t="inlineStr">
        <is>
          <t>VALLENTUNA</t>
        </is>
      </c>
      <c r="G147" t="n">
        <v>2.5</v>
      </c>
      <c r="H147" t="n">
        <v>0</v>
      </c>
      <c r="I147" t="n">
        <v>0</v>
      </c>
      <c r="J147" t="n">
        <v>0</v>
      </c>
      <c r="K147" t="n">
        <v>0</v>
      </c>
      <c r="L147" t="n">
        <v>0</v>
      </c>
      <c r="M147" t="n">
        <v>0</v>
      </c>
      <c r="N147" t="n">
        <v>0</v>
      </c>
      <c r="O147" t="n">
        <v>0</v>
      </c>
      <c r="P147" t="n">
        <v>0</v>
      </c>
      <c r="Q147" t="n">
        <v>0</v>
      </c>
      <c r="R147" s="2" t="inlineStr"/>
    </row>
    <row r="148" ht="15" customHeight="1">
      <c r="A148" t="inlineStr">
        <is>
          <t>A 30902-2025</t>
        </is>
      </c>
      <c r="B148" s="1" t="n">
        <v>45832.36104166666</v>
      </c>
      <c r="C148" s="1" t="n">
        <v>46167</v>
      </c>
      <c r="D148" t="inlineStr">
        <is>
          <t>STOCKHOLMS LÄN</t>
        </is>
      </c>
      <c r="E148" t="inlineStr">
        <is>
          <t>VALLENTUNA</t>
        </is>
      </c>
      <c r="G148" t="n">
        <v>8.199999999999999</v>
      </c>
      <c r="H148" t="n">
        <v>0</v>
      </c>
      <c r="I148" t="n">
        <v>0</v>
      </c>
      <c r="J148" t="n">
        <v>0</v>
      </c>
      <c r="K148" t="n">
        <v>0</v>
      </c>
      <c r="L148" t="n">
        <v>0</v>
      </c>
      <c r="M148" t="n">
        <v>0</v>
      </c>
      <c r="N148" t="n">
        <v>0</v>
      </c>
      <c r="O148" t="n">
        <v>0</v>
      </c>
      <c r="P148" t="n">
        <v>0</v>
      </c>
      <c r="Q148" t="n">
        <v>0</v>
      </c>
      <c r="R148" s="2" t="inlineStr"/>
    </row>
    <row r="149">
      <c r="A149" t="inlineStr">
        <is>
          <t>A 28431-2025</t>
        </is>
      </c>
      <c r="B149" s="1" t="n">
        <v>45819.38072916667</v>
      </c>
      <c r="C149" s="1" t="n">
        <v>46167</v>
      </c>
      <c r="D149" t="inlineStr">
        <is>
          <t>STOCKHOLMS LÄN</t>
        </is>
      </c>
      <c r="E149" t="inlineStr">
        <is>
          <t>VALLENTUNA</t>
        </is>
      </c>
      <c r="G149" t="n">
        <v>1.5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2026-05-25T10:54:23Z</dcterms:created>
  <dcterms:modified xmlns:dcterms="http://purl.org/dc/terms/" xmlns:xsi="http://www.w3.org/2001/XMLSchema-instance" xsi:type="dcterms:W3CDTF">2026-05-25T10:54:23Z</dcterms:modified>
</cp:coreProperties>
</file>