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46272</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46272</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46272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46272</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46272</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46272</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46272</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46272</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48717-2024</t>
        </is>
      </c>
      <c r="B17" t="inlineStr">
        <is>
          <t>avverkningsanmälan</t>
        </is>
      </c>
      <c r="C17" t="inlineStr">
        <is>
          <t>Föryngringsavverkning</t>
        </is>
      </c>
      <c r="D17" s="1" t="n">
        <v>45593</v>
      </c>
      <c r="E17" s="1" t="n">
        <v>46272</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46272</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46272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46272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46272</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46272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46272</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46272</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46272</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46272</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46272</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54460-2025</t>
        </is>
      </c>
      <c r="B29" t="inlineStr">
        <is>
          <t>avverkningsanmälan</t>
        </is>
      </c>
      <c r="C29" t="inlineStr">
        <is>
          <t>Föryngringsavverkning</t>
        </is>
      </c>
      <c r="D29" s="1" t="n">
        <v>45965</v>
      </c>
      <c r="E29" s="1" t="n">
        <v>46272</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46272</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22830-2024</t>
        </is>
      </c>
      <c r="B31" t="inlineStr">
        <is>
          <t>avverkningsanmälan</t>
        </is>
      </c>
      <c r="C31" t="inlineStr">
        <is>
          <t>Föryngringsavverkning</t>
        </is>
      </c>
      <c r="D31" s="1" t="n">
        <v>45448</v>
      </c>
      <c r="E31" s="1" t="n">
        <v>46272</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12401-2026</t>
        </is>
      </c>
      <c r="B32" t="inlineStr">
        <is>
          <t>avverkningsanmälan</t>
        </is>
      </c>
      <c r="C32" t="inlineStr">
        <is>
          <t>Föryngringsavverkning</t>
        </is>
      </c>
      <c r="D32" s="1" t="n">
        <v>46090</v>
      </c>
      <c r="E32" s="1" t="n">
        <v>46272</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12396-2026</t>
        </is>
      </c>
      <c r="B33" t="inlineStr">
        <is>
          <t>avverkningsanmälan</t>
        </is>
      </c>
      <c r="C33" t="inlineStr">
        <is>
          <t>Föryngringsavverkning</t>
        </is>
      </c>
      <c r="D33" s="1" t="n">
        <v>46090</v>
      </c>
      <c r="E33" s="1" t="n">
        <v>46272</v>
      </c>
      <c r="F33" t="inlineStr">
        <is>
          <t>STOCKHOLMS LÄN</t>
        </is>
      </c>
      <c r="G33" t="inlineStr">
        <is>
          <t>VALLENTUNA</t>
        </is>
      </c>
      <c r="I33" t="n">
        <v>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HYPERLINK("https://klasma.github.io/Logging_0115/artfynd/A 12396-2026 artfynd.xlsx", "A 12396-2026")</f>
        <v/>
      </c>
      <c r="X33">
        <f>HYPERLINK("https://klasma.github.io/Logging_0115/kartor/A 12396-2026 karta.png", "A 12396-2026")</f>
        <v/>
      </c>
      <c r="Y33">
        <f>HYPERLINK("https://klasma.github.io/Logging_0115/kartor_geotiff/A 12396-2026 georefererad karta.tif", "A 12396-2026")</f>
        <v/>
      </c>
      <c r="AA33">
        <f>HYPERLINK("https://klasma.github.io/Logging_0115/klagomål/A 12396-2026 FSC-klagomål.docx", "A 12396-2026")</f>
        <v/>
      </c>
      <c r="AB33">
        <f>HYPERLINK("https://klasma.github.io/Logging_0115/klagomålsmail/A 12396-2026 FSC-klagomål mail.docx", "A 12396-2026")</f>
        <v/>
      </c>
      <c r="AC33">
        <f>HYPERLINK("https://klasma.github.io/Logging_0115/tillsyn/A 12396-2026 tillsynsbegäran.docx", "A 12396-2026")</f>
        <v/>
      </c>
      <c r="AD33">
        <f>HYPERLINK("https://klasma.github.io/Logging_0115/tillsynsmail/A 12396-2026 tillsynsbegäran mail.docx", "A 12396-2026")</f>
        <v/>
      </c>
      <c r="AE33">
        <f>HYPERLINK("https://klasma.github.io/Logging_0115/fåglar/A 12396-2026 prioriterade fågelarter.docx", "A 12396-2026")</f>
        <v/>
      </c>
    </row>
    <row r="34" ht="15" customHeight="1">
      <c r="A34" t="inlineStr">
        <is>
          <t>A 17348-2025</t>
        </is>
      </c>
      <c r="B34" t="inlineStr">
        <is>
          <t>avverkningsanmälan</t>
        </is>
      </c>
      <c r="C34" t="inlineStr">
        <is>
          <t>Föryngringsavverkning</t>
        </is>
      </c>
      <c r="D34" s="1" t="n">
        <v>45756</v>
      </c>
      <c r="E34" s="1" t="n">
        <v>46272</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46272</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46272</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46272</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46272</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46272</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46272</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46272</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46272</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46272</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46272</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46272</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46272</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46272</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46272</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46272</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46272</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46272</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46272</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46272</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46272</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414-2026</t>
        </is>
      </c>
      <c r="B55" t="inlineStr">
        <is>
          <t>avverkningsanmälan</t>
        </is>
      </c>
      <c r="C55" t="inlineStr">
        <is>
          <t>Föryngringsavverkning</t>
        </is>
      </c>
      <c r="D55" s="1" t="n">
        <v>46028</v>
      </c>
      <c r="E55" s="1" t="n">
        <v>46272</v>
      </c>
      <c r="F55" t="inlineStr">
        <is>
          <t>STOCKHOLMS LÄN</t>
        </is>
      </c>
      <c r="G55" t="inlineStr">
        <is>
          <t>VALLENTUNA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46272</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46272</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46272</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17340-2025</t>
        </is>
      </c>
      <c r="B59" t="inlineStr">
        <is>
          <t>avverkningsanmälan</t>
        </is>
      </c>
      <c r="C59" t="inlineStr">
        <is>
          <t>Föryngringsavverkning</t>
        </is>
      </c>
      <c r="D59" s="1" t="n">
        <v>45756</v>
      </c>
      <c r="E59" s="1" t="n">
        <v>46272</v>
      </c>
      <c r="F59" t="inlineStr">
        <is>
          <t>STOCKHOLMS LÄN</t>
        </is>
      </c>
      <c r="G59" t="inlineStr">
        <is>
          <t>VALLENTUNA</t>
        </is>
      </c>
      <c r="H59" t="inlineStr">
        <is>
          <t>Övriga Aktiebolag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45496-2023</t>
        </is>
      </c>
      <c r="B60" t="inlineStr">
        <is>
          <t>avverkningsanmälan</t>
        </is>
      </c>
      <c r="C60" t="inlineStr">
        <is>
          <t>Föryngringsavverkning</t>
        </is>
      </c>
      <c r="D60" s="1" t="n">
        <v>45194</v>
      </c>
      <c r="E60" s="1" t="n">
        <v>46272</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29704-2023</t>
        </is>
      </c>
      <c r="B61" t="inlineStr">
        <is>
          <t>avverkningsanmälan</t>
        </is>
      </c>
      <c r="C61" t="inlineStr">
        <is>
          <t>Föryngringsavverkning</t>
        </is>
      </c>
      <c r="D61" s="1" t="n">
        <v>45107</v>
      </c>
      <c r="E61" s="1" t="n">
        <v>46272</v>
      </c>
      <c r="F61" t="inlineStr">
        <is>
          <t>STOCKHOLMS LÄN</t>
        </is>
      </c>
      <c r="G61" t="inlineStr">
        <is>
          <t>VALLENTUNA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46272</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46272</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46272</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46272</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46272</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6298-2026</t>
        </is>
      </c>
      <c r="B67" t="inlineStr">
        <is>
          <t>avverkningsanmälan</t>
        </is>
      </c>
      <c r="C67" t="inlineStr">
        <is>
          <t>Föryngringsavverkning</t>
        </is>
      </c>
      <c r="D67" s="1" t="n">
        <v>46055</v>
      </c>
      <c r="E67" s="1" t="n">
        <v>46272</v>
      </c>
      <c r="F67" t="inlineStr">
        <is>
          <t>STOCKHOLMS LÄN</t>
        </is>
      </c>
      <c r="G67" t="inlineStr">
        <is>
          <t>VALLENTUNA</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24707-2023</t>
        </is>
      </c>
      <c r="B68" t="inlineStr">
        <is>
          <t>avverkningsanmälan</t>
        </is>
      </c>
      <c r="C68" t="inlineStr">
        <is>
          <t>Föryngringsavverkning</t>
        </is>
      </c>
      <c r="D68" s="1" t="n">
        <v>45084</v>
      </c>
      <c r="E68" s="1" t="n">
        <v>46272</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46272</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60795-2023</t>
        </is>
      </c>
      <c r="B70" t="inlineStr">
        <is>
          <t>avverkningsanmälan</t>
        </is>
      </c>
      <c r="C70" t="inlineStr">
        <is>
          <t>Avverkning för annat ändamål</t>
        </is>
      </c>
      <c r="D70" s="1" t="n">
        <v>45260</v>
      </c>
      <c r="E70" s="1" t="n">
        <v>46272</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61646-2025</t>
        </is>
      </c>
      <c r="B71" t="inlineStr">
        <is>
          <t>avverkningsanmälan</t>
        </is>
      </c>
      <c r="C71" t="inlineStr">
        <is>
          <t>Föryngringsavverkning</t>
        </is>
      </c>
      <c r="D71" s="1" t="n">
        <v>46002</v>
      </c>
      <c r="E71" s="1" t="n">
        <v>46272</v>
      </c>
      <c r="F71" t="inlineStr">
        <is>
          <t>STOCKHOLMS LÄN</t>
        </is>
      </c>
      <c r="G71" t="inlineStr">
        <is>
          <t>VALLENTUNA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14775-2024</t>
        </is>
      </c>
      <c r="B72" t="inlineStr">
        <is>
          <t>avverkningsanmälan</t>
        </is>
      </c>
      <c r="C72" t="inlineStr">
        <is>
          <t>Föryngringsavverkning</t>
        </is>
      </c>
      <c r="D72" s="1" t="n">
        <v>45397</v>
      </c>
      <c r="E72" s="1" t="n">
        <v>46272</v>
      </c>
      <c r="F72" t="inlineStr">
        <is>
          <t>STOCKHOLMS LÄN</t>
        </is>
      </c>
      <c r="G72" t="inlineStr">
        <is>
          <t>VALLENTUNA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12400-2026</t>
        </is>
      </c>
      <c r="B73" t="inlineStr">
        <is>
          <t>avverkningsanmälan</t>
        </is>
      </c>
      <c r="C73" t="inlineStr">
        <is>
          <t>Föryngringsavverkning</t>
        </is>
      </c>
      <c r="D73" s="1" t="n">
        <v>46090</v>
      </c>
      <c r="E73" s="1" t="n">
        <v>46272</v>
      </c>
      <c r="F73" t="inlineStr">
        <is>
          <t>STOCKHOLMS LÄN</t>
        </is>
      </c>
      <c r="G73" t="inlineStr">
        <is>
          <t>VALLENTUNA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46272</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14782-2024</t>
        </is>
      </c>
      <c r="B75" t="inlineStr">
        <is>
          <t>avverkningsanmälan</t>
        </is>
      </c>
      <c r="C75" t="inlineStr">
        <is>
          <t>Avverkning för att bevara och utveckla /försöksver</t>
        </is>
      </c>
      <c r="D75" s="1" t="n">
        <v>45397</v>
      </c>
      <c r="E75" s="1" t="n">
        <v>46272</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52562-2023</t>
        </is>
      </c>
      <c r="B76" t="inlineStr">
        <is>
          <t>avverkningsanmälan</t>
        </is>
      </c>
      <c r="C76" t="inlineStr">
        <is>
          <t>Föryngringsavverkning</t>
        </is>
      </c>
      <c r="D76" s="1" t="n">
        <v>45225</v>
      </c>
      <c r="E76" s="1" t="n">
        <v>46272</v>
      </c>
      <c r="F76" t="inlineStr">
        <is>
          <t>STOCKHOLMS LÄN</t>
        </is>
      </c>
      <c r="G76" t="inlineStr">
        <is>
          <t>VALLENTUNA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49530-2023</t>
        </is>
      </c>
      <c r="B77" t="inlineStr">
        <is>
          <t>avverkningsanmälan</t>
        </is>
      </c>
      <c r="C77" t="inlineStr">
        <is>
          <t>Föryngringsavverkning</t>
        </is>
      </c>
      <c r="D77" s="1" t="n">
        <v>45205</v>
      </c>
      <c r="E77" s="1" t="n">
        <v>46272</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52542-2023</t>
        </is>
      </c>
      <c r="B78" t="inlineStr">
        <is>
          <t>avverkningsanmälan</t>
        </is>
      </c>
      <c r="C78" t="inlineStr">
        <is>
          <t>Föryngringsavverkning</t>
        </is>
      </c>
      <c r="D78" s="1" t="n">
        <v>45225</v>
      </c>
      <c r="E78" s="1" t="n">
        <v>46272</v>
      </c>
      <c r="F78" t="inlineStr">
        <is>
          <t>STOCKHOLMS LÄN</t>
        </is>
      </c>
      <c r="G78" t="inlineStr">
        <is>
          <t>VALLENTUNA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2318-2024</t>
        </is>
      </c>
      <c r="B79" t="inlineStr">
        <is>
          <t>avverkningsanmälan</t>
        </is>
      </c>
      <c r="C79" t="inlineStr">
        <is>
          <t>Föryngringsavverkning</t>
        </is>
      </c>
      <c r="D79" s="1" t="n">
        <v>45310</v>
      </c>
      <c r="E79" s="1" t="n">
        <v>46272</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21445-2023</t>
        </is>
      </c>
      <c r="B80" t="inlineStr">
        <is>
          <t>avverkningsanmälan</t>
        </is>
      </c>
      <c r="C80" t="inlineStr">
        <is>
          <t>Föryngringsavverkning</t>
        </is>
      </c>
      <c r="D80" s="1" t="n">
        <v>45063</v>
      </c>
      <c r="E80" s="1" t="n">
        <v>46272</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14799-2026</t>
        </is>
      </c>
      <c r="B81" t="inlineStr">
        <is>
          <t>avverkningsanmälan</t>
        </is>
      </c>
      <c r="C81" t="inlineStr">
        <is>
          <t>Föryngringsavverkning</t>
        </is>
      </c>
      <c r="D81" s="1" t="n">
        <v>46102</v>
      </c>
      <c r="E81" s="1" t="n">
        <v>46272</v>
      </c>
      <c r="F81" t="inlineStr">
        <is>
          <t>STOCKHOLMS LÄN</t>
        </is>
      </c>
      <c r="G81" t="inlineStr">
        <is>
          <t>VALLENTUNA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34441-2023</t>
        </is>
      </c>
      <c r="B82" t="inlineStr">
        <is>
          <t>avverkningsanmälan</t>
        </is>
      </c>
      <c r="C82" t="inlineStr">
        <is>
          <t>Föryngringsavverkning</t>
        </is>
      </c>
      <c r="D82" s="1" t="n">
        <v>45139</v>
      </c>
      <c r="E82" s="1" t="n">
        <v>46272</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34445-2023</t>
        </is>
      </c>
      <c r="B83" t="inlineStr">
        <is>
          <t>avverkningsanmälan</t>
        </is>
      </c>
      <c r="C83" t="inlineStr">
        <is>
          <t>Föryngringsavverkning</t>
        </is>
      </c>
      <c r="D83" s="1" t="n">
        <v>45139</v>
      </c>
      <c r="E83" s="1" t="n">
        <v>46272</v>
      </c>
      <c r="F83" t="inlineStr">
        <is>
          <t>STOCKHOLMS LÄN</t>
        </is>
      </c>
      <c r="G83" t="inlineStr">
        <is>
          <t>VALLENTUNA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12585-2023</t>
        </is>
      </c>
      <c r="B84" t="inlineStr">
        <is>
          <t>avverkningsanmälan</t>
        </is>
      </c>
      <c r="C84" t="inlineStr">
        <is>
          <t>Föryngringsavverkning</t>
        </is>
      </c>
      <c r="D84" s="1" t="n">
        <v>45000</v>
      </c>
      <c r="E84" s="1" t="n">
        <v>46272</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8077-2022</t>
        </is>
      </c>
      <c r="B85" t="inlineStr">
        <is>
          <t>avverkningsanmälan</t>
        </is>
      </c>
      <c r="C85" t="inlineStr">
        <is>
          <t>Föryngringsavverkning</t>
        </is>
      </c>
      <c r="D85" s="1" t="n">
        <v>44609</v>
      </c>
      <c r="E85" s="1" t="n">
        <v>46272</v>
      </c>
      <c r="F85" t="inlineStr">
        <is>
          <t>STOCKHOLMS LÄN</t>
        </is>
      </c>
      <c r="G85" t="inlineStr">
        <is>
          <t>VALLENTUNA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47140-2024</t>
        </is>
      </c>
      <c r="B86" t="inlineStr">
        <is>
          <t>avverkningsanmälan</t>
        </is>
      </c>
      <c r="C86" t="inlineStr">
        <is>
          <t>Föryngringsavverkning</t>
        </is>
      </c>
      <c r="D86" s="1" t="n">
        <v>45586</v>
      </c>
      <c r="E86" s="1" t="n">
        <v>46272</v>
      </c>
      <c r="F86" t="inlineStr">
        <is>
          <t>STOCKHOLMS LÄN</t>
        </is>
      </c>
      <c r="G86" t="inlineStr">
        <is>
          <t>VALLENTUNA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4804-2024</t>
        </is>
      </c>
      <c r="B87" t="inlineStr">
        <is>
          <t>avverkningsanmälan</t>
        </is>
      </c>
      <c r="C87" t="inlineStr">
        <is>
          <t>Avverkning för annat ändamål</t>
        </is>
      </c>
      <c r="D87" s="1" t="n">
        <v>45328</v>
      </c>
      <c r="E87" s="1" t="n">
        <v>46272</v>
      </c>
      <c r="F87" t="inlineStr">
        <is>
          <t>STOCKHOLMS LÄN</t>
        </is>
      </c>
      <c r="G87" t="inlineStr">
        <is>
          <t>VALLENTUNA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21765-2023</t>
        </is>
      </c>
      <c r="B88" t="inlineStr">
        <is>
          <t>avverkningsanmälan</t>
        </is>
      </c>
      <c r="C88" t="inlineStr">
        <is>
          <t>Föryngringsavverkning</t>
        </is>
      </c>
      <c r="D88" s="1" t="n">
        <v>45064</v>
      </c>
      <c r="E88" s="1" t="n">
        <v>46272</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46272</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23986-2023</t>
        </is>
      </c>
      <c r="B90" t="inlineStr">
        <is>
          <t>avverkningsanmälan</t>
        </is>
      </c>
      <c r="C90" t="inlineStr">
        <is>
          <t>Föryngringsavverkning</t>
        </is>
      </c>
      <c r="D90" s="1" t="n">
        <v>45078</v>
      </c>
      <c r="E90" s="1" t="n">
        <v>46272</v>
      </c>
      <c r="F90" t="inlineStr">
        <is>
          <t>STOCKHOLMS LÄN</t>
        </is>
      </c>
      <c r="G90" t="inlineStr">
        <is>
          <t>VALLENTUNA</t>
        </is>
      </c>
      <c r="H90" t="inlineStr">
        <is>
          <t>Kyrkan</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3937-2022</t>
        </is>
      </c>
      <c r="B91" t="inlineStr">
        <is>
          <t>avverkningsanmälan</t>
        </is>
      </c>
      <c r="C91" t="inlineStr">
        <is>
          <t>Föryngringsavverkning</t>
        </is>
      </c>
      <c r="D91" s="1" t="n">
        <v>44587</v>
      </c>
      <c r="E91" s="1" t="n">
        <v>46272</v>
      </c>
      <c r="F91" t="inlineStr">
        <is>
          <t>STOCKHOLMS LÄN</t>
        </is>
      </c>
      <c r="G91" t="inlineStr">
        <is>
          <t>VALLENTUNA</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23013-2024</t>
        </is>
      </c>
      <c r="B92" t="inlineStr">
        <is>
          <t>avverkningsanmälan</t>
        </is>
      </c>
      <c r="C92" t="inlineStr">
        <is>
          <t>Föryngringsavverkning</t>
        </is>
      </c>
      <c r="D92" s="1" t="n">
        <v>45450</v>
      </c>
      <c r="E92" s="1" t="n">
        <v>46272</v>
      </c>
      <c r="F92" t="inlineStr">
        <is>
          <t>STOCKHOLMS LÄN</t>
        </is>
      </c>
      <c r="G92" t="inlineStr">
        <is>
          <t>VALLENTUNA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3078-2023</t>
        </is>
      </c>
      <c r="B93" t="inlineStr">
        <is>
          <t>avverkningsanmälan</t>
        </is>
      </c>
      <c r="C93" t="inlineStr">
        <is>
          <t>Föryngringsavverkning</t>
        </is>
      </c>
      <c r="D93" s="1" t="n">
        <v>44946</v>
      </c>
      <c r="E93" s="1" t="n">
        <v>46272</v>
      </c>
      <c r="F93" t="inlineStr">
        <is>
          <t>STOCKHOLMS LÄN</t>
        </is>
      </c>
      <c r="G93" t="inlineStr">
        <is>
          <t>VALLENTUNA</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19503-2023</t>
        </is>
      </c>
      <c r="B94" t="inlineStr">
        <is>
          <t>avverkningsanmälan</t>
        </is>
      </c>
      <c r="C94" t="inlineStr">
        <is>
          <t>Föryngringsavverkning</t>
        </is>
      </c>
      <c r="D94" s="1" t="n">
        <v>45050</v>
      </c>
      <c r="E94" s="1" t="n">
        <v>46272</v>
      </c>
      <c r="F94" t="inlineStr">
        <is>
          <t>STOCKHOLMS LÄN</t>
        </is>
      </c>
      <c r="G94" t="inlineStr">
        <is>
          <t>VALLENTUNA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4803-2024</t>
        </is>
      </c>
      <c r="B95" t="inlineStr">
        <is>
          <t>avverkningsanmälan</t>
        </is>
      </c>
      <c r="C95" t="inlineStr">
        <is>
          <t>Avverkning för annat ändamål</t>
        </is>
      </c>
      <c r="D95" s="1" t="n">
        <v>45328</v>
      </c>
      <c r="E95" s="1" t="n">
        <v>46272</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46272</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46272</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24740-2026</t>
        </is>
      </c>
      <c r="B98" t="inlineStr">
        <is>
          <t>avverkningsanmälan</t>
        </is>
      </c>
      <c r="C98" t="inlineStr">
        <is>
          <t>Föryngringsavverkning</t>
        </is>
      </c>
      <c r="D98" s="1" t="n">
        <v>46171</v>
      </c>
      <c r="E98" s="1" t="n">
        <v>46272</v>
      </c>
      <c r="F98" t="inlineStr">
        <is>
          <t>STOCKHOLMS LÄN</t>
        </is>
      </c>
      <c r="G98" t="inlineStr">
        <is>
          <t>VALLENTUNA</t>
        </is>
      </c>
      <c r="H98" t="inlineStr">
        <is>
          <t>Övriga Aktiebolag</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46272</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46272</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25740-2026</t>
        </is>
      </c>
      <c r="B101" t="inlineStr">
        <is>
          <t>avverkningsanmälan</t>
        </is>
      </c>
      <c r="C101" t="inlineStr">
        <is>
          <t>Föryngringsavverkning</t>
        </is>
      </c>
      <c r="D101" s="1" t="n">
        <v>46178</v>
      </c>
      <c r="E101" s="1" t="n">
        <v>46272</v>
      </c>
      <c r="F101" t="inlineStr">
        <is>
          <t>STOCKHOLMS LÄN</t>
        </is>
      </c>
      <c r="G101" t="inlineStr">
        <is>
          <t>VALLENTUNA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25752-2026</t>
        </is>
      </c>
      <c r="B102" t="inlineStr">
        <is>
          <t>avverkningsanmälan</t>
        </is>
      </c>
      <c r="C102" t="inlineStr">
        <is>
          <t>Föryngringsavverkning</t>
        </is>
      </c>
      <c r="D102" s="1" t="n">
        <v>46178</v>
      </c>
      <c r="E102" s="1" t="n">
        <v>46272</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22683-2023</t>
        </is>
      </c>
      <c r="B103" t="inlineStr">
        <is>
          <t>avverkningsanmälan</t>
        </is>
      </c>
      <c r="C103" t="inlineStr">
        <is>
          <t>Föryngringsavverkning</t>
        </is>
      </c>
      <c r="D103" s="1" t="n">
        <v>45071</v>
      </c>
      <c r="E103" s="1" t="n">
        <v>46272</v>
      </c>
      <c r="F103" t="inlineStr">
        <is>
          <t>STOCKHOLMS LÄN</t>
        </is>
      </c>
      <c r="G103" t="inlineStr">
        <is>
          <t>VALLENTUNA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12819-2026</t>
        </is>
      </c>
      <c r="B104" t="inlineStr">
        <is>
          <t>avverkningsanmälan</t>
        </is>
      </c>
      <c r="C104" t="inlineStr">
        <is>
          <t>Föryngringsavverkning</t>
        </is>
      </c>
      <c r="D104" s="1" t="n">
        <v>46092</v>
      </c>
      <c r="E104" s="1" t="n">
        <v>46272</v>
      </c>
      <c r="F104" t="inlineStr">
        <is>
          <t>STOCKHOLMS LÄN</t>
        </is>
      </c>
      <c r="G104" t="inlineStr">
        <is>
          <t>VALLENTUNA</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17411-2023</t>
        </is>
      </c>
      <c r="B105" t="inlineStr">
        <is>
          <t>avverkningsanmälan</t>
        </is>
      </c>
      <c r="C105" t="inlineStr">
        <is>
          <t>Föryngringsavverkning</t>
        </is>
      </c>
      <c r="D105" s="1" t="n">
        <v>45035</v>
      </c>
      <c r="E105" s="1" t="n">
        <v>46272</v>
      </c>
      <c r="F105" t="inlineStr">
        <is>
          <t>STOCKHOLMS LÄN</t>
        </is>
      </c>
      <c r="G105" t="inlineStr">
        <is>
          <t>VALLENTUNA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46272</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60818-2023</t>
        </is>
      </c>
      <c r="B107" t="inlineStr">
        <is>
          <t>avverkningsanmälan</t>
        </is>
      </c>
      <c r="C107" t="inlineStr">
        <is>
          <t>Föryngringsavverkning</t>
        </is>
      </c>
      <c r="D107" s="1" t="n">
        <v>45259</v>
      </c>
      <c r="E107" s="1" t="n">
        <v>46272</v>
      </c>
      <c r="F107" t="inlineStr">
        <is>
          <t>STOCKHOLMS LÄN</t>
        </is>
      </c>
      <c r="G107" t="inlineStr">
        <is>
          <t>VALLENTUNA</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7264-2022</t>
        </is>
      </c>
      <c r="B108" t="inlineStr">
        <is>
          <t>avverkningsanmälan</t>
        </is>
      </c>
      <c r="C108" t="inlineStr">
        <is>
          <t>Föryngringsavverkning</t>
        </is>
      </c>
      <c r="D108" s="1" t="n">
        <v>44606</v>
      </c>
      <c r="E108" s="1" t="n">
        <v>46272</v>
      </c>
      <c r="F108" t="inlineStr">
        <is>
          <t>STOCKHOLMS LÄN</t>
        </is>
      </c>
      <c r="G108" t="inlineStr">
        <is>
          <t>VALLENTUNA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19356-2025</t>
        </is>
      </c>
      <c r="B109" t="inlineStr">
        <is>
          <t>avverkningsanmälan</t>
        </is>
      </c>
      <c r="C109" t="inlineStr">
        <is>
          <t>Föryngringsavverkning</t>
        </is>
      </c>
      <c r="D109" s="1" t="n">
        <v>45769</v>
      </c>
      <c r="E109" s="1" t="n">
        <v>46272</v>
      </c>
      <c r="F109" t="inlineStr">
        <is>
          <t>STOCKHOLMS LÄN</t>
        </is>
      </c>
      <c r="G109" t="inlineStr">
        <is>
          <t>VALLENTUNA</t>
        </is>
      </c>
      <c r="H109" t="inlineStr">
        <is>
          <t>Övriga Aktiebolag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11950-2025</t>
        </is>
      </c>
      <c r="B110" t="inlineStr">
        <is>
          <t>avverkningsanmälan</t>
        </is>
      </c>
      <c r="C110" t="inlineStr">
        <is>
          <t>Föryngringsavverkning</t>
        </is>
      </c>
      <c r="D110" s="1" t="n">
        <v>45728</v>
      </c>
      <c r="E110" s="1" t="n">
        <v>46272</v>
      </c>
      <c r="F110" t="inlineStr">
        <is>
          <t>STOCKHOLMS LÄN</t>
        </is>
      </c>
      <c r="G110" t="inlineStr">
        <is>
          <t>VALLENTUNA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14489-2024</t>
        </is>
      </c>
      <c r="B111" t="inlineStr">
        <is>
          <t>avverkningsanmälan</t>
        </is>
      </c>
      <c r="C111" t="inlineStr">
        <is>
          <t>Föryngringsavverkning</t>
        </is>
      </c>
      <c r="D111" s="1" t="n">
        <v>45394</v>
      </c>
      <c r="E111" s="1" t="n">
        <v>46272</v>
      </c>
      <c r="F111" t="inlineStr">
        <is>
          <t>STOCKHOLMS LÄN</t>
        </is>
      </c>
      <c r="G111" t="inlineStr">
        <is>
          <t>VALLENTUNA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48068-2021</t>
        </is>
      </c>
      <c r="B112" t="inlineStr">
        <is>
          <t>avverkningsanmälan</t>
        </is>
      </c>
      <c r="C112" t="inlineStr">
        <is>
          <t>Föryngringsavverkning</t>
        </is>
      </c>
      <c r="D112" s="1" t="n">
        <v>44449</v>
      </c>
      <c r="E112" s="1" t="n">
        <v>46272</v>
      </c>
      <c r="F112" t="inlineStr">
        <is>
          <t>STOCKHOLMS LÄN</t>
        </is>
      </c>
      <c r="G112" t="inlineStr">
        <is>
          <t>VALLENTUNA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46272</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46272</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46272</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34720-2026</t>
        </is>
      </c>
      <c r="B116" t="inlineStr">
        <is>
          <t>avverkningsanmälan</t>
        </is>
      </c>
      <c r="C116" t="inlineStr">
        <is>
          <t>Föryngringsavverkning</t>
        </is>
      </c>
      <c r="D116" s="1" t="n">
        <v>46258</v>
      </c>
      <c r="E116" s="1" t="n">
        <v>46272</v>
      </c>
      <c r="F116" t="inlineStr">
        <is>
          <t>STOCKHOLMS LÄN</t>
        </is>
      </c>
      <c r="G116" t="inlineStr">
        <is>
          <t>VALLENTUNA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46272</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46272</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46272</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46272</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46272</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46272</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2026-09-07T02:05:56Z</dcterms:created>
  <dcterms:modified xmlns:dcterms="http://purl.org/dc/terms/" xmlns:xsi="http://www.w3.org/2001/XMLSchema-instance" xsi:type="dcterms:W3CDTF">2026-09-07T02:05:56Z</dcterms:modified>
</cp:coreProperties>
</file>