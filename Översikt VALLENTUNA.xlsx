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45890</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45890</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45890</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45890</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45890</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45890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45890</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45890</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45890</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45890</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45890</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45890</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45890</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45890</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45890</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45890</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21439-2025</t>
        </is>
      </c>
      <c r="B24" s="1" t="n">
        <v>45782.52939814814</v>
      </c>
      <c r="C24" s="1" t="n">
        <v>45890</v>
      </c>
      <c r="D24" t="inlineStr">
        <is>
          <t>STOCKHOLMS LÄN</t>
        </is>
      </c>
      <c r="E24" t="inlineStr">
        <is>
          <t>VALLENTUNA</t>
        </is>
      </c>
      <c r="G24" t="n">
        <v>2.1</v>
      </c>
      <c r="H24" t="n">
        <v>0</v>
      </c>
      <c r="I24" t="n">
        <v>1</v>
      </c>
      <c r="J24" t="n">
        <v>0</v>
      </c>
      <c r="K24" t="n">
        <v>0</v>
      </c>
      <c r="L24" t="n">
        <v>0</v>
      </c>
      <c r="M24" t="n">
        <v>0</v>
      </c>
      <c r="N24" t="n">
        <v>0</v>
      </c>
      <c r="O24" t="n">
        <v>0</v>
      </c>
      <c r="P24" t="n">
        <v>0</v>
      </c>
      <c r="Q24" t="n">
        <v>1</v>
      </c>
      <c r="R24" s="2" t="inlineStr">
        <is>
          <t>Mindre märgborre</t>
        </is>
      </c>
      <c r="S24">
        <f>HYPERLINK("https://klasma.github.io/Logging_0115/artfynd/A 21439-2025 artfynd.xlsx", "A 21439-2025")</f>
        <v/>
      </c>
      <c r="T24">
        <f>HYPERLINK("https://klasma.github.io/Logging_0115/kartor/A 21439-2025 karta.png", "A 21439-2025")</f>
        <v/>
      </c>
      <c r="V24">
        <f>HYPERLINK("https://klasma.github.io/Logging_0115/klagomål/A 21439-2025 FSC-klagomål.docx", "A 21439-2025")</f>
        <v/>
      </c>
      <c r="W24">
        <f>HYPERLINK("https://klasma.github.io/Logging_0115/klagomålsmail/A 21439-2025 FSC-klagomål mail.docx", "A 21439-2025")</f>
        <v/>
      </c>
      <c r="X24">
        <f>HYPERLINK("https://klasma.github.io/Logging_0115/tillsyn/A 21439-2025 tillsynsbegäran.docx", "A 21439-2025")</f>
        <v/>
      </c>
      <c r="Y24">
        <f>HYPERLINK("https://klasma.github.io/Logging_0115/tillsynsmail/A 21439-2025 tillsynsbegäran mail.docx", "A 21439-2025")</f>
        <v/>
      </c>
    </row>
    <row r="25" ht="15" customHeight="1">
      <c r="A25" t="inlineStr">
        <is>
          <t>A 17348-2025</t>
        </is>
      </c>
      <c r="B25" s="1" t="n">
        <v>45756</v>
      </c>
      <c r="C25" s="1" t="n">
        <v>45890</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22936-2025</t>
        </is>
      </c>
      <c r="B26" s="1" t="n">
        <v>45790.45738425926</v>
      </c>
      <c r="C26" s="1" t="n">
        <v>45890</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45890</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45890</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7890-2023</t>
        </is>
      </c>
      <c r="B29" s="1" t="n">
        <v>44973</v>
      </c>
      <c r="C29" s="1" t="n">
        <v>45890</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45890</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45890</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45890</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45890</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45890</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45890</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45890</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45890</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45890</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45890</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45890</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45890</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45890</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45890</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45890</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45890</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45890</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45890</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45890</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45890</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45890</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45890</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45890</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14775-2024</t>
        </is>
      </c>
      <c r="B54" s="1" t="n">
        <v>45397.73675925926</v>
      </c>
      <c r="C54" s="1" t="n">
        <v>45890</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8565-2025</t>
        </is>
      </c>
      <c r="B55" s="1" t="n">
        <v>45709</v>
      </c>
      <c r="C55" s="1" t="n">
        <v>45890</v>
      </c>
      <c r="D55" t="inlineStr">
        <is>
          <t>STOCKHOLMS LÄN</t>
        </is>
      </c>
      <c r="E55" t="inlineStr">
        <is>
          <t>VALLENTUNA</t>
        </is>
      </c>
      <c r="F55" t="inlineStr">
        <is>
          <t>Kommuner</t>
        </is>
      </c>
      <c r="G55" t="n">
        <v>4.2</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45890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1385-2024</t>
        </is>
      </c>
      <c r="B57" s="1" t="n">
        <v>45303</v>
      </c>
      <c r="C57" s="1" t="n">
        <v>45890</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8787-2024</t>
        </is>
      </c>
      <c r="B58" s="1" t="n">
        <v>45356</v>
      </c>
      <c r="C58" s="1" t="n">
        <v>45890</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14782-2024</t>
        </is>
      </c>
      <c r="B59" s="1" t="n">
        <v>45397.74266203704</v>
      </c>
      <c r="C59" s="1" t="n">
        <v>45890</v>
      </c>
      <c r="D59" t="inlineStr">
        <is>
          <t>STOCKHOLMS LÄN</t>
        </is>
      </c>
      <c r="E59" t="inlineStr">
        <is>
          <t>VALLENTUNA</t>
        </is>
      </c>
      <c r="G59" t="n">
        <v>3.1</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45890</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52562-2023</t>
        </is>
      </c>
      <c r="B61" s="1" t="n">
        <v>45225</v>
      </c>
      <c r="C61" s="1" t="n">
        <v>45890</v>
      </c>
      <c r="D61" t="inlineStr">
        <is>
          <t>STOCKHOLMS LÄN</t>
        </is>
      </c>
      <c r="E61" t="inlineStr">
        <is>
          <t>VALLENTUNA</t>
        </is>
      </c>
      <c r="G61" t="n">
        <v>3.4</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45890</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60818-2023</t>
        </is>
      </c>
      <c r="B63" s="1" t="n">
        <v>45259</v>
      </c>
      <c r="C63" s="1" t="n">
        <v>45890</v>
      </c>
      <c r="D63" t="inlineStr">
        <is>
          <t>STOCKHOLMS LÄN</t>
        </is>
      </c>
      <c r="E63" t="inlineStr">
        <is>
          <t>VALLENTUNA</t>
        </is>
      </c>
      <c r="G63" t="n">
        <v>9.4</v>
      </c>
      <c r="H63" t="n">
        <v>0</v>
      </c>
      <c r="I63" t="n">
        <v>0</v>
      </c>
      <c r="J63" t="n">
        <v>0</v>
      </c>
      <c r="K63" t="n">
        <v>0</v>
      </c>
      <c r="L63" t="n">
        <v>0</v>
      </c>
      <c r="M63" t="n">
        <v>0</v>
      </c>
      <c r="N63" t="n">
        <v>0</v>
      </c>
      <c r="O63" t="n">
        <v>0</v>
      </c>
      <c r="P63" t="n">
        <v>0</v>
      </c>
      <c r="Q63" t="n">
        <v>0</v>
      </c>
      <c r="R63" s="2" t="inlineStr"/>
    </row>
    <row r="64" ht="15" customHeight="1">
      <c r="A64" t="inlineStr">
        <is>
          <t>A 52542-2023</t>
        </is>
      </c>
      <c r="B64" s="1" t="n">
        <v>45225</v>
      </c>
      <c r="C64" s="1" t="n">
        <v>45890</v>
      </c>
      <c r="D64" t="inlineStr">
        <is>
          <t>STOCKHOLMS LÄN</t>
        </is>
      </c>
      <c r="E64" t="inlineStr">
        <is>
          <t>VALLENTUNA</t>
        </is>
      </c>
      <c r="G64" t="n">
        <v>3.8</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45890</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45890</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21445-2023</t>
        </is>
      </c>
      <c r="B67" s="1" t="n">
        <v>45063</v>
      </c>
      <c r="C67" s="1" t="n">
        <v>45890</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45890</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14485-2024</t>
        </is>
      </c>
      <c r="B69" s="1" t="n">
        <v>45394.57304398148</v>
      </c>
      <c r="C69" s="1" t="n">
        <v>45890</v>
      </c>
      <c r="D69" t="inlineStr">
        <is>
          <t>STOCKHOLMS LÄN</t>
        </is>
      </c>
      <c r="E69" t="inlineStr">
        <is>
          <t>VALLENTUNA</t>
        </is>
      </c>
      <c r="G69" t="n">
        <v>5.1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45890</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45890</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34441-2023</t>
        </is>
      </c>
      <c r="B72" s="1" t="n">
        <v>45139</v>
      </c>
      <c r="C72" s="1" t="n">
        <v>45890</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34445-2023</t>
        </is>
      </c>
      <c r="B73" s="1" t="n">
        <v>45139</v>
      </c>
      <c r="C73" s="1" t="n">
        <v>45890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34460-2023</t>
        </is>
      </c>
      <c r="B74" s="1" t="n">
        <v>45139</v>
      </c>
      <c r="C74" s="1" t="n">
        <v>45890</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45890</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11950-2025</t>
        </is>
      </c>
      <c r="B76" s="1" t="n">
        <v>45728.55622685186</v>
      </c>
      <c r="C76" s="1" t="n">
        <v>45890</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735-2024</t>
        </is>
      </c>
      <c r="B77" s="1" t="n">
        <v>45300</v>
      </c>
      <c r="C77" s="1" t="n">
        <v>45890</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12585-2023</t>
        </is>
      </c>
      <c r="B78" s="1" t="n">
        <v>45000.41373842592</v>
      </c>
      <c r="C78" s="1" t="n">
        <v>45890</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45890</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15268-2023</t>
        </is>
      </c>
      <c r="B80" s="1" t="n">
        <v>45019.41045138889</v>
      </c>
      <c r="C80" s="1" t="n">
        <v>45890</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45890</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45890</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45890</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47204-2024</t>
        </is>
      </c>
      <c r="B84" s="1" t="n">
        <v>45586.63575231482</v>
      </c>
      <c r="C84" s="1" t="n">
        <v>45890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20786-2025</t>
        </is>
      </c>
      <c r="B85" s="1" t="n">
        <v>45776.62273148148</v>
      </c>
      <c r="C85" s="1" t="n">
        <v>45890</v>
      </c>
      <c r="D85" t="inlineStr">
        <is>
          <t>STOCKHOLMS LÄN</t>
        </is>
      </c>
      <c r="E85" t="inlineStr">
        <is>
          <t>VALLENTUNA</t>
        </is>
      </c>
      <c r="G85" t="n">
        <v>7.6</v>
      </c>
      <c r="H85" t="n">
        <v>0</v>
      </c>
      <c r="I85" t="n">
        <v>0</v>
      </c>
      <c r="J85" t="n">
        <v>0</v>
      </c>
      <c r="K85" t="n">
        <v>0</v>
      </c>
      <c r="L85" t="n">
        <v>0</v>
      </c>
      <c r="M85" t="n">
        <v>0</v>
      </c>
      <c r="N85" t="n">
        <v>0</v>
      </c>
      <c r="O85" t="n">
        <v>0</v>
      </c>
      <c r="P85" t="n">
        <v>0</v>
      </c>
      <c r="Q85" t="n">
        <v>0</v>
      </c>
      <c r="R85" s="2" t="inlineStr"/>
    </row>
    <row r="86" ht="15" customHeight="1">
      <c r="A86" t="inlineStr">
        <is>
          <t>A 34452-2021</t>
        </is>
      </c>
      <c r="B86" s="1" t="n">
        <v>44381</v>
      </c>
      <c r="C86" s="1" t="n">
        <v>45890</v>
      </c>
      <c r="D86" t="inlineStr">
        <is>
          <t>STOCKHOLMS LÄN</t>
        </is>
      </c>
      <c r="E86" t="inlineStr">
        <is>
          <t>VALLENTUNA</t>
        </is>
      </c>
      <c r="G86" t="n">
        <v>14.7</v>
      </c>
      <c r="H86" t="n">
        <v>0</v>
      </c>
      <c r="I86" t="n">
        <v>0</v>
      </c>
      <c r="J86" t="n">
        <v>0</v>
      </c>
      <c r="K86" t="n">
        <v>0</v>
      </c>
      <c r="L86" t="n">
        <v>0</v>
      </c>
      <c r="M86" t="n">
        <v>0</v>
      </c>
      <c r="N86" t="n">
        <v>0</v>
      </c>
      <c r="O86" t="n">
        <v>0</v>
      </c>
      <c r="P86" t="n">
        <v>0</v>
      </c>
      <c r="Q86" t="n">
        <v>0</v>
      </c>
      <c r="R86" s="2" t="inlineStr"/>
    </row>
    <row r="87" ht="15" customHeight="1">
      <c r="A87" t="inlineStr">
        <is>
          <t>A 20791-2025</t>
        </is>
      </c>
      <c r="B87" s="1" t="n">
        <v>45776.62738425926</v>
      </c>
      <c r="C87" s="1" t="n">
        <v>45890</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45364.40821759259</v>
      </c>
      <c r="C88" s="1" t="n">
        <v>45890</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12621-2024</t>
        </is>
      </c>
      <c r="B89" s="1" t="n">
        <v>45383.6325</v>
      </c>
      <c r="C89" s="1" t="n">
        <v>45890</v>
      </c>
      <c r="D89" t="inlineStr">
        <is>
          <t>STOCKHOLMS LÄN</t>
        </is>
      </c>
      <c r="E89" t="inlineStr">
        <is>
          <t>VALLENTUNA</t>
        </is>
      </c>
      <c r="G89" t="n">
        <v>4.4</v>
      </c>
      <c r="H89" t="n">
        <v>0</v>
      </c>
      <c r="I89" t="n">
        <v>0</v>
      </c>
      <c r="J89" t="n">
        <v>0</v>
      </c>
      <c r="K89" t="n">
        <v>0</v>
      </c>
      <c r="L89" t="n">
        <v>0</v>
      </c>
      <c r="M89" t="n">
        <v>0</v>
      </c>
      <c r="N89" t="n">
        <v>0</v>
      </c>
      <c r="O89" t="n">
        <v>0</v>
      </c>
      <c r="P89" t="n">
        <v>0</v>
      </c>
      <c r="Q89" t="n">
        <v>0</v>
      </c>
      <c r="R89" s="2" t="inlineStr"/>
    </row>
    <row r="90" ht="15" customHeight="1">
      <c r="A90" t="inlineStr">
        <is>
          <t>A 20789-2025</t>
        </is>
      </c>
      <c r="B90" s="1" t="n">
        <v>45776.62518518518</v>
      </c>
      <c r="C90" s="1" t="n">
        <v>45890</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8077-2022</t>
        </is>
      </c>
      <c r="B91" s="1" t="n">
        <v>44609</v>
      </c>
      <c r="C91" s="1" t="n">
        <v>45890</v>
      </c>
      <c r="D91" t="inlineStr">
        <is>
          <t>STOCKHOLMS LÄN</t>
        </is>
      </c>
      <c r="E91" t="inlineStr">
        <is>
          <t>VALLENTUNA</t>
        </is>
      </c>
      <c r="G91" t="n">
        <v>1.3</v>
      </c>
      <c r="H91" t="n">
        <v>0</v>
      </c>
      <c r="I91" t="n">
        <v>0</v>
      </c>
      <c r="J91" t="n">
        <v>0</v>
      </c>
      <c r="K91" t="n">
        <v>0</v>
      </c>
      <c r="L91" t="n">
        <v>0</v>
      </c>
      <c r="M91" t="n">
        <v>0</v>
      </c>
      <c r="N91" t="n">
        <v>0</v>
      </c>
      <c r="O91" t="n">
        <v>0</v>
      </c>
      <c r="P91" t="n">
        <v>0</v>
      </c>
      <c r="Q91" t="n">
        <v>0</v>
      </c>
      <c r="R91" s="2" t="inlineStr"/>
    </row>
    <row r="92" ht="15" customHeight="1">
      <c r="A92" t="inlineStr">
        <is>
          <t>A 47140-2024</t>
        </is>
      </c>
      <c r="B92" s="1" t="n">
        <v>45586.58753472222</v>
      </c>
      <c r="C92" s="1" t="n">
        <v>45890</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46381-2023</t>
        </is>
      </c>
      <c r="B93" s="1" t="n">
        <v>45193</v>
      </c>
      <c r="C93" s="1" t="n">
        <v>45890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23009-2024</t>
        </is>
      </c>
      <c r="B94" s="1" t="n">
        <v>45450.34506944445</v>
      </c>
      <c r="C94" s="1" t="n">
        <v>45890</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61027-2023</t>
        </is>
      </c>
      <c r="B95" s="1" t="n">
        <v>45261</v>
      </c>
      <c r="C95" s="1" t="n">
        <v>45890</v>
      </c>
      <c r="D95" t="inlineStr">
        <is>
          <t>STOCKHOLMS LÄN</t>
        </is>
      </c>
      <c r="E95" t="inlineStr">
        <is>
          <t>VALLENTUNA</t>
        </is>
      </c>
      <c r="G95" t="n">
        <v>7.1</v>
      </c>
      <c r="H95" t="n">
        <v>0</v>
      </c>
      <c r="I95" t="n">
        <v>0</v>
      </c>
      <c r="J95" t="n">
        <v>0</v>
      </c>
      <c r="K95" t="n">
        <v>0</v>
      </c>
      <c r="L95" t="n">
        <v>0</v>
      </c>
      <c r="M95" t="n">
        <v>0</v>
      </c>
      <c r="N95" t="n">
        <v>0</v>
      </c>
      <c r="O95" t="n">
        <v>0</v>
      </c>
      <c r="P95" t="n">
        <v>0</v>
      </c>
      <c r="Q95" t="n">
        <v>0</v>
      </c>
      <c r="R95" s="2" t="inlineStr"/>
    </row>
    <row r="96" ht="15" customHeight="1">
      <c r="A96" t="inlineStr">
        <is>
          <t>A 15300-2023</t>
        </is>
      </c>
      <c r="B96" s="1" t="n">
        <v>45019</v>
      </c>
      <c r="C96" s="1" t="n">
        <v>45890</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61742-2022</t>
        </is>
      </c>
      <c r="B97" s="1" t="n">
        <v>44917</v>
      </c>
      <c r="C97" s="1" t="n">
        <v>45890</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23923-2025</t>
        </is>
      </c>
      <c r="B98" s="1" t="n">
        <v>45795.39648148148</v>
      </c>
      <c r="C98" s="1" t="n">
        <v>45890</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68935-2020</t>
        </is>
      </c>
      <c r="B99" s="1" t="n">
        <v>44187</v>
      </c>
      <c r="C99" s="1" t="n">
        <v>45890</v>
      </c>
      <c r="D99" t="inlineStr">
        <is>
          <t>STOCKHOLMS LÄN</t>
        </is>
      </c>
      <c r="E99" t="inlineStr">
        <is>
          <t>VALLENTUNA</t>
        </is>
      </c>
      <c r="G99" t="n">
        <v>7.8</v>
      </c>
      <c r="H99" t="n">
        <v>0</v>
      </c>
      <c r="I99" t="n">
        <v>0</v>
      </c>
      <c r="J99" t="n">
        <v>0</v>
      </c>
      <c r="K99" t="n">
        <v>0</v>
      </c>
      <c r="L99" t="n">
        <v>0</v>
      </c>
      <c r="M99" t="n">
        <v>0</v>
      </c>
      <c r="N99" t="n">
        <v>0</v>
      </c>
      <c r="O99" t="n">
        <v>0</v>
      </c>
      <c r="P99" t="n">
        <v>0</v>
      </c>
      <c r="Q99" t="n">
        <v>0</v>
      </c>
      <c r="R99" s="2" t="inlineStr"/>
    </row>
    <row r="100" ht="15" customHeight="1">
      <c r="A100" t="inlineStr">
        <is>
          <t>A 21765-2023</t>
        </is>
      </c>
      <c r="B100" s="1" t="n">
        <v>45064</v>
      </c>
      <c r="C100" s="1" t="n">
        <v>45890</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21614-2022</t>
        </is>
      </c>
      <c r="B101" s="1" t="n">
        <v>44706</v>
      </c>
      <c r="C101" s="1" t="n">
        <v>45890</v>
      </c>
      <c r="D101" t="inlineStr">
        <is>
          <t>STOCKHOLMS LÄN</t>
        </is>
      </c>
      <c r="E101" t="inlineStr">
        <is>
          <t>VALLENTUNA</t>
        </is>
      </c>
      <c r="G101" t="n">
        <v>4</v>
      </c>
      <c r="H101" t="n">
        <v>0</v>
      </c>
      <c r="I101" t="n">
        <v>0</v>
      </c>
      <c r="J101" t="n">
        <v>0</v>
      </c>
      <c r="K101" t="n">
        <v>0</v>
      </c>
      <c r="L101" t="n">
        <v>0</v>
      </c>
      <c r="M101" t="n">
        <v>0</v>
      </c>
      <c r="N101" t="n">
        <v>0</v>
      </c>
      <c r="O101" t="n">
        <v>0</v>
      </c>
      <c r="P101" t="n">
        <v>0</v>
      </c>
      <c r="Q101" t="n">
        <v>0</v>
      </c>
      <c r="R101" s="2" t="inlineStr"/>
    </row>
    <row r="102" ht="15" customHeight="1">
      <c r="A102" t="inlineStr">
        <is>
          <t>A 61655-2020</t>
        </is>
      </c>
      <c r="B102" s="1" t="n">
        <v>44158</v>
      </c>
      <c r="C102" s="1" t="n">
        <v>45890</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23986-2023</t>
        </is>
      </c>
      <c r="B103" s="1" t="n">
        <v>45078</v>
      </c>
      <c r="C103" s="1" t="n">
        <v>45890</v>
      </c>
      <c r="D103" t="inlineStr">
        <is>
          <t>STOCKHOLMS LÄN</t>
        </is>
      </c>
      <c r="E103" t="inlineStr">
        <is>
          <t>VALLENTUNA</t>
        </is>
      </c>
      <c r="F103" t="inlineStr">
        <is>
          <t>Kyrkan</t>
        </is>
      </c>
      <c r="G103" t="n">
        <v>5.7</v>
      </c>
      <c r="H103" t="n">
        <v>0</v>
      </c>
      <c r="I103" t="n">
        <v>0</v>
      </c>
      <c r="J103" t="n">
        <v>0</v>
      </c>
      <c r="K103" t="n">
        <v>0</v>
      </c>
      <c r="L103" t="n">
        <v>0</v>
      </c>
      <c r="M103" t="n">
        <v>0</v>
      </c>
      <c r="N103" t="n">
        <v>0</v>
      </c>
      <c r="O103" t="n">
        <v>0</v>
      </c>
      <c r="P103" t="n">
        <v>0</v>
      </c>
      <c r="Q103" t="n">
        <v>0</v>
      </c>
      <c r="R103" s="2" t="inlineStr"/>
    </row>
    <row r="104" ht="15" customHeight="1">
      <c r="A104" t="inlineStr">
        <is>
          <t>A 17342-2025</t>
        </is>
      </c>
      <c r="B104" s="1" t="n">
        <v>45756</v>
      </c>
      <c r="C104" s="1" t="n">
        <v>45890</v>
      </c>
      <c r="D104" t="inlineStr">
        <is>
          <t>STOCKHOLMS LÄN</t>
        </is>
      </c>
      <c r="E104" t="inlineStr">
        <is>
          <t>VALLENTUNA</t>
        </is>
      </c>
      <c r="F104" t="inlineStr">
        <is>
          <t>Övriga Aktiebolag</t>
        </is>
      </c>
      <c r="G104" t="n">
        <v>3.9</v>
      </c>
      <c r="H104" t="n">
        <v>0</v>
      </c>
      <c r="I104" t="n">
        <v>0</v>
      </c>
      <c r="J104" t="n">
        <v>0</v>
      </c>
      <c r="K104" t="n">
        <v>0</v>
      </c>
      <c r="L104" t="n">
        <v>0</v>
      </c>
      <c r="M104" t="n">
        <v>0</v>
      </c>
      <c r="N104" t="n">
        <v>0</v>
      </c>
      <c r="O104" t="n">
        <v>0</v>
      </c>
      <c r="P104" t="n">
        <v>0</v>
      </c>
      <c r="Q104" t="n">
        <v>0</v>
      </c>
      <c r="R104" s="2" t="inlineStr"/>
    </row>
    <row r="105" ht="15" customHeight="1">
      <c r="A105" t="inlineStr">
        <is>
          <t>A 56152-2024</t>
        </is>
      </c>
      <c r="B105" s="1" t="n">
        <v>45624.52403935185</v>
      </c>
      <c r="C105" s="1" t="n">
        <v>45890</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12562-2023</t>
        </is>
      </c>
      <c r="B106" s="1" t="n">
        <v>45000</v>
      </c>
      <c r="C106" s="1" t="n">
        <v>45890</v>
      </c>
      <c r="D106" t="inlineStr">
        <is>
          <t>STOCKHOLMS LÄN</t>
        </is>
      </c>
      <c r="E106" t="inlineStr">
        <is>
          <t>VALLENTUNA</t>
        </is>
      </c>
      <c r="G106" t="n">
        <v>2.1</v>
      </c>
      <c r="H106" t="n">
        <v>0</v>
      </c>
      <c r="I106" t="n">
        <v>0</v>
      </c>
      <c r="J106" t="n">
        <v>0</v>
      </c>
      <c r="K106" t="n">
        <v>0</v>
      </c>
      <c r="L106" t="n">
        <v>0</v>
      </c>
      <c r="M106" t="n">
        <v>0</v>
      </c>
      <c r="N106" t="n">
        <v>0</v>
      </c>
      <c r="O106" t="n">
        <v>0</v>
      </c>
      <c r="P106" t="n">
        <v>0</v>
      </c>
      <c r="Q106" t="n">
        <v>0</v>
      </c>
      <c r="R106" s="2" t="inlineStr"/>
    </row>
    <row r="107" ht="15" customHeight="1">
      <c r="A107" t="inlineStr">
        <is>
          <t>A 34458-2023</t>
        </is>
      </c>
      <c r="B107" s="1" t="n">
        <v>45139</v>
      </c>
      <c r="C107" s="1" t="n">
        <v>45890</v>
      </c>
      <c r="D107" t="inlineStr">
        <is>
          <t>STOCKHOLMS LÄN</t>
        </is>
      </c>
      <c r="E107" t="inlineStr">
        <is>
          <t>VALLENTUNA</t>
        </is>
      </c>
      <c r="G107" t="n">
        <v>2.5</v>
      </c>
      <c r="H107" t="n">
        <v>0</v>
      </c>
      <c r="I107" t="n">
        <v>0</v>
      </c>
      <c r="J107" t="n">
        <v>0</v>
      </c>
      <c r="K107" t="n">
        <v>0</v>
      </c>
      <c r="L107" t="n">
        <v>0</v>
      </c>
      <c r="M107" t="n">
        <v>0</v>
      </c>
      <c r="N107" t="n">
        <v>0</v>
      </c>
      <c r="O107" t="n">
        <v>0</v>
      </c>
      <c r="P107" t="n">
        <v>0</v>
      </c>
      <c r="Q107" t="n">
        <v>0</v>
      </c>
      <c r="R107" s="2" t="inlineStr"/>
    </row>
    <row r="108" ht="15" customHeight="1">
      <c r="A108" t="inlineStr">
        <is>
          <t>A 25984-2025</t>
        </is>
      </c>
      <c r="B108" s="1" t="n">
        <v>45804.64016203704</v>
      </c>
      <c r="C108" s="1" t="n">
        <v>45890</v>
      </c>
      <c r="D108" t="inlineStr">
        <is>
          <t>STOCKHOLMS LÄN</t>
        </is>
      </c>
      <c r="E108" t="inlineStr">
        <is>
          <t>VALLENTUNA</t>
        </is>
      </c>
      <c r="G108" t="n">
        <v>2.5</v>
      </c>
      <c r="H108" t="n">
        <v>0</v>
      </c>
      <c r="I108" t="n">
        <v>0</v>
      </c>
      <c r="J108" t="n">
        <v>0</v>
      </c>
      <c r="K108" t="n">
        <v>0</v>
      </c>
      <c r="L108" t="n">
        <v>0</v>
      </c>
      <c r="M108" t="n">
        <v>0</v>
      </c>
      <c r="N108" t="n">
        <v>0</v>
      </c>
      <c r="O108" t="n">
        <v>0</v>
      </c>
      <c r="P108" t="n">
        <v>0</v>
      </c>
      <c r="Q108" t="n">
        <v>0</v>
      </c>
      <c r="R108" s="2" t="inlineStr"/>
    </row>
    <row r="109" ht="15" customHeight="1">
      <c r="A109" t="inlineStr">
        <is>
          <t>A 14480-2024</t>
        </is>
      </c>
      <c r="B109" s="1" t="n">
        <v>45394.56777777777</v>
      </c>
      <c r="C109" s="1" t="n">
        <v>45890</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24068-2024</t>
        </is>
      </c>
      <c r="B110" s="1" t="n">
        <v>45456</v>
      </c>
      <c r="C110" s="1" t="n">
        <v>45890</v>
      </c>
      <c r="D110" t="inlineStr">
        <is>
          <t>STOCKHOLMS LÄN</t>
        </is>
      </c>
      <c r="E110" t="inlineStr">
        <is>
          <t>VALLENTUNA</t>
        </is>
      </c>
      <c r="G110" t="n">
        <v>7.4</v>
      </c>
      <c r="H110" t="n">
        <v>0</v>
      </c>
      <c r="I110" t="n">
        <v>0</v>
      </c>
      <c r="J110" t="n">
        <v>0</v>
      </c>
      <c r="K110" t="n">
        <v>0</v>
      </c>
      <c r="L110" t="n">
        <v>0</v>
      </c>
      <c r="M110" t="n">
        <v>0</v>
      </c>
      <c r="N110" t="n">
        <v>0</v>
      </c>
      <c r="O110" t="n">
        <v>0</v>
      </c>
      <c r="P110" t="n">
        <v>0</v>
      </c>
      <c r="Q110" t="n">
        <v>0</v>
      </c>
      <c r="R110" s="2" t="inlineStr"/>
    </row>
    <row r="111" ht="15" customHeight="1">
      <c r="A111" t="inlineStr">
        <is>
          <t>A 17340-2025</t>
        </is>
      </c>
      <c r="B111" s="1" t="n">
        <v>45756</v>
      </c>
      <c r="C111" s="1" t="n">
        <v>45890</v>
      </c>
      <c r="D111" t="inlineStr">
        <is>
          <t>STOCKHOLMS LÄN</t>
        </is>
      </c>
      <c r="E111" t="inlineStr">
        <is>
          <t>VALLENTUNA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30913-2021</t>
        </is>
      </c>
      <c r="B112" s="1" t="n">
        <v>44365</v>
      </c>
      <c r="C112" s="1" t="n">
        <v>45890</v>
      </c>
      <c r="D112" t="inlineStr">
        <is>
          <t>STOCKHOLMS LÄN</t>
        </is>
      </c>
      <c r="E112" t="inlineStr">
        <is>
          <t>VALLENTUNA</t>
        </is>
      </c>
      <c r="F112" t="inlineStr">
        <is>
          <t>Övriga Aktiebolag</t>
        </is>
      </c>
      <c r="G112" t="n">
        <v>3.3</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45890</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29704-2023</t>
        </is>
      </c>
      <c r="B114" s="1" t="n">
        <v>45107</v>
      </c>
      <c r="C114" s="1" t="n">
        <v>45890</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45890</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45890</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45890</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45890</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45890</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12609-2024</t>
        </is>
      </c>
      <c r="B120" s="1" t="n">
        <v>45382.8109375</v>
      </c>
      <c r="C120" s="1" t="n">
        <v>45890</v>
      </c>
      <c r="D120" t="inlineStr">
        <is>
          <t>STOCKHOLMS LÄN</t>
        </is>
      </c>
      <c r="E120" t="inlineStr">
        <is>
          <t>VALLENTUNA</t>
        </is>
      </c>
      <c r="G120" t="n">
        <v>0.9</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45890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27868-2025</t>
        </is>
      </c>
      <c r="B122" s="1" t="n">
        <v>45817</v>
      </c>
      <c r="C122" s="1" t="n">
        <v>45890</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21612-2021</t>
        </is>
      </c>
      <c r="B123" s="1" t="n">
        <v>44321</v>
      </c>
      <c r="C123" s="1" t="n">
        <v>45890</v>
      </c>
      <c r="D123" t="inlineStr">
        <is>
          <t>STOCKHOLMS LÄN</t>
        </is>
      </c>
      <c r="E123" t="inlineStr">
        <is>
          <t>VALLENTUNA</t>
        </is>
      </c>
      <c r="G123" t="n">
        <v>1.4</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45890</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45890</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45890</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38102-2024</t>
        </is>
      </c>
      <c r="B127" s="1" t="n">
        <v>45545.36349537037</v>
      </c>
      <c r="C127" s="1" t="n">
        <v>45890</v>
      </c>
      <c r="D127" t="inlineStr">
        <is>
          <t>STOCKHOLMS LÄN</t>
        </is>
      </c>
      <c r="E127" t="inlineStr">
        <is>
          <t>VALLENTUNA</t>
        </is>
      </c>
      <c r="G127" t="n">
        <v>3.2</v>
      </c>
      <c r="H127" t="n">
        <v>0</v>
      </c>
      <c r="I127" t="n">
        <v>0</v>
      </c>
      <c r="J127" t="n">
        <v>0</v>
      </c>
      <c r="K127" t="n">
        <v>0</v>
      </c>
      <c r="L127" t="n">
        <v>0</v>
      </c>
      <c r="M127" t="n">
        <v>0</v>
      </c>
      <c r="N127" t="n">
        <v>0</v>
      </c>
      <c r="O127" t="n">
        <v>0</v>
      </c>
      <c r="P127" t="n">
        <v>0</v>
      </c>
      <c r="Q127" t="n">
        <v>0</v>
      </c>
      <c r="R127" s="2" t="inlineStr"/>
    </row>
    <row r="128" ht="15" customHeight="1">
      <c r="A128" t="inlineStr">
        <is>
          <t>A 30902-2025</t>
        </is>
      </c>
      <c r="B128" s="1" t="n">
        <v>45832.36104166666</v>
      </c>
      <c r="C128" s="1" t="n">
        <v>45890</v>
      </c>
      <c r="D128" t="inlineStr">
        <is>
          <t>STOCKHOLMS LÄN</t>
        </is>
      </c>
      <c r="E128" t="inlineStr">
        <is>
          <t>VALLENTUNA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45890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24943-2024</t>
        </is>
      </c>
      <c r="B130" s="1" t="n">
        <v>45461.62585648148</v>
      </c>
      <c r="C130" s="1" t="n">
        <v>45890</v>
      </c>
      <c r="D130" t="inlineStr">
        <is>
          <t>STOCKHOLMS LÄN</t>
        </is>
      </c>
      <c r="E130" t="inlineStr">
        <is>
          <t>VALLENTUNA</t>
        </is>
      </c>
      <c r="G130" t="n">
        <v>2</v>
      </c>
      <c r="H130" t="n">
        <v>0</v>
      </c>
      <c r="I130" t="n">
        <v>0</v>
      </c>
      <c r="J130" t="n">
        <v>0</v>
      </c>
      <c r="K130" t="n">
        <v>0</v>
      </c>
      <c r="L130" t="n">
        <v>0</v>
      </c>
      <c r="M130" t="n">
        <v>0</v>
      </c>
      <c r="N130" t="n">
        <v>0</v>
      </c>
      <c r="O130" t="n">
        <v>0</v>
      </c>
      <c r="P130" t="n">
        <v>0</v>
      </c>
      <c r="Q130" t="n">
        <v>0</v>
      </c>
      <c r="R130" s="2" t="inlineStr"/>
    </row>
    <row r="131" ht="15" customHeight="1">
      <c r="A131" t="inlineStr">
        <is>
          <t>A 24707-2023</t>
        </is>
      </c>
      <c r="B131" s="1" t="n">
        <v>45084</v>
      </c>
      <c r="C131" s="1" t="n">
        <v>45890</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28431-2025</t>
        </is>
      </c>
      <c r="B132" s="1" t="n">
        <v>45819.38072916667</v>
      </c>
      <c r="C132" s="1" t="n">
        <v>45890</v>
      </c>
      <c r="D132" t="inlineStr">
        <is>
          <t>STOCKHOLMS LÄN</t>
        </is>
      </c>
      <c r="E132" t="inlineStr">
        <is>
          <t>VALLENTUNA</t>
        </is>
      </c>
      <c r="G132" t="n">
        <v>1.5</v>
      </c>
      <c r="H132" t="n">
        <v>0</v>
      </c>
      <c r="I132" t="n">
        <v>0</v>
      </c>
      <c r="J132" t="n">
        <v>0</v>
      </c>
      <c r="K132" t="n">
        <v>0</v>
      </c>
      <c r="L132" t="n">
        <v>0</v>
      </c>
      <c r="M132" t="n">
        <v>0</v>
      </c>
      <c r="N132" t="n">
        <v>0</v>
      </c>
      <c r="O132" t="n">
        <v>0</v>
      </c>
      <c r="P132" t="n">
        <v>0</v>
      </c>
      <c r="Q132" t="n">
        <v>0</v>
      </c>
      <c r="R132" s="2" t="inlineStr"/>
    </row>
    <row r="133" ht="15" customHeight="1">
      <c r="A133" t="inlineStr">
        <is>
          <t>A 48717-2024</t>
        </is>
      </c>
      <c r="B133" s="1" t="n">
        <v>45593</v>
      </c>
      <c r="C133" s="1" t="n">
        <v>45890</v>
      </c>
      <c r="D133" t="inlineStr">
        <is>
          <t>STOCKHOLMS LÄN</t>
        </is>
      </c>
      <c r="E133" t="inlineStr">
        <is>
          <t>VALLENTUNA</t>
        </is>
      </c>
      <c r="G133" t="n">
        <v>6.2</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45890</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5910-2022</t>
        </is>
      </c>
      <c r="B135" s="1" t="n">
        <v>44597</v>
      </c>
      <c r="C135" s="1" t="n">
        <v>45890</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22683-2023</t>
        </is>
      </c>
      <c r="B136" s="1" t="n">
        <v>45071</v>
      </c>
      <c r="C136" s="1" t="n">
        <v>45890</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24994-2021</t>
        </is>
      </c>
      <c r="B137" s="1" t="n">
        <v>44341</v>
      </c>
      <c r="C137" s="1" t="n">
        <v>45890</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45890</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60795-2023</t>
        </is>
      </c>
      <c r="B139" s="1" t="n">
        <v>45260</v>
      </c>
      <c r="C139" s="1" t="n">
        <v>45890</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c r="A140" t="inlineStr">
        <is>
          <t>A 60997-2022</t>
        </is>
      </c>
      <c r="B140" s="1" t="n">
        <v>44914.70746527778</v>
      </c>
      <c r="C140" s="1" t="n">
        <v>45890</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2025-08-21T08:30:55Z</dcterms:created>
  <dcterms:modified xmlns:dcterms="http://purl.org/dc/terms/" xmlns:xsi="http://www.w3.org/2001/XMLSchema-instance" xsi:type="dcterms:W3CDTF">2025-08-21T08:30:55Z</dcterms:modified>
</cp:coreProperties>
</file>