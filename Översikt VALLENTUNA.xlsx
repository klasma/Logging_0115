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46048</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46048</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46048</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46048</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46048</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46048</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46048</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46048</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46048</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46048</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46048</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46048</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46048</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62402-2022</t>
        </is>
      </c>
      <c r="B21" s="1" t="n">
        <v>44923</v>
      </c>
      <c r="C21" s="1" t="n">
        <v>46048</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41021-2023</t>
        </is>
      </c>
      <c r="B22" s="1" t="n">
        <v>45173</v>
      </c>
      <c r="C22" s="1" t="n">
        <v>46048</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754-2024</t>
        </is>
      </c>
      <c r="B23" s="1" t="n">
        <v>45300</v>
      </c>
      <c r="C23" s="1" t="n">
        <v>46048</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9745-2022</t>
        </is>
      </c>
      <c r="B24" s="1" t="n">
        <v>44618</v>
      </c>
      <c r="C24" s="1" t="n">
        <v>46048</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21612-2021</t>
        </is>
      </c>
      <c r="B25" s="1" t="n">
        <v>44321</v>
      </c>
      <c r="C25" s="1" t="n">
        <v>46048</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46048</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22830-2024</t>
        </is>
      </c>
      <c r="B27" s="1" t="n">
        <v>45448.56583333333</v>
      </c>
      <c r="C27" s="1" t="n">
        <v>46048</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8817-2025</t>
        </is>
      </c>
      <c r="B28" s="1" t="n">
        <v>45712.70987268518</v>
      </c>
      <c r="C28" s="1" t="n">
        <v>46048</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46048</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34458-2023</t>
        </is>
      </c>
      <c r="B30" s="1" t="n">
        <v>45139</v>
      </c>
      <c r="C30" s="1" t="n">
        <v>46048</v>
      </c>
      <c r="D30" t="inlineStr">
        <is>
          <t>STOCKHOLMS LÄN</t>
        </is>
      </c>
      <c r="E30" t="inlineStr">
        <is>
          <t>VALLENTUNA</t>
        </is>
      </c>
      <c r="G30" t="n">
        <v>2.5</v>
      </c>
      <c r="H30" t="n">
        <v>0</v>
      </c>
      <c r="I30" t="n">
        <v>0</v>
      </c>
      <c r="J30" t="n">
        <v>1</v>
      </c>
      <c r="K30" t="n">
        <v>0</v>
      </c>
      <c r="L30" t="n">
        <v>0</v>
      </c>
      <c r="M30" t="n">
        <v>0</v>
      </c>
      <c r="N30" t="n">
        <v>0</v>
      </c>
      <c r="O30" t="n">
        <v>1</v>
      </c>
      <c r="P30" t="n">
        <v>0</v>
      </c>
      <c r="Q30" t="n">
        <v>1</v>
      </c>
      <c r="R30" s="2" t="inlineStr">
        <is>
          <t>Motaggsvamp</t>
        </is>
      </c>
      <c r="S30">
        <f>HYPERLINK("https://klasma.github.io/Logging_0115/artfynd/A 34458-2023 artfynd.xlsx", "A 34458-2023")</f>
        <v/>
      </c>
      <c r="T30">
        <f>HYPERLINK("https://klasma.github.io/Logging_0115/kartor/A 34458-2023 karta.png", "A 34458-2023")</f>
        <v/>
      </c>
      <c r="V30">
        <f>HYPERLINK("https://klasma.github.io/Logging_0115/klagomål/A 34458-2023 FSC-klagomål.docx", "A 34458-2023")</f>
        <v/>
      </c>
      <c r="W30">
        <f>HYPERLINK("https://klasma.github.io/Logging_0115/klagomålsmail/A 34458-2023 FSC-klagomål mail.docx", "A 34458-2023")</f>
        <v/>
      </c>
      <c r="X30">
        <f>HYPERLINK("https://klasma.github.io/Logging_0115/tillsyn/A 34458-2023 tillsynsbegäran.docx", "A 34458-2023")</f>
        <v/>
      </c>
      <c r="Y30">
        <f>HYPERLINK("https://klasma.github.io/Logging_0115/tillsynsmail/A 34458-2023 tillsynsbegäran mail.docx", "A 34458-2023")</f>
        <v/>
      </c>
    </row>
    <row r="31" ht="15" customHeight="1">
      <c r="A31" t="inlineStr">
        <is>
          <t>A 21439-2025</t>
        </is>
      </c>
      <c r="B31" s="1" t="n">
        <v>45782.52939814814</v>
      </c>
      <c r="C31" s="1" t="n">
        <v>46048</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46048</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21-2022</t>
        </is>
      </c>
      <c r="B33" s="1" t="n">
        <v>44560</v>
      </c>
      <c r="C33" s="1" t="n">
        <v>46048</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34460-2023</t>
        </is>
      </c>
      <c r="B34" s="1" t="n">
        <v>45139</v>
      </c>
      <c r="C34" s="1" t="n">
        <v>46048</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46048</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7890-2023</t>
        </is>
      </c>
      <c r="B36" s="1" t="n">
        <v>44973</v>
      </c>
      <c r="C36" s="1" t="n">
        <v>46048</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17341-2025</t>
        </is>
      </c>
      <c r="B37" s="1" t="n">
        <v>45756</v>
      </c>
      <c r="C37" s="1" t="n">
        <v>46048</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54481-2025</t>
        </is>
      </c>
      <c r="B38" s="1" t="n">
        <v>45965.58837962963</v>
      </c>
      <c r="C38" s="1" t="n">
        <v>46048</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46048</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46048</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20612-2021</t>
        </is>
      </c>
      <c r="B41" s="1" t="n">
        <v>44315</v>
      </c>
      <c r="C41" s="1" t="n">
        <v>46048</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46048</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46048</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46048</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46048</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46048</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46048</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46048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46048</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46048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2867-2022</t>
        </is>
      </c>
      <c r="B52" s="1" t="n">
        <v>44581</v>
      </c>
      <c r="C52" s="1" t="n">
        <v>46048</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48078-2021</t>
        </is>
      </c>
      <c r="B53" s="1" t="n">
        <v>44449.42578703703</v>
      </c>
      <c r="C53" s="1" t="n">
        <v>46048</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46048</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46048</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46048</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52377-2021</t>
        </is>
      </c>
      <c r="B57" s="1" t="n">
        <v>44465</v>
      </c>
      <c r="C57" s="1" t="n">
        <v>46048</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46048</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46048</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46048</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14489-2024</t>
        </is>
      </c>
      <c r="B61" s="1" t="n">
        <v>45394.58053240741</v>
      </c>
      <c r="C61" s="1" t="n">
        <v>46048</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15268-2023</t>
        </is>
      </c>
      <c r="B62" s="1" t="n">
        <v>45019.41045138889</v>
      </c>
      <c r="C62" s="1" t="n">
        <v>46048</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46048</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46048</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45499-2023</t>
        </is>
      </c>
      <c r="B65" s="1" t="n">
        <v>45194</v>
      </c>
      <c r="C65" s="1" t="n">
        <v>46048</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46048</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46048</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20791-2025</t>
        </is>
      </c>
      <c r="B68" s="1" t="n">
        <v>45776.62738425926</v>
      </c>
      <c r="C68" s="1" t="n">
        <v>46048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10073-2024</t>
        </is>
      </c>
      <c r="B69" s="1" t="n">
        <v>45364.40821759259</v>
      </c>
      <c r="C69" s="1" t="n">
        <v>46048</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46048</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46048</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26390-2023</t>
        </is>
      </c>
      <c r="B72" s="1" t="n">
        <v>45086</v>
      </c>
      <c r="C72" s="1" t="n">
        <v>46048</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24994-2021</t>
        </is>
      </c>
      <c r="B73" s="1" t="n">
        <v>44341</v>
      </c>
      <c r="C73" s="1" t="n">
        <v>46048</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24068-2024</t>
        </is>
      </c>
      <c r="B74" s="1" t="n">
        <v>45456</v>
      </c>
      <c r="C74" s="1" t="n">
        <v>46048</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46048</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60997-2022</t>
        </is>
      </c>
      <c r="B76" s="1" t="n">
        <v>44914.70746527778</v>
      </c>
      <c r="C76" s="1" t="n">
        <v>46048</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46381-2023</t>
        </is>
      </c>
      <c r="B77" s="1" t="n">
        <v>45193</v>
      </c>
      <c r="C77" s="1" t="n">
        <v>46048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23009-2024</t>
        </is>
      </c>
      <c r="B78" s="1" t="n">
        <v>45450.34506944445</v>
      </c>
      <c r="C78" s="1" t="n">
        <v>46048</v>
      </c>
      <c r="D78" t="inlineStr">
        <is>
          <t>STOCKHOLMS LÄN</t>
        </is>
      </c>
      <c r="E78" t="inlineStr">
        <is>
          <t>VALLENTUNA</t>
        </is>
      </c>
      <c r="G78" t="n">
        <v>1.4</v>
      </c>
      <c r="H78" t="n">
        <v>0</v>
      </c>
      <c r="I78" t="n">
        <v>0</v>
      </c>
      <c r="J78" t="n">
        <v>0</v>
      </c>
      <c r="K78" t="n">
        <v>0</v>
      </c>
      <c r="L78" t="n">
        <v>0</v>
      </c>
      <c r="M78" t="n">
        <v>0</v>
      </c>
      <c r="N78" t="n">
        <v>0</v>
      </c>
      <c r="O78" t="n">
        <v>0</v>
      </c>
      <c r="P78" t="n">
        <v>0</v>
      </c>
      <c r="Q78" t="n">
        <v>0</v>
      </c>
      <c r="R78" s="2" t="inlineStr"/>
    </row>
    <row r="79" ht="15" customHeight="1">
      <c r="A79" t="inlineStr">
        <is>
          <t>A 61027-2023</t>
        </is>
      </c>
      <c r="B79" s="1" t="n">
        <v>45261</v>
      </c>
      <c r="C79" s="1" t="n">
        <v>46048</v>
      </c>
      <c r="D79" t="inlineStr">
        <is>
          <t>STOCKHOLMS LÄN</t>
        </is>
      </c>
      <c r="E79" t="inlineStr">
        <is>
          <t>VALLENTUNA</t>
        </is>
      </c>
      <c r="G79" t="n">
        <v>7.1</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46048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14775-2024</t>
        </is>
      </c>
      <c r="B81" s="1" t="n">
        <v>45397.73675925926</v>
      </c>
      <c r="C81" s="1" t="n">
        <v>46048</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3937-2022</t>
        </is>
      </c>
      <c r="B82" s="1" t="n">
        <v>44587</v>
      </c>
      <c r="C82" s="1" t="n">
        <v>46048</v>
      </c>
      <c r="D82" t="inlineStr">
        <is>
          <t>STOCKHOLMS LÄN</t>
        </is>
      </c>
      <c r="E82" t="inlineStr">
        <is>
          <t>VALLENTUNA</t>
        </is>
      </c>
      <c r="G82" t="n">
        <v>6.6</v>
      </c>
      <c r="H82" t="n">
        <v>0</v>
      </c>
      <c r="I82" t="n">
        <v>0</v>
      </c>
      <c r="J82" t="n">
        <v>0</v>
      </c>
      <c r="K82" t="n">
        <v>0</v>
      </c>
      <c r="L82" t="n">
        <v>0</v>
      </c>
      <c r="M82" t="n">
        <v>0</v>
      </c>
      <c r="N82" t="n">
        <v>0</v>
      </c>
      <c r="O82" t="n">
        <v>0</v>
      </c>
      <c r="P82" t="n">
        <v>0</v>
      </c>
      <c r="Q82" t="n">
        <v>0</v>
      </c>
      <c r="R82" s="2" t="inlineStr"/>
    </row>
    <row r="83" ht="15" customHeight="1">
      <c r="A83" t="inlineStr">
        <is>
          <t>A 23013-2024</t>
        </is>
      </c>
      <c r="B83" s="1" t="n">
        <v>45450.35116898148</v>
      </c>
      <c r="C83" s="1" t="n">
        <v>46048</v>
      </c>
      <c r="D83" t="inlineStr">
        <is>
          <t>STOCKHOLMS LÄN</t>
        </is>
      </c>
      <c r="E83" t="inlineStr">
        <is>
          <t>VALLENTUNA</t>
        </is>
      </c>
      <c r="G83" t="n">
        <v>0.4</v>
      </c>
      <c r="H83" t="n">
        <v>0</v>
      </c>
      <c r="I83" t="n">
        <v>0</v>
      </c>
      <c r="J83" t="n">
        <v>0</v>
      </c>
      <c r="K83" t="n">
        <v>0</v>
      </c>
      <c r="L83" t="n">
        <v>0</v>
      </c>
      <c r="M83" t="n">
        <v>0</v>
      </c>
      <c r="N83" t="n">
        <v>0</v>
      </c>
      <c r="O83" t="n">
        <v>0</v>
      </c>
      <c r="P83" t="n">
        <v>0</v>
      </c>
      <c r="Q83" t="n">
        <v>0</v>
      </c>
      <c r="R83" s="2" t="inlineStr"/>
    </row>
    <row r="84" ht="15" customHeight="1">
      <c r="A84" t="inlineStr">
        <is>
          <t>A 3078-2023</t>
        </is>
      </c>
      <c r="B84" s="1" t="n">
        <v>44946.41527777778</v>
      </c>
      <c r="C84" s="1" t="n">
        <v>46048</v>
      </c>
      <c r="D84" t="inlineStr">
        <is>
          <t>STOCKHOLMS LÄN</t>
        </is>
      </c>
      <c r="E84" t="inlineStr">
        <is>
          <t>VALLENTUNA</t>
        </is>
      </c>
      <c r="G84" t="n">
        <v>3.9</v>
      </c>
      <c r="H84" t="n">
        <v>0</v>
      </c>
      <c r="I84" t="n">
        <v>0</v>
      </c>
      <c r="J84" t="n">
        <v>0</v>
      </c>
      <c r="K84" t="n">
        <v>0</v>
      </c>
      <c r="L84" t="n">
        <v>0</v>
      </c>
      <c r="M84" t="n">
        <v>0</v>
      </c>
      <c r="N84" t="n">
        <v>0</v>
      </c>
      <c r="O84" t="n">
        <v>0</v>
      </c>
      <c r="P84" t="n">
        <v>0</v>
      </c>
      <c r="Q84" t="n">
        <v>0</v>
      </c>
      <c r="R84" s="2" t="inlineStr"/>
    </row>
    <row r="85" ht="15" customHeight="1">
      <c r="A85" t="inlineStr">
        <is>
          <t>A 8565-2025</t>
        </is>
      </c>
      <c r="B85" s="1" t="n">
        <v>45709</v>
      </c>
      <c r="C85" s="1" t="n">
        <v>46048</v>
      </c>
      <c r="D85" t="inlineStr">
        <is>
          <t>STOCKHOLMS LÄN</t>
        </is>
      </c>
      <c r="E85" t="inlineStr">
        <is>
          <t>VALLENTUNA</t>
        </is>
      </c>
      <c r="F85" t="inlineStr">
        <is>
          <t>Kommuner</t>
        </is>
      </c>
      <c r="G85" t="n">
        <v>4.2</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46048</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15300-2023</t>
        </is>
      </c>
      <c r="B87" s="1" t="n">
        <v>45019</v>
      </c>
      <c r="C87" s="1" t="n">
        <v>46048</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46048</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46048</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46048</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46048</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46048</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46048</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25984-2025</t>
        </is>
      </c>
      <c r="B94" s="1" t="n">
        <v>45804.64016203704</v>
      </c>
      <c r="C94" s="1" t="n">
        <v>46048</v>
      </c>
      <c r="D94" t="inlineStr">
        <is>
          <t>STOCKHOLMS LÄN</t>
        </is>
      </c>
      <c r="E94" t="inlineStr">
        <is>
          <t>VALLENTUNA</t>
        </is>
      </c>
      <c r="G94" t="n">
        <v>2.5</v>
      </c>
      <c r="H94" t="n">
        <v>0</v>
      </c>
      <c r="I94" t="n">
        <v>0</v>
      </c>
      <c r="J94" t="n">
        <v>0</v>
      </c>
      <c r="K94" t="n">
        <v>0</v>
      </c>
      <c r="L94" t="n">
        <v>0</v>
      </c>
      <c r="M94" t="n">
        <v>0</v>
      </c>
      <c r="N94" t="n">
        <v>0</v>
      </c>
      <c r="O94" t="n">
        <v>0</v>
      </c>
      <c r="P94" t="n">
        <v>0</v>
      </c>
      <c r="Q94" t="n">
        <v>0</v>
      </c>
      <c r="R94" s="2" t="inlineStr"/>
    </row>
    <row r="95" ht="15" customHeight="1">
      <c r="A95" t="inlineStr">
        <is>
          <t>A 9063-2024</t>
        </is>
      </c>
      <c r="B95" s="1" t="n">
        <v>45357.72652777778</v>
      </c>
      <c r="C95" s="1" t="n">
        <v>46048</v>
      </c>
      <c r="D95" t="inlineStr">
        <is>
          <t>STOCKHOLMS LÄN</t>
        </is>
      </c>
      <c r="E95" t="inlineStr">
        <is>
          <t>VALLENTUNA</t>
        </is>
      </c>
      <c r="G95" t="n">
        <v>4.1</v>
      </c>
      <c r="H95" t="n">
        <v>0</v>
      </c>
      <c r="I95" t="n">
        <v>0</v>
      </c>
      <c r="J95" t="n">
        <v>0</v>
      </c>
      <c r="K95" t="n">
        <v>0</v>
      </c>
      <c r="L95" t="n">
        <v>0</v>
      </c>
      <c r="M95" t="n">
        <v>0</v>
      </c>
      <c r="N95" t="n">
        <v>0</v>
      </c>
      <c r="O95" t="n">
        <v>0</v>
      </c>
      <c r="P95" t="n">
        <v>0</v>
      </c>
      <c r="Q95" t="n">
        <v>0</v>
      </c>
      <c r="R95" s="2" t="inlineStr"/>
    </row>
    <row r="96" ht="15" customHeight="1">
      <c r="A96" t="inlineStr">
        <is>
          <t>A 61742-2022</t>
        </is>
      </c>
      <c r="B96" s="1" t="n">
        <v>44917</v>
      </c>
      <c r="C96" s="1" t="n">
        <v>46048</v>
      </c>
      <c r="D96" t="inlineStr">
        <is>
          <t>STOCKHOLMS LÄN</t>
        </is>
      </c>
      <c r="E96" t="inlineStr">
        <is>
          <t>VALLENTUNA</t>
        </is>
      </c>
      <c r="G96" t="n">
        <v>0.5</v>
      </c>
      <c r="H96" t="n">
        <v>0</v>
      </c>
      <c r="I96" t="n">
        <v>0</v>
      </c>
      <c r="J96" t="n">
        <v>0</v>
      </c>
      <c r="K96" t="n">
        <v>0</v>
      </c>
      <c r="L96" t="n">
        <v>0</v>
      </c>
      <c r="M96" t="n">
        <v>0</v>
      </c>
      <c r="N96" t="n">
        <v>0</v>
      </c>
      <c r="O96" t="n">
        <v>0</v>
      </c>
      <c r="P96" t="n">
        <v>0</v>
      </c>
      <c r="Q96" t="n">
        <v>0</v>
      </c>
      <c r="R96" s="2" t="inlineStr"/>
    </row>
    <row r="97" ht="15" customHeight="1">
      <c r="A97" t="inlineStr">
        <is>
          <t>A 21445-2023</t>
        </is>
      </c>
      <c r="B97" s="1" t="n">
        <v>45063</v>
      </c>
      <c r="C97" s="1" t="n">
        <v>46048</v>
      </c>
      <c r="D97" t="inlineStr">
        <is>
          <t>STOCKHOLMS LÄN</t>
        </is>
      </c>
      <c r="E97" t="inlineStr">
        <is>
          <t>VALLENTUNA</t>
        </is>
      </c>
      <c r="G97" t="n">
        <v>3.1</v>
      </c>
      <c r="H97" t="n">
        <v>0</v>
      </c>
      <c r="I97" t="n">
        <v>0</v>
      </c>
      <c r="J97" t="n">
        <v>0</v>
      </c>
      <c r="K97" t="n">
        <v>0</v>
      </c>
      <c r="L97" t="n">
        <v>0</v>
      </c>
      <c r="M97" t="n">
        <v>0</v>
      </c>
      <c r="N97" t="n">
        <v>0</v>
      </c>
      <c r="O97" t="n">
        <v>0</v>
      </c>
      <c r="P97" t="n">
        <v>0</v>
      </c>
      <c r="Q97" t="n">
        <v>0</v>
      </c>
      <c r="R97" s="2" t="inlineStr"/>
    </row>
    <row r="98" ht="15" customHeight="1">
      <c r="A98" t="inlineStr">
        <is>
          <t>A 19503-2023</t>
        </is>
      </c>
      <c r="B98" s="1" t="n">
        <v>45050.47333333334</v>
      </c>
      <c r="C98" s="1" t="n">
        <v>46048</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34441-2023</t>
        </is>
      </c>
      <c r="B99" s="1" t="n">
        <v>45139</v>
      </c>
      <c r="C99" s="1" t="n">
        <v>46048</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34445-2023</t>
        </is>
      </c>
      <c r="B100" s="1" t="n">
        <v>45139</v>
      </c>
      <c r="C100" s="1" t="n">
        <v>46048</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12562-2023</t>
        </is>
      </c>
      <c r="B101" s="1" t="n">
        <v>45000</v>
      </c>
      <c r="C101" s="1" t="n">
        <v>46048</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14480-2024</t>
        </is>
      </c>
      <c r="B102" s="1" t="n">
        <v>45394.56777777777</v>
      </c>
      <c r="C102" s="1" t="n">
        <v>46048</v>
      </c>
      <c r="D102" t="inlineStr">
        <is>
          <t>STOCKHOLMS LÄN</t>
        </is>
      </c>
      <c r="E102" t="inlineStr">
        <is>
          <t>VALLENTUNA</t>
        </is>
      </c>
      <c r="G102" t="n">
        <v>1.8</v>
      </c>
      <c r="H102" t="n">
        <v>0</v>
      </c>
      <c r="I102" t="n">
        <v>0</v>
      </c>
      <c r="J102" t="n">
        <v>0</v>
      </c>
      <c r="K102" t="n">
        <v>0</v>
      </c>
      <c r="L102" t="n">
        <v>0</v>
      </c>
      <c r="M102" t="n">
        <v>0</v>
      </c>
      <c r="N102" t="n">
        <v>0</v>
      </c>
      <c r="O102" t="n">
        <v>0</v>
      </c>
      <c r="P102" t="n">
        <v>0</v>
      </c>
      <c r="Q102" t="n">
        <v>0</v>
      </c>
      <c r="R102" s="2" t="inlineStr"/>
    </row>
    <row r="103" ht="15" customHeight="1">
      <c r="A103" t="inlineStr">
        <is>
          <t>A 17340-2025</t>
        </is>
      </c>
      <c r="B103" s="1" t="n">
        <v>45756</v>
      </c>
      <c r="C103" s="1" t="n">
        <v>46048</v>
      </c>
      <c r="D103" t="inlineStr">
        <is>
          <t>STOCKHOLMS LÄN</t>
        </is>
      </c>
      <c r="E103" t="inlineStr">
        <is>
          <t>VALLENTUNA</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46048</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46048</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30913-2021</t>
        </is>
      </c>
      <c r="B106" s="1" t="n">
        <v>44365</v>
      </c>
      <c r="C106" s="1" t="n">
        <v>46048</v>
      </c>
      <c r="D106" t="inlineStr">
        <is>
          <t>STOCKHOLMS LÄN</t>
        </is>
      </c>
      <c r="E106" t="inlineStr">
        <is>
          <t>VALLENTUNA</t>
        </is>
      </c>
      <c r="F106" t="inlineStr">
        <is>
          <t>Övriga Aktiebolag</t>
        </is>
      </c>
      <c r="G106" t="n">
        <v>3.3</v>
      </c>
      <c r="H106" t="n">
        <v>0</v>
      </c>
      <c r="I106" t="n">
        <v>0</v>
      </c>
      <c r="J106" t="n">
        <v>0</v>
      </c>
      <c r="K106" t="n">
        <v>0</v>
      </c>
      <c r="L106" t="n">
        <v>0</v>
      </c>
      <c r="M106" t="n">
        <v>0</v>
      </c>
      <c r="N106" t="n">
        <v>0</v>
      </c>
      <c r="O106" t="n">
        <v>0</v>
      </c>
      <c r="P106" t="n">
        <v>0</v>
      </c>
      <c r="Q106" t="n">
        <v>0</v>
      </c>
      <c r="R106" s="2" t="inlineStr"/>
    </row>
    <row r="107" ht="15" customHeight="1">
      <c r="A107" t="inlineStr">
        <is>
          <t>A 45496-2023</t>
        </is>
      </c>
      <c r="B107" s="1" t="n">
        <v>45194</v>
      </c>
      <c r="C107" s="1" t="n">
        <v>46048</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29704-2023</t>
        </is>
      </c>
      <c r="B108" s="1" t="n">
        <v>45107</v>
      </c>
      <c r="C108" s="1" t="n">
        <v>46048</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8077-2022</t>
        </is>
      </c>
      <c r="B109" s="1" t="n">
        <v>44609</v>
      </c>
      <c r="C109" s="1" t="n">
        <v>46048</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30902-2025</t>
        </is>
      </c>
      <c r="B110" s="1" t="n">
        <v>45832.36104166666</v>
      </c>
      <c r="C110" s="1" t="n">
        <v>46048</v>
      </c>
      <c r="D110" t="inlineStr">
        <is>
          <t>STOCKHOLMS LÄN</t>
        </is>
      </c>
      <c r="E110" t="inlineStr">
        <is>
          <t>VALLENTUNA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47140-2024</t>
        </is>
      </c>
      <c r="B111" s="1" t="n">
        <v>45586.58753472222</v>
      </c>
      <c r="C111" s="1" t="n">
        <v>46048</v>
      </c>
      <c r="D111" t="inlineStr">
        <is>
          <t>STOCKHOLMS LÄN</t>
        </is>
      </c>
      <c r="E111" t="inlineStr">
        <is>
          <t>VALLENTUNA</t>
        </is>
      </c>
      <c r="G111" t="n">
        <v>1</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46048</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46048</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4803-2024</t>
        </is>
      </c>
      <c r="B114" s="1" t="n">
        <v>45328</v>
      </c>
      <c r="C114" s="1" t="n">
        <v>46048</v>
      </c>
      <c r="D114" t="inlineStr">
        <is>
          <t>STOCKHOLMS LÄN</t>
        </is>
      </c>
      <c r="E114" t="inlineStr">
        <is>
          <t>VALLENTUNA</t>
        </is>
      </c>
      <c r="G114" t="n">
        <v>4.6</v>
      </c>
      <c r="H114" t="n">
        <v>0</v>
      </c>
      <c r="I114" t="n">
        <v>0</v>
      </c>
      <c r="J114" t="n">
        <v>0</v>
      </c>
      <c r="K114" t="n">
        <v>0</v>
      </c>
      <c r="L114" t="n">
        <v>0</v>
      </c>
      <c r="M114" t="n">
        <v>0</v>
      </c>
      <c r="N114" t="n">
        <v>0</v>
      </c>
      <c r="O114" t="n">
        <v>0</v>
      </c>
      <c r="P114" t="n">
        <v>0</v>
      </c>
      <c r="Q114" t="n">
        <v>0</v>
      </c>
      <c r="R114" s="2" t="inlineStr"/>
    </row>
    <row r="115" ht="15" customHeight="1">
      <c r="A115" t="inlineStr">
        <is>
          <t>A 28431-2025</t>
        </is>
      </c>
      <c r="B115" s="1" t="n">
        <v>45819.38072916667</v>
      </c>
      <c r="C115" s="1" t="n">
        <v>46048</v>
      </c>
      <c r="D115" t="inlineStr">
        <is>
          <t>STOCKHOLMS LÄN</t>
        </is>
      </c>
      <c r="E115" t="inlineStr">
        <is>
          <t>VALLENTUNA</t>
        </is>
      </c>
      <c r="G115" t="n">
        <v>1.5</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46048</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46048</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38102-2024</t>
        </is>
      </c>
      <c r="B118" s="1" t="n">
        <v>45545.36349537037</v>
      </c>
      <c r="C118" s="1" t="n">
        <v>46048</v>
      </c>
      <c r="D118" t="inlineStr">
        <is>
          <t>STOCKHOLMS LÄN</t>
        </is>
      </c>
      <c r="E118" t="inlineStr">
        <is>
          <t>VALLENTUNA</t>
        </is>
      </c>
      <c r="G118" t="n">
        <v>3.2</v>
      </c>
      <c r="H118" t="n">
        <v>0</v>
      </c>
      <c r="I118" t="n">
        <v>0</v>
      </c>
      <c r="J118" t="n">
        <v>0</v>
      </c>
      <c r="K118" t="n">
        <v>0</v>
      </c>
      <c r="L118" t="n">
        <v>0</v>
      </c>
      <c r="M118" t="n">
        <v>0</v>
      </c>
      <c r="N118" t="n">
        <v>0</v>
      </c>
      <c r="O118" t="n">
        <v>0</v>
      </c>
      <c r="P118" t="n">
        <v>0</v>
      </c>
      <c r="Q118" t="n">
        <v>0</v>
      </c>
      <c r="R118" s="2" t="inlineStr"/>
    </row>
    <row r="119" ht="15" customHeight="1">
      <c r="A119" t="inlineStr">
        <is>
          <t>A 21765-2023</t>
        </is>
      </c>
      <c r="B119" s="1" t="n">
        <v>45064</v>
      </c>
      <c r="C119" s="1" t="n">
        <v>46048</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46048</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23986-2023</t>
        </is>
      </c>
      <c r="B121" s="1" t="n">
        <v>45078</v>
      </c>
      <c r="C121" s="1" t="n">
        <v>46048</v>
      </c>
      <c r="D121" t="inlineStr">
        <is>
          <t>STOCKHOLMS LÄN</t>
        </is>
      </c>
      <c r="E121" t="inlineStr">
        <is>
          <t>VALLENTUNA</t>
        </is>
      </c>
      <c r="F121" t="inlineStr">
        <is>
          <t>Kyrkan</t>
        </is>
      </c>
      <c r="G121" t="n">
        <v>5.7</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46048</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46048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44346-2021</t>
        </is>
      </c>
      <c r="B124" s="1" t="n">
        <v>44434</v>
      </c>
      <c r="C124" s="1" t="n">
        <v>46048</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24943-2024</t>
        </is>
      </c>
      <c r="B125" s="1" t="n">
        <v>45461.62585648148</v>
      </c>
      <c r="C125" s="1" t="n">
        <v>46048</v>
      </c>
      <c r="D125" t="inlineStr">
        <is>
          <t>STOCKHOLMS LÄN</t>
        </is>
      </c>
      <c r="E125" t="inlineStr">
        <is>
          <t>VALLENTUNA</t>
        </is>
      </c>
      <c r="G125" t="n">
        <v>2</v>
      </c>
      <c r="H125" t="n">
        <v>0</v>
      </c>
      <c r="I125" t="n">
        <v>0</v>
      </c>
      <c r="J125" t="n">
        <v>0</v>
      </c>
      <c r="K125" t="n">
        <v>0</v>
      </c>
      <c r="L125" t="n">
        <v>0</v>
      </c>
      <c r="M125" t="n">
        <v>0</v>
      </c>
      <c r="N125" t="n">
        <v>0</v>
      </c>
      <c r="O125" t="n">
        <v>0</v>
      </c>
      <c r="P125" t="n">
        <v>0</v>
      </c>
      <c r="Q125" t="n">
        <v>0</v>
      </c>
      <c r="R125" s="2" t="inlineStr"/>
    </row>
    <row r="126" ht="15" customHeight="1">
      <c r="A126" t="inlineStr">
        <is>
          <t>A 41206-2025</t>
        </is>
      </c>
      <c r="B126" s="1" t="n">
        <v>45898</v>
      </c>
      <c r="C126" s="1" t="n">
        <v>46048</v>
      </c>
      <c r="D126" t="inlineStr">
        <is>
          <t>STOCKHOLMS LÄN</t>
        </is>
      </c>
      <c r="E126" t="inlineStr">
        <is>
          <t>VALLENTUNA</t>
        </is>
      </c>
      <c r="G126" t="n">
        <v>10</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46048</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46048</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46048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46048</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44988-2025</t>
        </is>
      </c>
      <c r="B131" s="1" t="n">
        <v>45918.65505787037</v>
      </c>
      <c r="C131" s="1" t="n">
        <v>46048</v>
      </c>
      <c r="D131" t="inlineStr">
        <is>
          <t>STOCKHOLMS LÄN</t>
        </is>
      </c>
      <c r="E131" t="inlineStr">
        <is>
          <t>VALLENTUNA</t>
        </is>
      </c>
      <c r="G131" t="n">
        <v>1</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46048</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46048</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46048</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48014-2025</t>
        </is>
      </c>
      <c r="B135" s="1" t="n">
        <v>45932.64520833334</v>
      </c>
      <c r="C135" s="1" t="n">
        <v>46048</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46048</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46048</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46048</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46048</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46048</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414-2026</t>
        </is>
      </c>
      <c r="B141" s="1" t="n">
        <v>46028.76050925926</v>
      </c>
      <c r="C141" s="1" t="n">
        <v>46048</v>
      </c>
      <c r="D141" t="inlineStr">
        <is>
          <t>STOCKHOLMS LÄN</t>
        </is>
      </c>
      <c r="E141" t="inlineStr">
        <is>
          <t>VALLENTUNA</t>
        </is>
      </c>
      <c r="G141" t="n">
        <v>2.6</v>
      </c>
      <c r="H141" t="n">
        <v>0</v>
      </c>
      <c r="I141" t="n">
        <v>0</v>
      </c>
      <c r="J141" t="n">
        <v>0</v>
      </c>
      <c r="K141" t="n">
        <v>0</v>
      </c>
      <c r="L141" t="n">
        <v>0</v>
      </c>
      <c r="M141" t="n">
        <v>0</v>
      </c>
      <c r="N141" t="n">
        <v>0</v>
      </c>
      <c r="O141" t="n">
        <v>0</v>
      </c>
      <c r="P141" t="n">
        <v>0</v>
      </c>
      <c r="Q141" t="n">
        <v>0</v>
      </c>
      <c r="R141" s="2" t="inlineStr"/>
    </row>
    <row r="142" ht="15" customHeight="1">
      <c r="A142" t="inlineStr">
        <is>
          <t>A 27870-2025</t>
        </is>
      </c>
      <c r="B142" s="1" t="n">
        <v>45817</v>
      </c>
      <c r="C142" s="1" t="n">
        <v>46048</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61646-2025</t>
        </is>
      </c>
      <c r="B143" s="1" t="n">
        <v>46002</v>
      </c>
      <c r="C143" s="1" t="n">
        <v>46048</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2026-01-26T11:07:25Z</dcterms:created>
  <dcterms:modified xmlns:dcterms="http://purl.org/dc/terms/" xmlns:xsi="http://www.w3.org/2001/XMLSchema-instance" xsi:type="dcterms:W3CDTF">2026-01-26T11:07:25Z</dcterms:modified>
</cp:coreProperties>
</file>