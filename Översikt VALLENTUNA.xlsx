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45884</v>
      </c>
      <c r="D2" t="inlineStr">
        <is>
          <t>STOCKHOLMS LÄN</t>
        </is>
      </c>
      <c r="E2" t="inlineStr">
        <is>
          <t>VALLENTUNA</t>
        </is>
      </c>
      <c r="G2" t="n">
        <v>4.6</v>
      </c>
      <c r="H2" t="n">
        <v>11</v>
      </c>
      <c r="I2" t="n">
        <v>16</v>
      </c>
      <c r="J2" t="n">
        <v>14</v>
      </c>
      <c r="K2" t="n">
        <v>3</v>
      </c>
      <c r="L2" t="n">
        <v>0</v>
      </c>
      <c r="M2" t="n">
        <v>0</v>
      </c>
      <c r="N2" t="n">
        <v>0</v>
      </c>
      <c r="O2" t="n">
        <v>17</v>
      </c>
      <c r="P2" t="n">
        <v>3</v>
      </c>
      <c r="Q2" t="n">
        <v>39</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45884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45884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45884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45884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45884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45884</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45884</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45884</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45884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8500-2022</t>
        </is>
      </c>
      <c r="B12" s="1" t="n">
        <v>44613</v>
      </c>
      <c r="C12" s="1" t="n">
        <v>45884</v>
      </c>
      <c r="D12" t="inlineStr">
        <is>
          <t>STOCKHOLMS LÄN</t>
        </is>
      </c>
      <c r="E12" t="inlineStr">
        <is>
          <t>VALLENTUNA</t>
        </is>
      </c>
      <c r="G12" t="n">
        <v>5</v>
      </c>
      <c r="H12" t="n">
        <v>1</v>
      </c>
      <c r="I12" t="n">
        <v>3</v>
      </c>
      <c r="J12" t="n">
        <v>1</v>
      </c>
      <c r="K12" t="n">
        <v>0</v>
      </c>
      <c r="L12" t="n">
        <v>0</v>
      </c>
      <c r="M12" t="n">
        <v>0</v>
      </c>
      <c r="N12" t="n">
        <v>0</v>
      </c>
      <c r="O12" t="n">
        <v>1</v>
      </c>
      <c r="P12" t="n">
        <v>0</v>
      </c>
      <c r="Q12" t="n">
        <v>4</v>
      </c>
      <c r="R12" s="2" t="inlineStr">
        <is>
          <t>Spillkråka
Blåmossa
Bronshjon
Vedticka</t>
        </is>
      </c>
      <c r="S12">
        <f>HYPERLINK("https://klasma.github.io/Logging_0115/artfynd/A 8500-2022 artfynd.xlsx", "A 8500-2022")</f>
        <v/>
      </c>
      <c r="T12">
        <f>HYPERLINK("https://klasma.github.io/Logging_0115/kartor/A 8500-2022 karta.png", "A 8500-2022")</f>
        <v/>
      </c>
      <c r="U12">
        <f>HYPERLINK("https://klasma.github.io/Logging_0115/knärot/A 8500-2022 karta knärot.png", "A 8500-2022")</f>
        <v/>
      </c>
      <c r="V12">
        <f>HYPERLINK("https://klasma.github.io/Logging_0115/klagomål/A 8500-2022 FSC-klagomål.docx", "A 8500-2022")</f>
        <v/>
      </c>
      <c r="W12">
        <f>HYPERLINK("https://klasma.github.io/Logging_0115/klagomålsmail/A 8500-2022 FSC-klagomål mail.docx", "A 8500-2022")</f>
        <v/>
      </c>
      <c r="X12">
        <f>HYPERLINK("https://klasma.github.io/Logging_0115/tillsyn/A 8500-2022 tillsynsbegäran.docx", "A 8500-2022")</f>
        <v/>
      </c>
      <c r="Y12">
        <f>HYPERLINK("https://klasma.github.io/Logging_0115/tillsynsmail/A 8500-2022 tillsynsbegäran mail.docx", "A 8500-2022")</f>
        <v/>
      </c>
      <c r="Z12">
        <f>HYPERLINK("https://klasma.github.io/Logging_0115/fåglar/A 8500-2022 prioriterade fågelarter.docx", "A 8500-2022")</f>
        <v/>
      </c>
    </row>
    <row r="13" ht="15" customHeight="1">
      <c r="A13" t="inlineStr">
        <is>
          <t>A 18446-2025</t>
        </is>
      </c>
      <c r="B13" s="1" t="n">
        <v>45762</v>
      </c>
      <c r="C13" s="1" t="n">
        <v>45884</v>
      </c>
      <c r="D13" t="inlineStr">
        <is>
          <t>STOCKHOLMS LÄN</t>
        </is>
      </c>
      <c r="E13" t="inlineStr">
        <is>
          <t>VALLENTUNA</t>
        </is>
      </c>
      <c r="G13" t="n">
        <v>3.7</v>
      </c>
      <c r="H13" t="n">
        <v>2</v>
      </c>
      <c r="I13" t="n">
        <v>2</v>
      </c>
      <c r="J13" t="n">
        <v>1</v>
      </c>
      <c r="K13" t="n">
        <v>0</v>
      </c>
      <c r="L13" t="n">
        <v>0</v>
      </c>
      <c r="M13" t="n">
        <v>0</v>
      </c>
      <c r="N13" t="n">
        <v>0</v>
      </c>
      <c r="O13" t="n">
        <v>1</v>
      </c>
      <c r="P13" t="n">
        <v>0</v>
      </c>
      <c r="Q13" t="n">
        <v>4</v>
      </c>
      <c r="R13" s="2" t="inlineStr">
        <is>
          <t>Talltita
Grönpyrola
Vedticka
Blåsippa</t>
        </is>
      </c>
      <c r="S13">
        <f>HYPERLINK("https://klasma.github.io/Logging_0115/artfynd/A 18446-2025 artfynd.xlsx", "A 18446-2025")</f>
        <v/>
      </c>
      <c r="T13">
        <f>HYPERLINK("https://klasma.github.io/Logging_0115/kartor/A 18446-2025 karta.png", "A 18446-2025")</f>
        <v/>
      </c>
      <c r="V13">
        <f>HYPERLINK("https://klasma.github.io/Logging_0115/klagomål/A 18446-2025 FSC-klagomål.docx", "A 18446-2025")</f>
        <v/>
      </c>
      <c r="W13">
        <f>HYPERLINK("https://klasma.github.io/Logging_0115/klagomålsmail/A 18446-2025 FSC-klagomål mail.docx", "A 18446-2025")</f>
        <v/>
      </c>
      <c r="X13">
        <f>HYPERLINK("https://klasma.github.io/Logging_0115/tillsyn/A 18446-2025 tillsynsbegäran.docx", "A 18446-2025")</f>
        <v/>
      </c>
      <c r="Y13">
        <f>HYPERLINK("https://klasma.github.io/Logging_0115/tillsynsmail/A 18446-2025 tillsynsbegäran mail.docx", "A 18446-2025")</f>
        <v/>
      </c>
      <c r="Z13">
        <f>HYPERLINK("https://klasma.github.io/Logging_0115/fåglar/A 18446-2025 prioriterade fågelarter.docx", "A 18446-2025")</f>
        <v/>
      </c>
    </row>
    <row r="14" ht="15" customHeight="1">
      <c r="A14" t="inlineStr">
        <is>
          <t>A 37456-2023</t>
        </is>
      </c>
      <c r="B14" s="1" t="n">
        <v>45156</v>
      </c>
      <c r="C14" s="1" t="n">
        <v>45884</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9445-2022</t>
        </is>
      </c>
      <c r="B15" s="1" t="n">
        <v>44616</v>
      </c>
      <c r="C15" s="1" t="n">
        <v>45884</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60-2022</t>
        </is>
      </c>
      <c r="B16" s="1" t="n">
        <v>44560</v>
      </c>
      <c r="C16" s="1" t="n">
        <v>45884</v>
      </c>
      <c r="D16" t="inlineStr">
        <is>
          <t>STOCKHOLMS LÄN</t>
        </is>
      </c>
      <c r="E16" t="inlineStr">
        <is>
          <t>VALLENTUNA</t>
        </is>
      </c>
      <c r="F16" t="inlineStr">
        <is>
          <t>Övriga Aktiebolag</t>
        </is>
      </c>
      <c r="G16" t="n">
        <v>14.3</v>
      </c>
      <c r="H16" t="n">
        <v>0</v>
      </c>
      <c r="I16" t="n">
        <v>2</v>
      </c>
      <c r="J16" t="n">
        <v>0</v>
      </c>
      <c r="K16" t="n">
        <v>0</v>
      </c>
      <c r="L16" t="n">
        <v>0</v>
      </c>
      <c r="M16" t="n">
        <v>0</v>
      </c>
      <c r="N16" t="n">
        <v>0</v>
      </c>
      <c r="O16" t="n">
        <v>0</v>
      </c>
      <c r="P16" t="n">
        <v>0</v>
      </c>
      <c r="Q16" t="n">
        <v>2</v>
      </c>
      <c r="R16" s="2" t="inlineStr">
        <is>
          <t>Vätteros
Vårärt</t>
        </is>
      </c>
      <c r="S16">
        <f>HYPERLINK("https://klasma.github.io/Logging_0115/artfynd/A 60-2022 artfynd.xlsx", "A 60-2022")</f>
        <v/>
      </c>
      <c r="T16">
        <f>HYPERLINK("https://klasma.github.io/Logging_0115/kartor/A 60-2022 karta.png", "A 60-2022")</f>
        <v/>
      </c>
      <c r="V16">
        <f>HYPERLINK("https://klasma.github.io/Logging_0115/klagomål/A 60-2022 FSC-klagomål.docx", "A 60-2022")</f>
        <v/>
      </c>
      <c r="W16">
        <f>HYPERLINK("https://klasma.github.io/Logging_0115/klagomålsmail/A 60-2022 FSC-klagomål mail.docx", "A 60-2022")</f>
        <v/>
      </c>
      <c r="X16">
        <f>HYPERLINK("https://klasma.github.io/Logging_0115/tillsyn/A 60-2022 tillsynsbegäran.docx", "A 60-2022")</f>
        <v/>
      </c>
      <c r="Y16">
        <f>HYPERLINK("https://klasma.github.io/Logging_0115/tillsynsmail/A 60-2022 tillsynsbegäran mail.docx", "A 60-2022")</f>
        <v/>
      </c>
    </row>
    <row r="17" ht="15" customHeight="1">
      <c r="A17" t="inlineStr">
        <is>
          <t>A 70608-2021</t>
        </is>
      </c>
      <c r="B17" s="1" t="n">
        <v>44536</v>
      </c>
      <c r="C17" s="1" t="n">
        <v>45884</v>
      </c>
      <c r="D17" t="inlineStr">
        <is>
          <t>STOCKHOLMS LÄN</t>
        </is>
      </c>
      <c r="E17" t="inlineStr">
        <is>
          <t>VALLENTUNA</t>
        </is>
      </c>
      <c r="G17" t="n">
        <v>10.4</v>
      </c>
      <c r="H17" t="n">
        <v>1</v>
      </c>
      <c r="I17" t="n">
        <v>1</v>
      </c>
      <c r="J17" t="n">
        <v>1</v>
      </c>
      <c r="K17" t="n">
        <v>0</v>
      </c>
      <c r="L17" t="n">
        <v>0</v>
      </c>
      <c r="M17" t="n">
        <v>0</v>
      </c>
      <c r="N17" t="n">
        <v>0</v>
      </c>
      <c r="O17" t="n">
        <v>1</v>
      </c>
      <c r="P17" t="n">
        <v>0</v>
      </c>
      <c r="Q17" t="n">
        <v>2</v>
      </c>
      <c r="R17" s="2" t="inlineStr">
        <is>
          <t>Talltita
Tibast</t>
        </is>
      </c>
      <c r="S17">
        <f>HYPERLINK("https://klasma.github.io/Logging_0115/artfynd/A 70608-2021 artfynd.xlsx", "A 70608-2021")</f>
        <v/>
      </c>
      <c r="T17">
        <f>HYPERLINK("https://klasma.github.io/Logging_0115/kartor/A 70608-2021 karta.png", "A 70608-2021")</f>
        <v/>
      </c>
      <c r="V17">
        <f>HYPERLINK("https://klasma.github.io/Logging_0115/klagomål/A 70608-2021 FSC-klagomål.docx", "A 70608-2021")</f>
        <v/>
      </c>
      <c r="W17">
        <f>HYPERLINK("https://klasma.github.io/Logging_0115/klagomålsmail/A 70608-2021 FSC-klagomål mail.docx", "A 70608-2021")</f>
        <v/>
      </c>
      <c r="X17">
        <f>HYPERLINK("https://klasma.github.io/Logging_0115/tillsyn/A 70608-2021 tillsynsbegäran.docx", "A 70608-2021")</f>
        <v/>
      </c>
      <c r="Y17">
        <f>HYPERLINK("https://klasma.github.io/Logging_0115/tillsynsmail/A 70608-2021 tillsynsbegäran mail.docx", "A 70608-2021")</f>
        <v/>
      </c>
      <c r="Z17">
        <f>HYPERLINK("https://klasma.github.io/Logging_0115/fåglar/A 70608-2021 prioriterade fågelarter.docx", "A 70608-2021")</f>
        <v/>
      </c>
    </row>
    <row r="18" ht="15" customHeight="1">
      <c r="A18" t="inlineStr">
        <is>
          <t>A 9745-2022</t>
        </is>
      </c>
      <c r="B18" s="1" t="n">
        <v>44618</v>
      </c>
      <c r="C18" s="1" t="n">
        <v>45884</v>
      </c>
      <c r="D18" t="inlineStr">
        <is>
          <t>STOCKHOLMS LÄN</t>
        </is>
      </c>
      <c r="E18" t="inlineStr">
        <is>
          <t>VALLENTUNA</t>
        </is>
      </c>
      <c r="G18" t="n">
        <v>5.9</v>
      </c>
      <c r="H18" t="n">
        <v>1</v>
      </c>
      <c r="I18" t="n">
        <v>1</v>
      </c>
      <c r="J18" t="n">
        <v>1</v>
      </c>
      <c r="K18" t="n">
        <v>0</v>
      </c>
      <c r="L18" t="n">
        <v>0</v>
      </c>
      <c r="M18" t="n">
        <v>0</v>
      </c>
      <c r="N18" t="n">
        <v>0</v>
      </c>
      <c r="O18" t="n">
        <v>1</v>
      </c>
      <c r="P18" t="n">
        <v>0</v>
      </c>
      <c r="Q18" t="n">
        <v>2</v>
      </c>
      <c r="R18" s="2" t="inlineStr">
        <is>
          <t>Spillkråka
Björksplintborre</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41021-2023</t>
        </is>
      </c>
      <c r="B19" s="1" t="n">
        <v>45173</v>
      </c>
      <c r="C19" s="1" t="n">
        <v>45884</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45884</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45884</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8817-2025</t>
        </is>
      </c>
      <c r="B22" s="1" t="n">
        <v>45712.70987268518</v>
      </c>
      <c r="C22" s="1" t="n">
        <v>45884</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21-2022</t>
        </is>
      </c>
      <c r="B23" s="1" t="n">
        <v>44560</v>
      </c>
      <c r="C23" s="1" t="n">
        <v>45884</v>
      </c>
      <c r="D23" t="inlineStr">
        <is>
          <t>STOCKHOLMS LÄN</t>
        </is>
      </c>
      <c r="E23" t="inlineStr">
        <is>
          <t>VALLENTUNA</t>
        </is>
      </c>
      <c r="F23" t="inlineStr">
        <is>
          <t>Övriga Aktiebolag</t>
        </is>
      </c>
      <c r="G23" t="n">
        <v>3.5</v>
      </c>
      <c r="H23" t="n">
        <v>1</v>
      </c>
      <c r="I23" t="n">
        <v>0</v>
      </c>
      <c r="J23" t="n">
        <v>0</v>
      </c>
      <c r="K23" t="n">
        <v>0</v>
      </c>
      <c r="L23" t="n">
        <v>0</v>
      </c>
      <c r="M23" t="n">
        <v>0</v>
      </c>
      <c r="N23" t="n">
        <v>0</v>
      </c>
      <c r="O23" t="n">
        <v>0</v>
      </c>
      <c r="P23" t="n">
        <v>0</v>
      </c>
      <c r="Q23" t="n">
        <v>1</v>
      </c>
      <c r="R23" s="2" t="inlineStr">
        <is>
          <t>Nattviol</t>
        </is>
      </c>
      <c r="S23">
        <f>HYPERLINK("https://klasma.github.io/Logging_0115/artfynd/A 21-2022 artfynd.xlsx", "A 21-2022")</f>
        <v/>
      </c>
      <c r="T23">
        <f>HYPERLINK("https://klasma.github.io/Logging_0115/kartor/A 21-2022 karta.png", "A 21-2022")</f>
        <v/>
      </c>
      <c r="V23">
        <f>HYPERLINK("https://klasma.github.io/Logging_0115/klagomål/A 21-2022 FSC-klagomål.docx", "A 21-2022")</f>
        <v/>
      </c>
      <c r="W23">
        <f>HYPERLINK("https://klasma.github.io/Logging_0115/klagomålsmail/A 21-2022 FSC-klagomål mail.docx", "A 21-2022")</f>
        <v/>
      </c>
      <c r="X23">
        <f>HYPERLINK("https://klasma.github.io/Logging_0115/tillsyn/A 21-2022 tillsynsbegäran.docx", "A 21-2022")</f>
        <v/>
      </c>
      <c r="Y23">
        <f>HYPERLINK("https://klasma.github.io/Logging_0115/tillsynsmail/A 21-2022 tillsynsbegäran mail.docx", "A 21-2022")</f>
        <v/>
      </c>
    </row>
    <row r="24" ht="15" customHeight="1">
      <c r="A24" t="inlineStr">
        <is>
          <t>A 8946-2025</t>
        </is>
      </c>
      <c r="B24" s="1" t="n">
        <v>45712</v>
      </c>
      <c r="C24" s="1" t="n">
        <v>45884</v>
      </c>
      <c r="D24" t="inlineStr">
        <is>
          <t>STOCKHOLMS LÄN</t>
        </is>
      </c>
      <c r="E24" t="inlineStr">
        <is>
          <t>VALLENTUNA</t>
        </is>
      </c>
      <c r="G24" t="n">
        <v>4.4</v>
      </c>
      <c r="H24" t="n">
        <v>0</v>
      </c>
      <c r="I24" t="n">
        <v>0</v>
      </c>
      <c r="J24" t="n">
        <v>1</v>
      </c>
      <c r="K24" t="n">
        <v>0</v>
      </c>
      <c r="L24" t="n">
        <v>0</v>
      </c>
      <c r="M24" t="n">
        <v>0</v>
      </c>
      <c r="N24" t="n">
        <v>0</v>
      </c>
      <c r="O24" t="n">
        <v>1</v>
      </c>
      <c r="P24" t="n">
        <v>0</v>
      </c>
      <c r="Q24" t="n">
        <v>1</v>
      </c>
      <c r="R24" s="2" t="inlineStr">
        <is>
          <t>Granticka</t>
        </is>
      </c>
      <c r="S24">
        <f>HYPERLINK("https://klasma.github.io/Logging_0115/artfynd/A 8946-2025 artfynd.xlsx", "A 8946-2025")</f>
        <v/>
      </c>
      <c r="T24">
        <f>HYPERLINK("https://klasma.github.io/Logging_0115/kartor/A 8946-2025 karta.png", "A 8946-2025")</f>
        <v/>
      </c>
      <c r="V24">
        <f>HYPERLINK("https://klasma.github.io/Logging_0115/klagomål/A 8946-2025 FSC-klagomål.docx", "A 8946-2025")</f>
        <v/>
      </c>
      <c r="W24">
        <f>HYPERLINK("https://klasma.github.io/Logging_0115/klagomålsmail/A 8946-2025 FSC-klagomål mail.docx", "A 8946-2025")</f>
        <v/>
      </c>
      <c r="X24">
        <f>HYPERLINK("https://klasma.github.io/Logging_0115/tillsyn/A 8946-2025 tillsynsbegäran.docx", "A 8946-2025")</f>
        <v/>
      </c>
      <c r="Y24">
        <f>HYPERLINK("https://klasma.github.io/Logging_0115/tillsynsmail/A 8946-2025 tillsynsbegäran mail.docx", "A 8946-2025")</f>
        <v/>
      </c>
    </row>
    <row r="25" ht="15" customHeight="1">
      <c r="A25" t="inlineStr">
        <is>
          <t>A 7890-2023</t>
        </is>
      </c>
      <c r="B25" s="1" t="n">
        <v>44973</v>
      </c>
      <c r="C25" s="1" t="n">
        <v>45884</v>
      </c>
      <c r="D25" t="inlineStr">
        <is>
          <t>STOCKHOLMS LÄN</t>
        </is>
      </c>
      <c r="E25" t="inlineStr">
        <is>
          <t>VALLENTUNA</t>
        </is>
      </c>
      <c r="G25" t="n">
        <v>0.5</v>
      </c>
      <c r="H25" t="n">
        <v>0</v>
      </c>
      <c r="I25" t="n">
        <v>0</v>
      </c>
      <c r="J25" t="n">
        <v>1</v>
      </c>
      <c r="K25" t="n">
        <v>0</v>
      </c>
      <c r="L25" t="n">
        <v>0</v>
      </c>
      <c r="M25" t="n">
        <v>0</v>
      </c>
      <c r="N25" t="n">
        <v>0</v>
      </c>
      <c r="O25" t="n">
        <v>1</v>
      </c>
      <c r="P25" t="n">
        <v>0</v>
      </c>
      <c r="Q25" t="n">
        <v>1</v>
      </c>
      <c r="R25" s="2" t="inlineStr">
        <is>
          <t>Ullticka</t>
        </is>
      </c>
      <c r="S25">
        <f>HYPERLINK("https://klasma.github.io/Logging_0115/artfynd/A 7890-2023 artfynd.xlsx", "A 7890-2023")</f>
        <v/>
      </c>
      <c r="T25">
        <f>HYPERLINK("https://klasma.github.io/Logging_0115/kartor/A 7890-2023 karta.png", "A 7890-2023")</f>
        <v/>
      </c>
      <c r="V25">
        <f>HYPERLINK("https://klasma.github.io/Logging_0115/klagomål/A 7890-2023 FSC-klagomål.docx", "A 7890-2023")</f>
        <v/>
      </c>
      <c r="W25">
        <f>HYPERLINK("https://klasma.github.io/Logging_0115/klagomålsmail/A 7890-2023 FSC-klagomål mail.docx", "A 7890-2023")</f>
        <v/>
      </c>
      <c r="X25">
        <f>HYPERLINK("https://klasma.github.io/Logging_0115/tillsyn/A 7890-2023 tillsynsbegäran.docx", "A 7890-2023")</f>
        <v/>
      </c>
      <c r="Y25">
        <f>HYPERLINK("https://klasma.github.io/Logging_0115/tillsynsmail/A 7890-2023 tillsynsbegäran mail.docx", "A 7890-2023")</f>
        <v/>
      </c>
    </row>
    <row r="26" ht="15" customHeight="1">
      <c r="A26" t="inlineStr">
        <is>
          <t>A 17341-2025</t>
        </is>
      </c>
      <c r="B26" s="1" t="n">
        <v>45756</v>
      </c>
      <c r="C26" s="1" t="n">
        <v>45884</v>
      </c>
      <c r="D26" t="inlineStr">
        <is>
          <t>STOCKHOLMS LÄN</t>
        </is>
      </c>
      <c r="E26" t="inlineStr">
        <is>
          <t>VALLENTUNA</t>
        </is>
      </c>
      <c r="F26" t="inlineStr">
        <is>
          <t>Övriga Aktiebolag</t>
        </is>
      </c>
      <c r="G26" t="n">
        <v>5.2</v>
      </c>
      <c r="H26" t="n">
        <v>0</v>
      </c>
      <c r="I26" t="n">
        <v>1</v>
      </c>
      <c r="J26" t="n">
        <v>0</v>
      </c>
      <c r="K26" t="n">
        <v>0</v>
      </c>
      <c r="L26" t="n">
        <v>0</v>
      </c>
      <c r="M26" t="n">
        <v>0</v>
      </c>
      <c r="N26" t="n">
        <v>0</v>
      </c>
      <c r="O26" t="n">
        <v>0</v>
      </c>
      <c r="P26" t="n">
        <v>0</v>
      </c>
      <c r="Q26" t="n">
        <v>1</v>
      </c>
      <c r="R26" s="2" t="inlineStr">
        <is>
          <t>Björksplintborre</t>
        </is>
      </c>
      <c r="S26">
        <f>HYPERLINK("https://klasma.github.io/Logging_0115/artfynd/A 17341-2025 artfynd.xlsx", "A 17341-2025")</f>
        <v/>
      </c>
      <c r="T26">
        <f>HYPERLINK("https://klasma.github.io/Logging_0115/kartor/A 17341-2025 karta.png", "A 17341-2025")</f>
        <v/>
      </c>
      <c r="V26">
        <f>HYPERLINK("https://klasma.github.io/Logging_0115/klagomål/A 17341-2025 FSC-klagomål.docx", "A 17341-2025")</f>
        <v/>
      </c>
      <c r="W26">
        <f>HYPERLINK("https://klasma.github.io/Logging_0115/klagomålsmail/A 17341-2025 FSC-klagomål mail.docx", "A 17341-2025")</f>
        <v/>
      </c>
      <c r="X26">
        <f>HYPERLINK("https://klasma.github.io/Logging_0115/tillsyn/A 17341-2025 tillsynsbegäran.docx", "A 17341-2025")</f>
        <v/>
      </c>
      <c r="Y26">
        <f>HYPERLINK("https://klasma.github.io/Logging_0115/tillsynsmail/A 17341-2025 tillsynsbegäran mail.docx", "A 17341-2025")</f>
        <v/>
      </c>
    </row>
    <row r="27" ht="15" customHeight="1">
      <c r="A27" t="inlineStr">
        <is>
          <t>A 22830-2024</t>
        </is>
      </c>
      <c r="B27" s="1" t="n">
        <v>45448.56583333333</v>
      </c>
      <c r="C27" s="1" t="n">
        <v>45884</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14508-2024</t>
        </is>
      </c>
      <c r="B28" s="1" t="n">
        <v>45394.61583333334</v>
      </c>
      <c r="C28" s="1" t="n">
        <v>45884</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21439-2025</t>
        </is>
      </c>
      <c r="B29" s="1" t="n">
        <v>45782.52939814814</v>
      </c>
      <c r="C29" s="1" t="n">
        <v>45884</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45884</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17348-2025</t>
        </is>
      </c>
      <c r="B31" s="1" t="n">
        <v>45756</v>
      </c>
      <c r="C31" s="1" t="n">
        <v>45884</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27870-2025</t>
        </is>
      </c>
      <c r="B32" s="1" t="n">
        <v>45817</v>
      </c>
      <c r="C32" s="1" t="n">
        <v>45884</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45884</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45884</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45884</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45884</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45884</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45884</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45884</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45884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45884</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45884</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45884</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46924-2021</t>
        </is>
      </c>
      <c r="B44" s="1" t="n">
        <v>44446</v>
      </c>
      <c r="C44" s="1" t="n">
        <v>45884</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45884</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45884</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45884</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45884</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45884</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45884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45884</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45884</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45884</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34458-2023</t>
        </is>
      </c>
      <c r="B54" s="1" t="n">
        <v>45139</v>
      </c>
      <c r="C54" s="1" t="n">
        <v>45884</v>
      </c>
      <c r="D54" t="inlineStr">
        <is>
          <t>STOCKHOLMS LÄN</t>
        </is>
      </c>
      <c r="E54" t="inlineStr">
        <is>
          <t>VALLENTUNA</t>
        </is>
      </c>
      <c r="G54" t="n">
        <v>2.5</v>
      </c>
      <c r="H54" t="n">
        <v>0</v>
      </c>
      <c r="I54" t="n">
        <v>0</v>
      </c>
      <c r="J54" t="n">
        <v>0</v>
      </c>
      <c r="K54" t="n">
        <v>0</v>
      </c>
      <c r="L54" t="n">
        <v>0</v>
      </c>
      <c r="M54" t="n">
        <v>0</v>
      </c>
      <c r="N54" t="n">
        <v>0</v>
      </c>
      <c r="O54" t="n">
        <v>0</v>
      </c>
      <c r="P54" t="n">
        <v>0</v>
      </c>
      <c r="Q54" t="n">
        <v>0</v>
      </c>
      <c r="R54" s="2" t="inlineStr"/>
    </row>
    <row r="55" ht="15" customHeight="1">
      <c r="A55" t="inlineStr">
        <is>
          <t>A 24068-2024</t>
        </is>
      </c>
      <c r="B55" s="1" t="n">
        <v>45456</v>
      </c>
      <c r="C55" s="1" t="n">
        <v>45884</v>
      </c>
      <c r="D55" t="inlineStr">
        <is>
          <t>STOCKHOLMS LÄN</t>
        </is>
      </c>
      <c r="E55" t="inlineStr">
        <is>
          <t>VALLENTUNA</t>
        </is>
      </c>
      <c r="G55" t="n">
        <v>7.4</v>
      </c>
      <c r="H55" t="n">
        <v>0</v>
      </c>
      <c r="I55" t="n">
        <v>0</v>
      </c>
      <c r="J55" t="n">
        <v>0</v>
      </c>
      <c r="K55" t="n">
        <v>0</v>
      </c>
      <c r="L55" t="n">
        <v>0</v>
      </c>
      <c r="M55" t="n">
        <v>0</v>
      </c>
      <c r="N55" t="n">
        <v>0</v>
      </c>
      <c r="O55" t="n">
        <v>0</v>
      </c>
      <c r="P55" t="n">
        <v>0</v>
      </c>
      <c r="Q55" t="n">
        <v>0</v>
      </c>
      <c r="R55" s="2" t="inlineStr"/>
    </row>
    <row r="56" ht="15" customHeight="1">
      <c r="A56" t="inlineStr">
        <is>
          <t>A 7085-2022</t>
        </is>
      </c>
      <c r="B56" s="1" t="n">
        <v>44603</v>
      </c>
      <c r="C56" s="1" t="n">
        <v>45884</v>
      </c>
      <c r="D56" t="inlineStr">
        <is>
          <t>STOCKHOLMS LÄN</t>
        </is>
      </c>
      <c r="E56" t="inlineStr">
        <is>
          <t>VALLENTUNA</t>
        </is>
      </c>
      <c r="G56" t="n">
        <v>1.6</v>
      </c>
      <c r="H56" t="n">
        <v>0</v>
      </c>
      <c r="I56" t="n">
        <v>0</v>
      </c>
      <c r="J56" t="n">
        <v>0</v>
      </c>
      <c r="K56" t="n">
        <v>0</v>
      </c>
      <c r="L56" t="n">
        <v>0</v>
      </c>
      <c r="M56" t="n">
        <v>0</v>
      </c>
      <c r="N56" t="n">
        <v>0</v>
      </c>
      <c r="O56" t="n">
        <v>0</v>
      </c>
      <c r="P56" t="n">
        <v>0</v>
      </c>
      <c r="Q56" t="n">
        <v>0</v>
      </c>
      <c r="R56" s="2" t="inlineStr"/>
    </row>
    <row r="57" ht="15" customHeight="1">
      <c r="A57" t="inlineStr">
        <is>
          <t>A 15300-2023</t>
        </is>
      </c>
      <c r="B57" s="1" t="n">
        <v>45019</v>
      </c>
      <c r="C57" s="1" t="n">
        <v>45884</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3937-2022</t>
        </is>
      </c>
      <c r="B58" s="1" t="n">
        <v>44587</v>
      </c>
      <c r="C58" s="1" t="n">
        <v>45884</v>
      </c>
      <c r="D58" t="inlineStr">
        <is>
          <t>STOCKHOLMS LÄN</t>
        </is>
      </c>
      <c r="E58" t="inlineStr">
        <is>
          <t>VALLENTUNA</t>
        </is>
      </c>
      <c r="G58" t="n">
        <v>6.6</v>
      </c>
      <c r="H58" t="n">
        <v>0</v>
      </c>
      <c r="I58" t="n">
        <v>0</v>
      </c>
      <c r="J58" t="n">
        <v>0</v>
      </c>
      <c r="K58" t="n">
        <v>0</v>
      </c>
      <c r="L58" t="n">
        <v>0</v>
      </c>
      <c r="M58" t="n">
        <v>0</v>
      </c>
      <c r="N58" t="n">
        <v>0</v>
      </c>
      <c r="O58" t="n">
        <v>0</v>
      </c>
      <c r="P58" t="n">
        <v>0</v>
      </c>
      <c r="Q58" t="n">
        <v>0</v>
      </c>
      <c r="R58" s="2" t="inlineStr"/>
    </row>
    <row r="59" ht="15" customHeight="1">
      <c r="A59" t="inlineStr">
        <is>
          <t>A 23013-2024</t>
        </is>
      </c>
      <c r="B59" s="1" t="n">
        <v>45450.35116898148</v>
      </c>
      <c r="C59" s="1" t="n">
        <v>45884</v>
      </c>
      <c r="D59" t="inlineStr">
        <is>
          <t>STOCKHOLMS LÄN</t>
        </is>
      </c>
      <c r="E59" t="inlineStr">
        <is>
          <t>VALLENTUNA</t>
        </is>
      </c>
      <c r="G59" t="n">
        <v>0.4</v>
      </c>
      <c r="H59" t="n">
        <v>0</v>
      </c>
      <c r="I59" t="n">
        <v>0</v>
      </c>
      <c r="J59" t="n">
        <v>0</v>
      </c>
      <c r="K59" t="n">
        <v>0</v>
      </c>
      <c r="L59" t="n">
        <v>0</v>
      </c>
      <c r="M59" t="n">
        <v>0</v>
      </c>
      <c r="N59" t="n">
        <v>0</v>
      </c>
      <c r="O59" t="n">
        <v>0</v>
      </c>
      <c r="P59" t="n">
        <v>0</v>
      </c>
      <c r="Q59" t="n">
        <v>0</v>
      </c>
      <c r="R59" s="2" t="inlineStr"/>
    </row>
    <row r="60" ht="15" customHeight="1">
      <c r="A60" t="inlineStr">
        <is>
          <t>A 3078-2023</t>
        </is>
      </c>
      <c r="B60" s="1" t="n">
        <v>44946.41527777778</v>
      </c>
      <c r="C60" s="1" t="n">
        <v>45884</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6593-2021</t>
        </is>
      </c>
      <c r="B61" s="1" t="n">
        <v>44236</v>
      </c>
      <c r="C61" s="1" t="n">
        <v>45884</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68938-2020</t>
        </is>
      </c>
      <c r="B62" s="1" t="n">
        <v>44187</v>
      </c>
      <c r="C62" s="1" t="n">
        <v>45884</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45884</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68935-2020</t>
        </is>
      </c>
      <c r="B64" s="1" t="n">
        <v>44187</v>
      </c>
      <c r="C64" s="1" t="n">
        <v>45884</v>
      </c>
      <c r="D64" t="inlineStr">
        <is>
          <t>STOCKHOLMS LÄN</t>
        </is>
      </c>
      <c r="E64" t="inlineStr">
        <is>
          <t>VALLENTUNA</t>
        </is>
      </c>
      <c r="G64" t="n">
        <v>7.8</v>
      </c>
      <c r="H64" t="n">
        <v>0</v>
      </c>
      <c r="I64" t="n">
        <v>0</v>
      </c>
      <c r="J64" t="n">
        <v>0</v>
      </c>
      <c r="K64" t="n">
        <v>0</v>
      </c>
      <c r="L64" t="n">
        <v>0</v>
      </c>
      <c r="M64" t="n">
        <v>0</v>
      </c>
      <c r="N64" t="n">
        <v>0</v>
      </c>
      <c r="O64" t="n">
        <v>0</v>
      </c>
      <c r="P64" t="n">
        <v>0</v>
      </c>
      <c r="Q64" t="n">
        <v>0</v>
      </c>
      <c r="R64" s="2" t="inlineStr"/>
    </row>
    <row r="65" ht="15" customHeight="1">
      <c r="A65" t="inlineStr">
        <is>
          <t>A 19503-2023</t>
        </is>
      </c>
      <c r="B65" s="1" t="n">
        <v>45050.47333333334</v>
      </c>
      <c r="C65" s="1" t="n">
        <v>45884</v>
      </c>
      <c r="D65" t="inlineStr">
        <is>
          <t>STOCKHOLMS LÄN</t>
        </is>
      </c>
      <c r="E65" t="inlineStr">
        <is>
          <t>VALLENTUNA</t>
        </is>
      </c>
      <c r="G65" t="n">
        <v>0.7</v>
      </c>
      <c r="H65" t="n">
        <v>0</v>
      </c>
      <c r="I65" t="n">
        <v>0</v>
      </c>
      <c r="J65" t="n">
        <v>0</v>
      </c>
      <c r="K65" t="n">
        <v>0</v>
      </c>
      <c r="L65" t="n">
        <v>0</v>
      </c>
      <c r="M65" t="n">
        <v>0</v>
      </c>
      <c r="N65" t="n">
        <v>0</v>
      </c>
      <c r="O65" t="n">
        <v>0</v>
      </c>
      <c r="P65" t="n">
        <v>0</v>
      </c>
      <c r="Q65" t="n">
        <v>0</v>
      </c>
      <c r="R65" s="2" t="inlineStr"/>
    </row>
    <row r="66" ht="15" customHeight="1">
      <c r="A66" t="inlineStr">
        <is>
          <t>A 61655-2020</t>
        </is>
      </c>
      <c r="B66" s="1" t="n">
        <v>44158</v>
      </c>
      <c r="C66" s="1" t="n">
        <v>45884</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11840-2025</t>
        </is>
      </c>
      <c r="B67" s="1" t="n">
        <v>45728.36706018518</v>
      </c>
      <c r="C67" s="1" t="n">
        <v>45884</v>
      </c>
      <c r="D67" t="inlineStr">
        <is>
          <t>STOCKHOLMS LÄN</t>
        </is>
      </c>
      <c r="E67" t="inlineStr">
        <is>
          <t>VALLENTUNA</t>
        </is>
      </c>
      <c r="G67" t="n">
        <v>14.9</v>
      </c>
      <c r="H67" t="n">
        <v>0</v>
      </c>
      <c r="I67" t="n">
        <v>0</v>
      </c>
      <c r="J67" t="n">
        <v>0</v>
      </c>
      <c r="K67" t="n">
        <v>0</v>
      </c>
      <c r="L67" t="n">
        <v>0</v>
      </c>
      <c r="M67" t="n">
        <v>0</v>
      </c>
      <c r="N67" t="n">
        <v>0</v>
      </c>
      <c r="O67" t="n">
        <v>0</v>
      </c>
      <c r="P67" t="n">
        <v>0</v>
      </c>
      <c r="Q67" t="n">
        <v>0</v>
      </c>
      <c r="R67" s="2" t="inlineStr"/>
    </row>
    <row r="68" ht="15" customHeight="1">
      <c r="A68" t="inlineStr">
        <is>
          <t>A 17342-2025</t>
        </is>
      </c>
      <c r="B68" s="1" t="n">
        <v>45756</v>
      </c>
      <c r="C68" s="1" t="n">
        <v>45884</v>
      </c>
      <c r="D68" t="inlineStr">
        <is>
          <t>STOCKHOLMS LÄN</t>
        </is>
      </c>
      <c r="E68" t="inlineStr">
        <is>
          <t>VALLENTUNA</t>
        </is>
      </c>
      <c r="F68" t="inlineStr">
        <is>
          <t>Övriga Aktiebolag</t>
        </is>
      </c>
      <c r="G68" t="n">
        <v>3.9</v>
      </c>
      <c r="H68" t="n">
        <v>0</v>
      </c>
      <c r="I68" t="n">
        <v>0</v>
      </c>
      <c r="J68" t="n">
        <v>0</v>
      </c>
      <c r="K68" t="n">
        <v>0</v>
      </c>
      <c r="L68" t="n">
        <v>0</v>
      </c>
      <c r="M68" t="n">
        <v>0</v>
      </c>
      <c r="N68" t="n">
        <v>0</v>
      </c>
      <c r="O68" t="n">
        <v>0</v>
      </c>
      <c r="P68" t="n">
        <v>0</v>
      </c>
      <c r="Q68" t="n">
        <v>0</v>
      </c>
      <c r="R68" s="2" t="inlineStr"/>
    </row>
    <row r="69" ht="15" customHeight="1">
      <c r="A69" t="inlineStr">
        <is>
          <t>A 52989-2023</t>
        </is>
      </c>
      <c r="B69" s="1" t="n">
        <v>45226</v>
      </c>
      <c r="C69" s="1" t="n">
        <v>45884</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12562-2023</t>
        </is>
      </c>
      <c r="B70" s="1" t="n">
        <v>45000</v>
      </c>
      <c r="C70" s="1" t="n">
        <v>45884</v>
      </c>
      <c r="D70" t="inlineStr">
        <is>
          <t>STOCKHOLMS LÄN</t>
        </is>
      </c>
      <c r="E70" t="inlineStr">
        <is>
          <t>VALLENTUNA</t>
        </is>
      </c>
      <c r="G70" t="n">
        <v>2.1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45884</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21612-2021</t>
        </is>
      </c>
      <c r="B72" s="1" t="n">
        <v>44321</v>
      </c>
      <c r="C72" s="1" t="n">
        <v>45884</v>
      </c>
      <c r="D72" t="inlineStr">
        <is>
          <t>STOCKHOLMS LÄN</t>
        </is>
      </c>
      <c r="E72" t="inlineStr">
        <is>
          <t>VALLENTUNA</t>
        </is>
      </c>
      <c r="G72" t="n">
        <v>1.4</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45884</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17340-2025</t>
        </is>
      </c>
      <c r="B74" s="1" t="n">
        <v>45756</v>
      </c>
      <c r="C74" s="1" t="n">
        <v>45884</v>
      </c>
      <c r="D74" t="inlineStr">
        <is>
          <t>STOCKHOLMS LÄN</t>
        </is>
      </c>
      <c r="E74" t="inlineStr">
        <is>
          <t>VALLENTUNA</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4803-2024</t>
        </is>
      </c>
      <c r="B75" s="1" t="n">
        <v>45328</v>
      </c>
      <c r="C75" s="1" t="n">
        <v>45884</v>
      </c>
      <c r="D75" t="inlineStr">
        <is>
          <t>STOCKHOLMS LÄN</t>
        </is>
      </c>
      <c r="E75" t="inlineStr">
        <is>
          <t>VALLENTUNA</t>
        </is>
      </c>
      <c r="G75" t="n">
        <v>4.6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45884</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45496-2023</t>
        </is>
      </c>
      <c r="B77" s="1" t="n">
        <v>45194</v>
      </c>
      <c r="C77" s="1" t="n">
        <v>45884</v>
      </c>
      <c r="D77" t="inlineStr">
        <is>
          <t>STOCKHOLMS LÄN</t>
        </is>
      </c>
      <c r="E77" t="inlineStr">
        <is>
          <t>VALLENTUNA</t>
        </is>
      </c>
      <c r="G77" t="n">
        <v>1.2</v>
      </c>
      <c r="H77" t="n">
        <v>0</v>
      </c>
      <c r="I77" t="n">
        <v>0</v>
      </c>
      <c r="J77" t="n">
        <v>0</v>
      </c>
      <c r="K77" t="n">
        <v>0</v>
      </c>
      <c r="L77" t="n">
        <v>0</v>
      </c>
      <c r="M77" t="n">
        <v>0</v>
      </c>
      <c r="N77" t="n">
        <v>0</v>
      </c>
      <c r="O77" t="n">
        <v>0</v>
      </c>
      <c r="P77" t="n">
        <v>0</v>
      </c>
      <c r="Q77" t="n">
        <v>0</v>
      </c>
      <c r="R77" s="2" t="inlineStr"/>
    </row>
    <row r="78" ht="15" customHeight="1">
      <c r="A78" t="inlineStr">
        <is>
          <t>A 3698-2022</t>
        </is>
      </c>
      <c r="B78" s="1" t="n">
        <v>44586</v>
      </c>
      <c r="C78" s="1" t="n">
        <v>45884</v>
      </c>
      <c r="D78" t="inlineStr">
        <is>
          <t>STOCKHOLMS LÄN</t>
        </is>
      </c>
      <c r="E78" t="inlineStr">
        <is>
          <t>VALLENTUNA</t>
        </is>
      </c>
      <c r="G78" t="n">
        <v>2.9</v>
      </c>
      <c r="H78" t="n">
        <v>0</v>
      </c>
      <c r="I78" t="n">
        <v>0</v>
      </c>
      <c r="J78" t="n">
        <v>0</v>
      </c>
      <c r="K78" t="n">
        <v>0</v>
      </c>
      <c r="L78" t="n">
        <v>0</v>
      </c>
      <c r="M78" t="n">
        <v>0</v>
      </c>
      <c r="N78" t="n">
        <v>0</v>
      </c>
      <c r="O78" t="n">
        <v>0</v>
      </c>
      <c r="P78" t="n">
        <v>0</v>
      </c>
      <c r="Q78" t="n">
        <v>0</v>
      </c>
      <c r="R78" s="2" t="inlineStr"/>
    </row>
    <row r="79" ht="15" customHeight="1">
      <c r="A79" t="inlineStr">
        <is>
          <t>A 38102-2024</t>
        </is>
      </c>
      <c r="B79" s="1" t="n">
        <v>45545.36349537037</v>
      </c>
      <c r="C79" s="1" t="n">
        <v>45884</v>
      </c>
      <c r="D79" t="inlineStr">
        <is>
          <t>STOCKHOLMS LÄN</t>
        </is>
      </c>
      <c r="E79" t="inlineStr">
        <is>
          <t>VALLENTUNA</t>
        </is>
      </c>
      <c r="G79" t="n">
        <v>3.2</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45884</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18847-2025</t>
        </is>
      </c>
      <c r="B81" s="1" t="n">
        <v>45764</v>
      </c>
      <c r="C81" s="1" t="n">
        <v>45884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12234-2022</t>
        </is>
      </c>
      <c r="B82" s="1" t="n">
        <v>44637</v>
      </c>
      <c r="C82" s="1" t="n">
        <v>45884</v>
      </c>
      <c r="D82" t="inlineStr">
        <is>
          <t>STOCKHOLMS LÄN</t>
        </is>
      </c>
      <c r="E82" t="inlineStr">
        <is>
          <t>VALLENTUNA</t>
        </is>
      </c>
      <c r="G82" t="n">
        <v>2.4</v>
      </c>
      <c r="H82" t="n">
        <v>0</v>
      </c>
      <c r="I82" t="n">
        <v>0</v>
      </c>
      <c r="J82" t="n">
        <v>0</v>
      </c>
      <c r="K82" t="n">
        <v>0</v>
      </c>
      <c r="L82" t="n">
        <v>0</v>
      </c>
      <c r="M82" t="n">
        <v>0</v>
      </c>
      <c r="N82" t="n">
        <v>0</v>
      </c>
      <c r="O82" t="n">
        <v>0</v>
      </c>
      <c r="P82" t="n">
        <v>0</v>
      </c>
      <c r="Q82" t="n">
        <v>0</v>
      </c>
      <c r="R82" s="2" t="inlineStr"/>
    </row>
    <row r="83" ht="15" customHeight="1">
      <c r="A83" t="inlineStr">
        <is>
          <t>A 24943-2024</t>
        </is>
      </c>
      <c r="B83" s="1" t="n">
        <v>45461.62585648148</v>
      </c>
      <c r="C83" s="1" t="n">
        <v>45884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12609-2024</t>
        </is>
      </c>
      <c r="B84" s="1" t="n">
        <v>45382.8109375</v>
      </c>
      <c r="C84" s="1" t="n">
        <v>45884</v>
      </c>
      <c r="D84" t="inlineStr">
        <is>
          <t>STOCKHOLMS LÄN</t>
        </is>
      </c>
      <c r="E84" t="inlineStr">
        <is>
          <t>VALLENTUNA</t>
        </is>
      </c>
      <c r="G84" t="n">
        <v>0.9</v>
      </c>
      <c r="H84" t="n">
        <v>0</v>
      </c>
      <c r="I84" t="n">
        <v>0</v>
      </c>
      <c r="J84" t="n">
        <v>0</v>
      </c>
      <c r="K84" t="n">
        <v>0</v>
      </c>
      <c r="L84" t="n">
        <v>0</v>
      </c>
      <c r="M84" t="n">
        <v>0</v>
      </c>
      <c r="N84" t="n">
        <v>0</v>
      </c>
      <c r="O84" t="n">
        <v>0</v>
      </c>
      <c r="P84" t="n">
        <v>0</v>
      </c>
      <c r="Q84" t="n">
        <v>0</v>
      </c>
      <c r="R84" s="2" t="inlineStr"/>
    </row>
    <row r="85" ht="15" customHeight="1">
      <c r="A85" t="inlineStr">
        <is>
          <t>A 13836-2022</t>
        </is>
      </c>
      <c r="B85" s="1" t="n">
        <v>44649</v>
      </c>
      <c r="C85" s="1" t="n">
        <v>45884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45884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22683-2023</t>
        </is>
      </c>
      <c r="B87" s="1" t="n">
        <v>45071</v>
      </c>
      <c r="C87" s="1" t="n">
        <v>45884</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24707-2023</t>
        </is>
      </c>
      <c r="B88" s="1" t="n">
        <v>45084</v>
      </c>
      <c r="C88" s="1" t="n">
        <v>45884</v>
      </c>
      <c r="D88" t="inlineStr">
        <is>
          <t>STOCKHOLMS LÄN</t>
        </is>
      </c>
      <c r="E88" t="inlineStr">
        <is>
          <t>VALLENTUNA</t>
        </is>
      </c>
      <c r="G88" t="n">
        <v>1.1</v>
      </c>
      <c r="H88" t="n">
        <v>0</v>
      </c>
      <c r="I88" t="n">
        <v>0</v>
      </c>
      <c r="J88" t="n">
        <v>0</v>
      </c>
      <c r="K88" t="n">
        <v>0</v>
      </c>
      <c r="L88" t="n">
        <v>0</v>
      </c>
      <c r="M88" t="n">
        <v>0</v>
      </c>
      <c r="N88" t="n">
        <v>0</v>
      </c>
      <c r="O88" t="n">
        <v>0</v>
      </c>
      <c r="P88" t="n">
        <v>0</v>
      </c>
      <c r="Q88" t="n">
        <v>0</v>
      </c>
      <c r="R88" s="2" t="inlineStr"/>
    </row>
    <row r="89" ht="15" customHeight="1">
      <c r="A89" t="inlineStr">
        <is>
          <t>A 17411-2023</t>
        </is>
      </c>
      <c r="B89" s="1" t="n">
        <v>45035.82512731481</v>
      </c>
      <c r="C89" s="1" t="n">
        <v>45884</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62402-2022</t>
        </is>
      </c>
      <c r="B90" s="1" t="n">
        <v>44923</v>
      </c>
      <c r="C90" s="1" t="n">
        <v>45884</v>
      </c>
      <c r="D90" t="inlineStr">
        <is>
          <t>STOCKHOLMS LÄN</t>
        </is>
      </c>
      <c r="E90" t="inlineStr">
        <is>
          <t>VALLENTUNA</t>
        </is>
      </c>
      <c r="G90" t="n">
        <v>3.8</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45884</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48717-2024</t>
        </is>
      </c>
      <c r="B92" s="1" t="n">
        <v>45593</v>
      </c>
      <c r="C92" s="1" t="n">
        <v>45884</v>
      </c>
      <c r="D92" t="inlineStr">
        <is>
          <t>STOCKHOLMS LÄN</t>
        </is>
      </c>
      <c r="E92" t="inlineStr">
        <is>
          <t>VALLENTUNA</t>
        </is>
      </c>
      <c r="G92" t="n">
        <v>6.2</v>
      </c>
      <c r="H92" t="n">
        <v>0</v>
      </c>
      <c r="I92" t="n">
        <v>0</v>
      </c>
      <c r="J92" t="n">
        <v>0</v>
      </c>
      <c r="K92" t="n">
        <v>0</v>
      </c>
      <c r="L92" t="n">
        <v>0</v>
      </c>
      <c r="M92" t="n">
        <v>0</v>
      </c>
      <c r="N92" t="n">
        <v>0</v>
      </c>
      <c r="O92" t="n">
        <v>0</v>
      </c>
      <c r="P92" t="n">
        <v>0</v>
      </c>
      <c r="Q92" t="n">
        <v>0</v>
      </c>
      <c r="R92" s="2" t="inlineStr"/>
    </row>
    <row r="93" ht="15" customHeight="1">
      <c r="A93" t="inlineStr">
        <is>
          <t>A 1385-2024</t>
        </is>
      </c>
      <c r="B93" s="1" t="n">
        <v>45303</v>
      </c>
      <c r="C93" s="1" t="n">
        <v>45884</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24994-2021</t>
        </is>
      </c>
      <c r="B94" s="1" t="n">
        <v>44341</v>
      </c>
      <c r="C94" s="1" t="n">
        <v>45884</v>
      </c>
      <c r="D94" t="inlineStr">
        <is>
          <t>STOCKHOLMS LÄN</t>
        </is>
      </c>
      <c r="E94" t="inlineStr">
        <is>
          <t>VALLENTUNA</t>
        </is>
      </c>
      <c r="G94" t="n">
        <v>2.6</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45884</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60795-2023</t>
        </is>
      </c>
      <c r="B96" s="1" t="n">
        <v>45260</v>
      </c>
      <c r="C96" s="1" t="n">
        <v>45884</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60997-2022</t>
        </is>
      </c>
      <c r="B97" s="1" t="n">
        <v>44914.70746527778</v>
      </c>
      <c r="C97" s="1" t="n">
        <v>45884</v>
      </c>
      <c r="D97" t="inlineStr">
        <is>
          <t>STOCKHOLMS LÄN</t>
        </is>
      </c>
      <c r="E97" t="inlineStr">
        <is>
          <t>VALLENTUNA</t>
        </is>
      </c>
      <c r="G97" t="n">
        <v>1.8</v>
      </c>
      <c r="H97" t="n">
        <v>0</v>
      </c>
      <c r="I97" t="n">
        <v>0</v>
      </c>
      <c r="J97" t="n">
        <v>0</v>
      </c>
      <c r="K97" t="n">
        <v>0</v>
      </c>
      <c r="L97" t="n">
        <v>0</v>
      </c>
      <c r="M97" t="n">
        <v>0</v>
      </c>
      <c r="N97" t="n">
        <v>0</v>
      </c>
      <c r="O97" t="n">
        <v>0</v>
      </c>
      <c r="P97" t="n">
        <v>0</v>
      </c>
      <c r="Q97" t="n">
        <v>0</v>
      </c>
      <c r="R97" s="2" t="inlineStr"/>
    </row>
    <row r="98" ht="15" customHeight="1">
      <c r="A98" t="inlineStr">
        <is>
          <t>A 7264-2022</t>
        </is>
      </c>
      <c r="B98" s="1" t="n">
        <v>44606</v>
      </c>
      <c r="C98" s="1" t="n">
        <v>45884</v>
      </c>
      <c r="D98" t="inlineStr">
        <is>
          <t>STOCKHOLMS LÄN</t>
        </is>
      </c>
      <c r="E98" t="inlineStr">
        <is>
          <t>VALLENTUNA</t>
        </is>
      </c>
      <c r="G98" t="n">
        <v>2.4</v>
      </c>
      <c r="H98" t="n">
        <v>0</v>
      </c>
      <c r="I98" t="n">
        <v>0</v>
      </c>
      <c r="J98" t="n">
        <v>0</v>
      </c>
      <c r="K98" t="n">
        <v>0</v>
      </c>
      <c r="L98" t="n">
        <v>0</v>
      </c>
      <c r="M98" t="n">
        <v>0</v>
      </c>
      <c r="N98" t="n">
        <v>0</v>
      </c>
      <c r="O98" t="n">
        <v>0</v>
      </c>
      <c r="P98" t="n">
        <v>0</v>
      </c>
      <c r="Q98" t="n">
        <v>0</v>
      </c>
      <c r="R98" s="2" t="inlineStr"/>
    </row>
    <row r="99" ht="15" customHeight="1">
      <c r="A99" t="inlineStr">
        <is>
          <t>A 14775-2024</t>
        </is>
      </c>
      <c r="B99" s="1" t="n">
        <v>45397.73675925926</v>
      </c>
      <c r="C99" s="1" t="n">
        <v>45884</v>
      </c>
      <c r="D99" t="inlineStr">
        <is>
          <t>STOCKHOLMS LÄN</t>
        </is>
      </c>
      <c r="E99" t="inlineStr">
        <is>
          <t>VALLENTUNA</t>
        </is>
      </c>
      <c r="G99" t="n">
        <v>1.7</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45884</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20236-2025</t>
        </is>
      </c>
      <c r="B101" s="1" t="n">
        <v>45772.67444444444</v>
      </c>
      <c r="C101" s="1" t="n">
        <v>45884</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18832-2025</t>
        </is>
      </c>
      <c r="B102" s="1" t="n">
        <v>45764</v>
      </c>
      <c r="C102" s="1" t="n">
        <v>45884</v>
      </c>
      <c r="D102" t="inlineStr">
        <is>
          <t>STOCKHOLMS LÄN</t>
        </is>
      </c>
      <c r="E102" t="inlineStr">
        <is>
          <t>VALLENTUNA</t>
        </is>
      </c>
      <c r="G102" t="n">
        <v>2.7</v>
      </c>
      <c r="H102" t="n">
        <v>0</v>
      </c>
      <c r="I102" t="n">
        <v>0</v>
      </c>
      <c r="J102" t="n">
        <v>0</v>
      </c>
      <c r="K102" t="n">
        <v>0</v>
      </c>
      <c r="L102" t="n">
        <v>0</v>
      </c>
      <c r="M102" t="n">
        <v>0</v>
      </c>
      <c r="N102" t="n">
        <v>0</v>
      </c>
      <c r="O102" t="n">
        <v>0</v>
      </c>
      <c r="P102" t="n">
        <v>0</v>
      </c>
      <c r="Q102" t="n">
        <v>0</v>
      </c>
      <c r="R102" s="2" t="inlineStr"/>
    </row>
    <row r="103" ht="15" customHeight="1">
      <c r="A103" t="inlineStr">
        <is>
          <t>A 8787-2024</t>
        </is>
      </c>
      <c r="B103" s="1" t="n">
        <v>45356</v>
      </c>
      <c r="C103" s="1" t="n">
        <v>45884</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14782-2024</t>
        </is>
      </c>
      <c r="B104" s="1" t="n">
        <v>45397.74266203704</v>
      </c>
      <c r="C104" s="1" t="n">
        <v>45884</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19356-2025</t>
        </is>
      </c>
      <c r="B105" s="1" t="n">
        <v>45769.62061342593</v>
      </c>
      <c r="C105" s="1" t="n">
        <v>45884</v>
      </c>
      <c r="D105" t="inlineStr">
        <is>
          <t>STOCKHOLMS LÄN</t>
        </is>
      </c>
      <c r="E105" t="inlineStr">
        <is>
          <t>VALLENTUNA</t>
        </is>
      </c>
      <c r="F105" t="inlineStr">
        <is>
          <t>Övriga Aktiebolag</t>
        </is>
      </c>
      <c r="G105" t="n">
        <v>1.6</v>
      </c>
      <c r="H105" t="n">
        <v>0</v>
      </c>
      <c r="I105" t="n">
        <v>0</v>
      </c>
      <c r="J105" t="n">
        <v>0</v>
      </c>
      <c r="K105" t="n">
        <v>0</v>
      </c>
      <c r="L105" t="n">
        <v>0</v>
      </c>
      <c r="M105" t="n">
        <v>0</v>
      </c>
      <c r="N105" t="n">
        <v>0</v>
      </c>
      <c r="O105" t="n">
        <v>0</v>
      </c>
      <c r="P105" t="n">
        <v>0</v>
      </c>
      <c r="Q105" t="n">
        <v>0</v>
      </c>
      <c r="R105" s="2" t="inlineStr"/>
    </row>
    <row r="106" ht="15" customHeight="1">
      <c r="A106" t="inlineStr">
        <is>
          <t>A 52562-2023</t>
        </is>
      </c>
      <c r="B106" s="1" t="n">
        <v>45225</v>
      </c>
      <c r="C106" s="1" t="n">
        <v>45884</v>
      </c>
      <c r="D106" t="inlineStr">
        <is>
          <t>STOCKHOLMS LÄN</t>
        </is>
      </c>
      <c r="E106" t="inlineStr">
        <is>
          <t>VALLENTUNA</t>
        </is>
      </c>
      <c r="G106" t="n">
        <v>3.4</v>
      </c>
      <c r="H106" t="n">
        <v>0</v>
      </c>
      <c r="I106" t="n">
        <v>0</v>
      </c>
      <c r="J106" t="n">
        <v>0</v>
      </c>
      <c r="K106" t="n">
        <v>0</v>
      </c>
      <c r="L106" t="n">
        <v>0</v>
      </c>
      <c r="M106" t="n">
        <v>0</v>
      </c>
      <c r="N106" t="n">
        <v>0</v>
      </c>
      <c r="O106" t="n">
        <v>0</v>
      </c>
      <c r="P106" t="n">
        <v>0</v>
      </c>
      <c r="Q106" t="n">
        <v>0</v>
      </c>
      <c r="R106" s="2" t="inlineStr"/>
    </row>
    <row r="107" ht="15" customHeight="1">
      <c r="A107" t="inlineStr">
        <is>
          <t>A 49530-2023</t>
        </is>
      </c>
      <c r="B107" s="1" t="n">
        <v>45205</v>
      </c>
      <c r="C107" s="1" t="n">
        <v>45884</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11950-2025</t>
        </is>
      </c>
      <c r="B108" s="1" t="n">
        <v>45728.55622685186</v>
      </c>
      <c r="C108" s="1" t="n">
        <v>45884</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52542-2023</t>
        </is>
      </c>
      <c r="B109" s="1" t="n">
        <v>45225</v>
      </c>
      <c r="C109" s="1" t="n">
        <v>45884</v>
      </c>
      <c r="D109" t="inlineStr">
        <is>
          <t>STOCKHOLMS LÄN</t>
        </is>
      </c>
      <c r="E109" t="inlineStr">
        <is>
          <t>VALLENTUNA</t>
        </is>
      </c>
      <c r="G109" t="n">
        <v>3.8</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45884</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14489-2024</t>
        </is>
      </c>
      <c r="B111" s="1" t="n">
        <v>45394.58053240741</v>
      </c>
      <c r="C111" s="1" t="n">
        <v>45884</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15268-2023</t>
        </is>
      </c>
      <c r="B112" s="1" t="n">
        <v>45019.41045138889</v>
      </c>
      <c r="C112" s="1" t="n">
        <v>45884</v>
      </c>
      <c r="D112" t="inlineStr">
        <is>
          <t>STOCKHOLMS LÄN</t>
        </is>
      </c>
      <c r="E112" t="inlineStr">
        <is>
          <t>VALLENTUNA</t>
        </is>
      </c>
      <c r="G112" t="n">
        <v>2.2</v>
      </c>
      <c r="H112" t="n">
        <v>0</v>
      </c>
      <c r="I112" t="n">
        <v>0</v>
      </c>
      <c r="J112" t="n">
        <v>0</v>
      </c>
      <c r="K112" t="n">
        <v>0</v>
      </c>
      <c r="L112" t="n">
        <v>0</v>
      </c>
      <c r="M112" t="n">
        <v>0</v>
      </c>
      <c r="N112" t="n">
        <v>0</v>
      </c>
      <c r="O112" t="n">
        <v>0</v>
      </c>
      <c r="P112" t="n">
        <v>0</v>
      </c>
      <c r="Q112" t="n">
        <v>0</v>
      </c>
      <c r="R112" s="2" t="inlineStr"/>
    </row>
    <row r="113" ht="15" customHeight="1">
      <c r="A113" t="inlineStr">
        <is>
          <t>A 61442-2024</t>
        </is>
      </c>
      <c r="B113" s="1" t="n">
        <v>45646.47003472222</v>
      </c>
      <c r="C113" s="1" t="n">
        <v>45884</v>
      </c>
      <c r="D113" t="inlineStr">
        <is>
          <t>STOCKHOLMS LÄN</t>
        </is>
      </c>
      <c r="E113" t="inlineStr">
        <is>
          <t>VALLENTUNA</t>
        </is>
      </c>
      <c r="G113" t="n">
        <v>4.6</v>
      </c>
      <c r="H113" t="n">
        <v>0</v>
      </c>
      <c r="I113" t="n">
        <v>0</v>
      </c>
      <c r="J113" t="n">
        <v>0</v>
      </c>
      <c r="K113" t="n">
        <v>0</v>
      </c>
      <c r="L113" t="n">
        <v>0</v>
      </c>
      <c r="M113" t="n">
        <v>0</v>
      </c>
      <c r="N113" t="n">
        <v>0</v>
      </c>
      <c r="O113" t="n">
        <v>0</v>
      </c>
      <c r="P113" t="n">
        <v>0</v>
      </c>
      <c r="Q113" t="n">
        <v>0</v>
      </c>
      <c r="R113" s="2" t="inlineStr"/>
    </row>
    <row r="114" ht="15" customHeight="1">
      <c r="A114" t="inlineStr">
        <is>
          <t>A 48068-2021</t>
        </is>
      </c>
      <c r="B114" s="1" t="n">
        <v>44449.42270833333</v>
      </c>
      <c r="C114" s="1" t="n">
        <v>45884</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45499-2023</t>
        </is>
      </c>
      <c r="B115" s="1" t="n">
        <v>45194</v>
      </c>
      <c r="C115" s="1" t="n">
        <v>45884</v>
      </c>
      <c r="D115" t="inlineStr">
        <is>
          <t>STOCKHOLMS LÄN</t>
        </is>
      </c>
      <c r="E115" t="inlineStr">
        <is>
          <t>VALLENTUNA</t>
        </is>
      </c>
      <c r="G115" t="n">
        <v>2.5</v>
      </c>
      <c r="H115" t="n">
        <v>0</v>
      </c>
      <c r="I115" t="n">
        <v>0</v>
      </c>
      <c r="J115" t="n">
        <v>0</v>
      </c>
      <c r="K115" t="n">
        <v>0</v>
      </c>
      <c r="L115" t="n">
        <v>0</v>
      </c>
      <c r="M115" t="n">
        <v>0</v>
      </c>
      <c r="N115" t="n">
        <v>0</v>
      </c>
      <c r="O115" t="n">
        <v>0</v>
      </c>
      <c r="P115" t="n">
        <v>0</v>
      </c>
      <c r="Q115" t="n">
        <v>0</v>
      </c>
      <c r="R115" s="2" t="inlineStr"/>
    </row>
    <row r="116" ht="15" customHeight="1">
      <c r="A116" t="inlineStr">
        <is>
          <t>A 9063-2024</t>
        </is>
      </c>
      <c r="B116" s="1" t="n">
        <v>45357.72652777778</v>
      </c>
      <c r="C116" s="1" t="n">
        <v>45884</v>
      </c>
      <c r="D116" t="inlineStr">
        <is>
          <t>STOCKHOLMS LÄN</t>
        </is>
      </c>
      <c r="E116" t="inlineStr">
        <is>
          <t>VALLENTUNA</t>
        </is>
      </c>
      <c r="G116" t="n">
        <v>4.1</v>
      </c>
      <c r="H116" t="n">
        <v>0</v>
      </c>
      <c r="I116" t="n">
        <v>0</v>
      </c>
      <c r="J116" t="n">
        <v>0</v>
      </c>
      <c r="K116" t="n">
        <v>0</v>
      </c>
      <c r="L116" t="n">
        <v>0</v>
      </c>
      <c r="M116" t="n">
        <v>0</v>
      </c>
      <c r="N116" t="n">
        <v>0</v>
      </c>
      <c r="O116" t="n">
        <v>0</v>
      </c>
      <c r="P116" t="n">
        <v>0</v>
      </c>
      <c r="Q116" t="n">
        <v>0</v>
      </c>
      <c r="R116" s="2" t="inlineStr"/>
    </row>
    <row r="117" ht="15" customHeight="1">
      <c r="A117" t="inlineStr">
        <is>
          <t>A 47204-2024</t>
        </is>
      </c>
      <c r="B117" s="1" t="n">
        <v>45586.63575231482</v>
      </c>
      <c r="C117" s="1" t="n">
        <v>45884</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20786-2025</t>
        </is>
      </c>
      <c r="B118" s="1" t="n">
        <v>45776.62273148148</v>
      </c>
      <c r="C118" s="1" t="n">
        <v>45884</v>
      </c>
      <c r="D118" t="inlineStr">
        <is>
          <t>STOCKHOLMS LÄN</t>
        </is>
      </c>
      <c r="E118" t="inlineStr">
        <is>
          <t>VALLENTUNA</t>
        </is>
      </c>
      <c r="G118" t="n">
        <v>7.6</v>
      </c>
      <c r="H118" t="n">
        <v>0</v>
      </c>
      <c r="I118" t="n">
        <v>0</v>
      </c>
      <c r="J118" t="n">
        <v>0</v>
      </c>
      <c r="K118" t="n">
        <v>0</v>
      </c>
      <c r="L118" t="n">
        <v>0</v>
      </c>
      <c r="M118" t="n">
        <v>0</v>
      </c>
      <c r="N118" t="n">
        <v>0</v>
      </c>
      <c r="O118" t="n">
        <v>0</v>
      </c>
      <c r="P118" t="n">
        <v>0</v>
      </c>
      <c r="Q118" t="n">
        <v>0</v>
      </c>
      <c r="R118" s="2" t="inlineStr"/>
    </row>
    <row r="119" ht="15" customHeight="1">
      <c r="A119" t="inlineStr">
        <is>
          <t>A 34452-2021</t>
        </is>
      </c>
      <c r="B119" s="1" t="n">
        <v>44381</v>
      </c>
      <c r="C119" s="1" t="n">
        <v>45884</v>
      </c>
      <c r="D119" t="inlineStr">
        <is>
          <t>STOCKHOLMS LÄN</t>
        </is>
      </c>
      <c r="E119" t="inlineStr">
        <is>
          <t>VALLENTUNA</t>
        </is>
      </c>
      <c r="G119" t="n">
        <v>14.7</v>
      </c>
      <c r="H119" t="n">
        <v>0</v>
      </c>
      <c r="I119" t="n">
        <v>0</v>
      </c>
      <c r="J119" t="n">
        <v>0</v>
      </c>
      <c r="K119" t="n">
        <v>0</v>
      </c>
      <c r="L119" t="n">
        <v>0</v>
      </c>
      <c r="M119" t="n">
        <v>0</v>
      </c>
      <c r="N119" t="n">
        <v>0</v>
      </c>
      <c r="O119" t="n">
        <v>0</v>
      </c>
      <c r="P119" t="n">
        <v>0</v>
      </c>
      <c r="Q119" t="n">
        <v>0</v>
      </c>
      <c r="R119" s="2" t="inlineStr"/>
    </row>
    <row r="120" ht="15" customHeight="1">
      <c r="A120" t="inlineStr">
        <is>
          <t>A 20791-2025</t>
        </is>
      </c>
      <c r="B120" s="1" t="n">
        <v>45776.62738425926</v>
      </c>
      <c r="C120" s="1" t="n">
        <v>45884</v>
      </c>
      <c r="D120" t="inlineStr">
        <is>
          <t>STOCKHOLMS LÄN</t>
        </is>
      </c>
      <c r="E120" t="inlineStr">
        <is>
          <t>VALLENTUNA</t>
        </is>
      </c>
      <c r="G120" t="n">
        <v>1.5</v>
      </c>
      <c r="H120" t="n">
        <v>0</v>
      </c>
      <c r="I120" t="n">
        <v>0</v>
      </c>
      <c r="J120" t="n">
        <v>0</v>
      </c>
      <c r="K120" t="n">
        <v>0</v>
      </c>
      <c r="L120" t="n">
        <v>0</v>
      </c>
      <c r="M120" t="n">
        <v>0</v>
      </c>
      <c r="N120" t="n">
        <v>0</v>
      </c>
      <c r="O120" t="n">
        <v>0</v>
      </c>
      <c r="P120" t="n">
        <v>0</v>
      </c>
      <c r="Q120" t="n">
        <v>0</v>
      </c>
      <c r="R120" s="2" t="inlineStr"/>
    </row>
    <row r="121" ht="15" customHeight="1">
      <c r="A121" t="inlineStr">
        <is>
          <t>A 10073-2024</t>
        </is>
      </c>
      <c r="B121" s="1" t="n">
        <v>45364.40821759259</v>
      </c>
      <c r="C121" s="1" t="n">
        <v>45884</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21445-2023</t>
        </is>
      </c>
      <c r="B122" s="1" t="n">
        <v>45063</v>
      </c>
      <c r="C122" s="1" t="n">
        <v>45884</v>
      </c>
      <c r="D122" t="inlineStr">
        <is>
          <t>STOCKHOLMS LÄN</t>
        </is>
      </c>
      <c r="E122" t="inlineStr">
        <is>
          <t>VALLENTUNA</t>
        </is>
      </c>
      <c r="G122" t="n">
        <v>3.1</v>
      </c>
      <c r="H122" t="n">
        <v>0</v>
      </c>
      <c r="I122" t="n">
        <v>0</v>
      </c>
      <c r="J122" t="n">
        <v>0</v>
      </c>
      <c r="K122" t="n">
        <v>0</v>
      </c>
      <c r="L122" t="n">
        <v>0</v>
      </c>
      <c r="M122" t="n">
        <v>0</v>
      </c>
      <c r="N122" t="n">
        <v>0</v>
      </c>
      <c r="O122" t="n">
        <v>0</v>
      </c>
      <c r="P122" t="n">
        <v>0</v>
      </c>
      <c r="Q122" t="n">
        <v>0</v>
      </c>
      <c r="R122" s="2" t="inlineStr"/>
    </row>
    <row r="123" ht="15" customHeight="1">
      <c r="A123" t="inlineStr">
        <is>
          <t>A 12621-2024</t>
        </is>
      </c>
      <c r="B123" s="1" t="n">
        <v>45383.6325</v>
      </c>
      <c r="C123" s="1" t="n">
        <v>45884</v>
      </c>
      <c r="D123" t="inlineStr">
        <is>
          <t>STOCKHOLMS LÄN</t>
        </is>
      </c>
      <c r="E123" t="inlineStr">
        <is>
          <t>VALLENTUNA</t>
        </is>
      </c>
      <c r="G123" t="n">
        <v>4.4</v>
      </c>
      <c r="H123" t="n">
        <v>0</v>
      </c>
      <c r="I123" t="n">
        <v>0</v>
      </c>
      <c r="J123" t="n">
        <v>0</v>
      </c>
      <c r="K123" t="n">
        <v>0</v>
      </c>
      <c r="L123" t="n">
        <v>0</v>
      </c>
      <c r="M123" t="n">
        <v>0</v>
      </c>
      <c r="N123" t="n">
        <v>0</v>
      </c>
      <c r="O123" t="n">
        <v>0</v>
      </c>
      <c r="P123" t="n">
        <v>0</v>
      </c>
      <c r="Q123" t="n">
        <v>0</v>
      </c>
      <c r="R123" s="2" t="inlineStr"/>
    </row>
    <row r="124" ht="15" customHeight="1">
      <c r="A124" t="inlineStr">
        <is>
          <t>A 20789-2025</t>
        </is>
      </c>
      <c r="B124" s="1" t="n">
        <v>45776.62518518518</v>
      </c>
      <c r="C124" s="1" t="n">
        <v>45884</v>
      </c>
      <c r="D124" t="inlineStr">
        <is>
          <t>STOCKHOLMS LÄN</t>
        </is>
      </c>
      <c r="E124" t="inlineStr">
        <is>
          <t>VALLENTUNA</t>
        </is>
      </c>
      <c r="G124" t="n">
        <v>1</v>
      </c>
      <c r="H124" t="n">
        <v>0</v>
      </c>
      <c r="I124" t="n">
        <v>0</v>
      </c>
      <c r="J124" t="n">
        <v>0</v>
      </c>
      <c r="K124" t="n">
        <v>0</v>
      </c>
      <c r="L124" t="n">
        <v>0</v>
      </c>
      <c r="M124" t="n">
        <v>0</v>
      </c>
      <c r="N124" t="n">
        <v>0</v>
      </c>
      <c r="O124" t="n">
        <v>0</v>
      </c>
      <c r="P124" t="n">
        <v>0</v>
      </c>
      <c r="Q124" t="n">
        <v>0</v>
      </c>
      <c r="R124" s="2" t="inlineStr"/>
    </row>
    <row r="125" ht="15" customHeight="1">
      <c r="A125" t="inlineStr">
        <is>
          <t>A 14485-2024</t>
        </is>
      </c>
      <c r="B125" s="1" t="n">
        <v>45394.57304398148</v>
      </c>
      <c r="C125" s="1" t="n">
        <v>45884</v>
      </c>
      <c r="D125" t="inlineStr">
        <is>
          <t>STOCKHOLMS LÄN</t>
        </is>
      </c>
      <c r="E125" t="inlineStr">
        <is>
          <t>VALLENTUNA</t>
        </is>
      </c>
      <c r="G125" t="n">
        <v>5.1</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45884</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45884</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34460-2023</t>
        </is>
      </c>
      <c r="B128" s="1" t="n">
        <v>45139</v>
      </c>
      <c r="C128" s="1" t="n">
        <v>45884</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735-2024</t>
        </is>
      </c>
      <c r="B129" s="1" t="n">
        <v>45300</v>
      </c>
      <c r="C129" s="1" t="n">
        <v>45884</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12585-2023</t>
        </is>
      </c>
      <c r="B130" s="1" t="n">
        <v>45000.41373842592</v>
      </c>
      <c r="C130" s="1" t="n">
        <v>45884</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46381-2023</t>
        </is>
      </c>
      <c r="B131" s="1" t="n">
        <v>45193</v>
      </c>
      <c r="C131" s="1" t="n">
        <v>45884</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23009-2024</t>
        </is>
      </c>
      <c r="B132" s="1" t="n">
        <v>45450.34506944445</v>
      </c>
      <c r="C132" s="1" t="n">
        <v>45884</v>
      </c>
      <c r="D132" t="inlineStr">
        <is>
          <t>STOCKHOLMS LÄN</t>
        </is>
      </c>
      <c r="E132" t="inlineStr">
        <is>
          <t>VALLENTUNA</t>
        </is>
      </c>
      <c r="G132" t="n">
        <v>1.4</v>
      </c>
      <c r="H132" t="n">
        <v>0</v>
      </c>
      <c r="I132" t="n">
        <v>0</v>
      </c>
      <c r="J132" t="n">
        <v>0</v>
      </c>
      <c r="K132" t="n">
        <v>0</v>
      </c>
      <c r="L132" t="n">
        <v>0</v>
      </c>
      <c r="M132" t="n">
        <v>0</v>
      </c>
      <c r="N132" t="n">
        <v>0</v>
      </c>
      <c r="O132" t="n">
        <v>0</v>
      </c>
      <c r="P132" t="n">
        <v>0</v>
      </c>
      <c r="Q132" t="n">
        <v>0</v>
      </c>
      <c r="R132" s="2" t="inlineStr"/>
    </row>
    <row r="133" ht="15" customHeight="1">
      <c r="A133" t="inlineStr">
        <is>
          <t>A 61027-2023</t>
        </is>
      </c>
      <c r="B133" s="1" t="n">
        <v>45261</v>
      </c>
      <c r="C133" s="1" t="n">
        <v>45884</v>
      </c>
      <c r="D133" t="inlineStr">
        <is>
          <t>STOCKHOLMS LÄN</t>
        </is>
      </c>
      <c r="E133" t="inlineStr">
        <is>
          <t>VALLENTUNA</t>
        </is>
      </c>
      <c r="G133" t="n">
        <v>7.1</v>
      </c>
      <c r="H133" t="n">
        <v>0</v>
      </c>
      <c r="I133" t="n">
        <v>0</v>
      </c>
      <c r="J133" t="n">
        <v>0</v>
      </c>
      <c r="K133" t="n">
        <v>0</v>
      </c>
      <c r="L133" t="n">
        <v>0</v>
      </c>
      <c r="M133" t="n">
        <v>0</v>
      </c>
      <c r="N133" t="n">
        <v>0</v>
      </c>
      <c r="O133" t="n">
        <v>0</v>
      </c>
      <c r="P133" t="n">
        <v>0</v>
      </c>
      <c r="Q133" t="n">
        <v>0</v>
      </c>
      <c r="R133" s="2" t="inlineStr"/>
    </row>
    <row r="134" ht="15" customHeight="1">
      <c r="A134" t="inlineStr">
        <is>
          <t>A 23923-2025</t>
        </is>
      </c>
      <c r="B134" s="1" t="n">
        <v>45795.39648148148</v>
      </c>
      <c r="C134" s="1" t="n">
        <v>45884</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8077-2022</t>
        </is>
      </c>
      <c r="B135" s="1" t="n">
        <v>44609</v>
      </c>
      <c r="C135" s="1" t="n">
        <v>45884</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47140-2024</t>
        </is>
      </c>
      <c r="B136" s="1" t="n">
        <v>45586.58753472222</v>
      </c>
      <c r="C136" s="1" t="n">
        <v>45884</v>
      </c>
      <c r="D136" t="inlineStr">
        <is>
          <t>STOCKHOLMS LÄN</t>
        </is>
      </c>
      <c r="E136" t="inlineStr">
        <is>
          <t>VALLENTUNA</t>
        </is>
      </c>
      <c r="G136" t="n">
        <v>1</v>
      </c>
      <c r="H136" t="n">
        <v>0</v>
      </c>
      <c r="I136" t="n">
        <v>0</v>
      </c>
      <c r="J136" t="n">
        <v>0</v>
      </c>
      <c r="K136" t="n">
        <v>0</v>
      </c>
      <c r="L136" t="n">
        <v>0</v>
      </c>
      <c r="M136" t="n">
        <v>0</v>
      </c>
      <c r="N136" t="n">
        <v>0</v>
      </c>
      <c r="O136" t="n">
        <v>0</v>
      </c>
      <c r="P136" t="n">
        <v>0</v>
      </c>
      <c r="Q136" t="n">
        <v>0</v>
      </c>
      <c r="R136" s="2" t="inlineStr"/>
    </row>
    <row r="137" ht="15" customHeight="1">
      <c r="A137" t="inlineStr">
        <is>
          <t>A 25984-2025</t>
        </is>
      </c>
      <c r="B137" s="1" t="n">
        <v>45804.64016203704</v>
      </c>
      <c r="C137" s="1" t="n">
        <v>45884</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21765-2023</t>
        </is>
      </c>
      <c r="B138" s="1" t="n">
        <v>45064</v>
      </c>
      <c r="C138" s="1" t="n">
        <v>45884</v>
      </c>
      <c r="D138" t="inlineStr">
        <is>
          <t>STOCKHOLMS LÄN</t>
        </is>
      </c>
      <c r="E138" t="inlineStr">
        <is>
          <t>VALLENTUNA</t>
        </is>
      </c>
      <c r="G138" t="n">
        <v>1.1</v>
      </c>
      <c r="H138" t="n">
        <v>0</v>
      </c>
      <c r="I138" t="n">
        <v>0</v>
      </c>
      <c r="J138" t="n">
        <v>0</v>
      </c>
      <c r="K138" t="n">
        <v>0</v>
      </c>
      <c r="L138" t="n">
        <v>0</v>
      </c>
      <c r="M138" t="n">
        <v>0</v>
      </c>
      <c r="N138" t="n">
        <v>0</v>
      </c>
      <c r="O138" t="n">
        <v>0</v>
      </c>
      <c r="P138" t="n">
        <v>0</v>
      </c>
      <c r="Q138" t="n">
        <v>0</v>
      </c>
      <c r="R138" s="2" t="inlineStr"/>
    </row>
    <row r="139" ht="15" customHeight="1">
      <c r="A139" t="inlineStr">
        <is>
          <t>A 21614-2022</t>
        </is>
      </c>
      <c r="B139" s="1" t="n">
        <v>44706</v>
      </c>
      <c r="C139" s="1" t="n">
        <v>45884</v>
      </c>
      <c r="D139" t="inlineStr">
        <is>
          <t>STOCKHOLMS LÄN</t>
        </is>
      </c>
      <c r="E139" t="inlineStr">
        <is>
          <t>VALLENTUNA</t>
        </is>
      </c>
      <c r="G139" t="n">
        <v>4</v>
      </c>
      <c r="H139" t="n">
        <v>0</v>
      </c>
      <c r="I139" t="n">
        <v>0</v>
      </c>
      <c r="J139" t="n">
        <v>0</v>
      </c>
      <c r="K139" t="n">
        <v>0</v>
      </c>
      <c r="L139" t="n">
        <v>0</v>
      </c>
      <c r="M139" t="n">
        <v>0</v>
      </c>
      <c r="N139" t="n">
        <v>0</v>
      </c>
      <c r="O139" t="n">
        <v>0</v>
      </c>
      <c r="P139" t="n">
        <v>0</v>
      </c>
      <c r="Q139" t="n">
        <v>0</v>
      </c>
      <c r="R139" s="2" t="inlineStr"/>
    </row>
    <row r="140" ht="15" customHeight="1">
      <c r="A140" t="inlineStr">
        <is>
          <t>A 23986-2023</t>
        </is>
      </c>
      <c r="B140" s="1" t="n">
        <v>45078</v>
      </c>
      <c r="C140" s="1" t="n">
        <v>45884</v>
      </c>
      <c r="D140" t="inlineStr">
        <is>
          <t>STOCKHOLMS LÄN</t>
        </is>
      </c>
      <c r="E140" t="inlineStr">
        <is>
          <t>VALLENTUNA</t>
        </is>
      </c>
      <c r="F140" t="inlineStr">
        <is>
          <t>Kyrkan</t>
        </is>
      </c>
      <c r="G140" t="n">
        <v>5.7</v>
      </c>
      <c r="H140" t="n">
        <v>0</v>
      </c>
      <c r="I140" t="n">
        <v>0</v>
      </c>
      <c r="J140" t="n">
        <v>0</v>
      </c>
      <c r="K140" t="n">
        <v>0</v>
      </c>
      <c r="L140" t="n">
        <v>0</v>
      </c>
      <c r="M140" t="n">
        <v>0</v>
      </c>
      <c r="N140" t="n">
        <v>0</v>
      </c>
      <c r="O140" t="n">
        <v>0</v>
      </c>
      <c r="P140" t="n">
        <v>0</v>
      </c>
      <c r="Q140" t="n">
        <v>0</v>
      </c>
      <c r="R140" s="2" t="inlineStr"/>
    </row>
    <row r="141" ht="15" customHeight="1">
      <c r="A141" t="inlineStr">
        <is>
          <t>A 56152-2024</t>
        </is>
      </c>
      <c r="B141" s="1" t="n">
        <v>45624.52403935185</v>
      </c>
      <c r="C141" s="1" t="n">
        <v>45884</v>
      </c>
      <c r="D141" t="inlineStr">
        <is>
          <t>STOCKHOLMS LÄN</t>
        </is>
      </c>
      <c r="E141" t="inlineStr">
        <is>
          <t>VALLENTUNA</t>
        </is>
      </c>
      <c r="G141" t="n">
        <v>1.6</v>
      </c>
      <c r="H141" t="n">
        <v>0</v>
      </c>
      <c r="I141" t="n">
        <v>0</v>
      </c>
      <c r="J141" t="n">
        <v>0</v>
      </c>
      <c r="K141" t="n">
        <v>0</v>
      </c>
      <c r="L141" t="n">
        <v>0</v>
      </c>
      <c r="M141" t="n">
        <v>0</v>
      </c>
      <c r="N141" t="n">
        <v>0</v>
      </c>
      <c r="O141" t="n">
        <v>0</v>
      </c>
      <c r="P141" t="n">
        <v>0</v>
      </c>
      <c r="Q141" t="n">
        <v>0</v>
      </c>
      <c r="R141" s="2" t="inlineStr"/>
    </row>
    <row r="142" ht="15" customHeight="1">
      <c r="A142" t="inlineStr">
        <is>
          <t>A 28431-2025</t>
        </is>
      </c>
      <c r="B142" s="1" t="n">
        <v>45819.38072916667</v>
      </c>
      <c r="C142" s="1" t="n">
        <v>45884</v>
      </c>
      <c r="D142" t="inlineStr">
        <is>
          <t>STOCKHOLMS LÄN</t>
        </is>
      </c>
      <c r="E142" t="inlineStr">
        <is>
          <t>VALLENTUNA</t>
        </is>
      </c>
      <c r="G142" t="n">
        <v>1.5</v>
      </c>
      <c r="H142" t="n">
        <v>0</v>
      </c>
      <c r="I142" t="n">
        <v>0</v>
      </c>
      <c r="J142" t="n">
        <v>0</v>
      </c>
      <c r="K142" t="n">
        <v>0</v>
      </c>
      <c r="L142" t="n">
        <v>0</v>
      </c>
      <c r="M142" t="n">
        <v>0</v>
      </c>
      <c r="N142" t="n">
        <v>0</v>
      </c>
      <c r="O142" t="n">
        <v>0</v>
      </c>
      <c r="P142" t="n">
        <v>0</v>
      </c>
      <c r="Q142" t="n">
        <v>0</v>
      </c>
      <c r="R142" s="2" t="inlineStr"/>
    </row>
    <row r="143" ht="15" customHeight="1">
      <c r="A143" t="inlineStr">
        <is>
          <t>A 27868-2025</t>
        </is>
      </c>
      <c r="B143" s="1" t="n">
        <v>45817</v>
      </c>
      <c r="C143" s="1" t="n">
        <v>45884</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c r="A144" t="inlineStr">
        <is>
          <t>A 30902-2025</t>
        </is>
      </c>
      <c r="B144" s="1" t="n">
        <v>45832.36104166666</v>
      </c>
      <c r="C144" s="1" t="n">
        <v>45884</v>
      </c>
      <c r="D144" t="inlineStr">
        <is>
          <t>STOCKHOLMS LÄN</t>
        </is>
      </c>
      <c r="E144" t="inlineStr">
        <is>
          <t>VALLENTUNA</t>
        </is>
      </c>
      <c r="G144" t="n">
        <v>8.199999999999999</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2025-08-15T08:29:20Z</dcterms:created>
  <dcterms:modified xmlns:dcterms="http://purl.org/dc/terms/" xmlns:xsi="http://www.w3.org/2001/XMLSchema-instance" xsi:type="dcterms:W3CDTF">2025-08-15T08:29:20Z</dcterms:modified>
</cp:coreProperties>
</file>