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46162</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46162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46162</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46162</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46162</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46162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46162</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41021-2023</t>
        </is>
      </c>
      <c r="B23" s="1" t="n">
        <v>45173</v>
      </c>
      <c r="C23" s="1" t="n">
        <v>46162</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46162</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46162</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754-2024</t>
        </is>
      </c>
      <c r="B26" s="1" t="n">
        <v>45300</v>
      </c>
      <c r="C26" s="1" t="n">
        <v>46162</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46162</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46162</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46162</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46162</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46162</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46162</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21-2022</t>
        </is>
      </c>
      <c r="B33" s="1" t="n">
        <v>44560</v>
      </c>
      <c r="C33" s="1" t="n">
        <v>46162</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63543-2025</t>
        </is>
      </c>
      <c r="B34" s="1" t="n">
        <v>46013.59207175926</v>
      </c>
      <c r="C34" s="1" t="n">
        <v>46162</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63539-2025</t>
        </is>
      </c>
      <c r="B35" s="1" t="n">
        <v>46013.58824074074</v>
      </c>
      <c r="C35" s="1" t="n">
        <v>46162</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17341-2025</t>
        </is>
      </c>
      <c r="B36" s="1" t="n">
        <v>45756</v>
      </c>
      <c r="C36" s="1" t="n">
        <v>46162</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12396-2026</t>
        </is>
      </c>
      <c r="B37" s="1" t="n">
        <v>46090.38930555555</v>
      </c>
      <c r="C37" s="1" t="n">
        <v>46162</v>
      </c>
      <c r="D37" t="inlineStr">
        <is>
          <t>STOCKHOLMS LÄN</t>
        </is>
      </c>
      <c r="E37" t="inlineStr">
        <is>
          <t>VALLENTUNA</t>
        </is>
      </c>
      <c r="G37" t="n">
        <v>3</v>
      </c>
      <c r="H37" t="n">
        <v>1</v>
      </c>
      <c r="I37" t="n">
        <v>0</v>
      </c>
      <c r="J37" t="n">
        <v>1</v>
      </c>
      <c r="K37" t="n">
        <v>0</v>
      </c>
      <c r="L37" t="n">
        <v>0</v>
      </c>
      <c r="M37" t="n">
        <v>0</v>
      </c>
      <c r="N37" t="n">
        <v>0</v>
      </c>
      <c r="O37" t="n">
        <v>1</v>
      </c>
      <c r="P37" t="n">
        <v>0</v>
      </c>
      <c r="Q37" t="n">
        <v>1</v>
      </c>
      <c r="R37" s="2" t="inlineStr">
        <is>
          <t>Spillkråka</t>
        </is>
      </c>
      <c r="S37">
        <f>HYPERLINK("https://klasma.github.io/Logging_0115/artfynd/A 12396-2026 artfynd.xlsx", "A 12396-2026")</f>
        <v/>
      </c>
      <c r="T37">
        <f>HYPERLINK("https://klasma.github.io/Logging_0115/kartor/A 12396-2026 karta.png", "A 12396-2026")</f>
        <v/>
      </c>
      <c r="V37">
        <f>HYPERLINK("https://klasma.github.io/Logging_0115/klagomål/A 12396-2026 FSC-klagomål.docx", "A 12396-2026")</f>
        <v/>
      </c>
      <c r="W37">
        <f>HYPERLINK("https://klasma.github.io/Logging_0115/klagomålsmail/A 12396-2026 FSC-klagomål mail.docx", "A 12396-2026")</f>
        <v/>
      </c>
      <c r="X37">
        <f>HYPERLINK("https://klasma.github.io/Logging_0115/tillsyn/A 12396-2026 tillsynsbegäran.docx", "A 12396-2026")</f>
        <v/>
      </c>
      <c r="Y37">
        <f>HYPERLINK("https://klasma.github.io/Logging_0115/tillsynsmail/A 12396-2026 tillsynsbegäran mail.docx", "A 12396-2026")</f>
        <v/>
      </c>
      <c r="Z37">
        <f>HYPERLINK("https://klasma.github.io/Logging_0115/fåglar/A 12396-2026 prioriterade fågelarter.docx", "A 12396-2026")</f>
        <v/>
      </c>
    </row>
    <row r="38" ht="15" customHeight="1">
      <c r="A38" t="inlineStr">
        <is>
          <t>A 12401-2026</t>
        </is>
      </c>
      <c r="B38" s="1" t="n">
        <v>46090</v>
      </c>
      <c r="C38" s="1" t="n">
        <v>46162</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34458-2023</t>
        </is>
      </c>
      <c r="B39" s="1" t="n">
        <v>45139</v>
      </c>
      <c r="C39" s="1" t="n">
        <v>46162</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46162</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46162</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46162</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46162</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46162</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46162</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46162</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46162</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46162</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46162</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46162</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46162</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46162</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46162</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46162</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46162</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46162</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46162</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3078-2023</t>
        </is>
      </c>
      <c r="B59" s="1" t="n">
        <v>44946.41527777778</v>
      </c>
      <c r="C59" s="1" t="n">
        <v>46162</v>
      </c>
      <c r="D59" t="inlineStr">
        <is>
          <t>STOCKHOLMS LÄN</t>
        </is>
      </c>
      <c r="E59" t="inlineStr">
        <is>
          <t>VALLENTUNA</t>
        </is>
      </c>
      <c r="G59" t="n">
        <v>3.9</v>
      </c>
      <c r="H59" t="n">
        <v>0</v>
      </c>
      <c r="I59" t="n">
        <v>0</v>
      </c>
      <c r="J59" t="n">
        <v>0</v>
      </c>
      <c r="K59" t="n">
        <v>0</v>
      </c>
      <c r="L59" t="n">
        <v>0</v>
      </c>
      <c r="M59" t="n">
        <v>0</v>
      </c>
      <c r="N59" t="n">
        <v>0</v>
      </c>
      <c r="O59" t="n">
        <v>0</v>
      </c>
      <c r="P59" t="n">
        <v>0</v>
      </c>
      <c r="Q59" t="n">
        <v>0</v>
      </c>
      <c r="R59" s="2" t="inlineStr"/>
    </row>
    <row r="60" ht="15" customHeight="1">
      <c r="A60" t="inlineStr">
        <is>
          <t>A 60795-2023</t>
        </is>
      </c>
      <c r="B60" s="1" t="n">
        <v>45260</v>
      </c>
      <c r="C60" s="1" t="n">
        <v>46162</v>
      </c>
      <c r="D60" t="inlineStr">
        <is>
          <t>STOCKHOLMS LÄN</t>
        </is>
      </c>
      <c r="E60" t="inlineStr">
        <is>
          <t>VALLENTUNA</t>
        </is>
      </c>
      <c r="G60" t="n">
        <v>2.2</v>
      </c>
      <c r="H60" t="n">
        <v>0</v>
      </c>
      <c r="I60" t="n">
        <v>0</v>
      </c>
      <c r="J60" t="n">
        <v>0</v>
      </c>
      <c r="K60" t="n">
        <v>0</v>
      </c>
      <c r="L60" t="n">
        <v>0</v>
      </c>
      <c r="M60" t="n">
        <v>0</v>
      </c>
      <c r="N60" t="n">
        <v>0</v>
      </c>
      <c r="O60" t="n">
        <v>0</v>
      </c>
      <c r="P60" t="n">
        <v>0</v>
      </c>
      <c r="Q60" t="n">
        <v>0</v>
      </c>
      <c r="R60" s="2" t="inlineStr"/>
    </row>
    <row r="61" ht="15" customHeight="1">
      <c r="A61" t="inlineStr">
        <is>
          <t>A 30913-2021</t>
        </is>
      </c>
      <c r="B61" s="1" t="n">
        <v>44365</v>
      </c>
      <c r="C61" s="1" t="n">
        <v>46162</v>
      </c>
      <c r="D61" t="inlineStr">
        <is>
          <t>STOCKHOLMS LÄN</t>
        </is>
      </c>
      <c r="E61" t="inlineStr">
        <is>
          <t>VALLENTUNA</t>
        </is>
      </c>
      <c r="F61" t="inlineStr">
        <is>
          <t>Övriga Aktiebolag</t>
        </is>
      </c>
      <c r="G61" t="n">
        <v>3.3</v>
      </c>
      <c r="H61" t="n">
        <v>0</v>
      </c>
      <c r="I61" t="n">
        <v>0</v>
      </c>
      <c r="J61" t="n">
        <v>0</v>
      </c>
      <c r="K61" t="n">
        <v>0</v>
      </c>
      <c r="L61" t="n">
        <v>0</v>
      </c>
      <c r="M61" t="n">
        <v>0</v>
      </c>
      <c r="N61" t="n">
        <v>0</v>
      </c>
      <c r="O61" t="n">
        <v>0</v>
      </c>
      <c r="P61" t="n">
        <v>0</v>
      </c>
      <c r="Q61" t="n">
        <v>0</v>
      </c>
      <c r="R61" s="2" t="inlineStr"/>
    </row>
    <row r="62" ht="15" customHeight="1">
      <c r="A62" t="inlineStr">
        <is>
          <t>A 14480-2024</t>
        </is>
      </c>
      <c r="B62" s="1" t="n">
        <v>45394.56777777777</v>
      </c>
      <c r="C62" s="1" t="n">
        <v>46162</v>
      </c>
      <c r="D62" t="inlineStr">
        <is>
          <t>STOCKHOLMS LÄN</t>
        </is>
      </c>
      <c r="E62" t="inlineStr">
        <is>
          <t>VALLENTUNA</t>
        </is>
      </c>
      <c r="G62" t="n">
        <v>1.8</v>
      </c>
      <c r="H62" t="n">
        <v>0</v>
      </c>
      <c r="I62" t="n">
        <v>0</v>
      </c>
      <c r="J62" t="n">
        <v>0</v>
      </c>
      <c r="K62" t="n">
        <v>0</v>
      </c>
      <c r="L62" t="n">
        <v>0</v>
      </c>
      <c r="M62" t="n">
        <v>0</v>
      </c>
      <c r="N62" t="n">
        <v>0</v>
      </c>
      <c r="O62" t="n">
        <v>0</v>
      </c>
      <c r="P62" t="n">
        <v>0</v>
      </c>
      <c r="Q62" t="n">
        <v>0</v>
      </c>
      <c r="R62" s="2" t="inlineStr"/>
    </row>
    <row r="63" ht="15" customHeight="1">
      <c r="A63" t="inlineStr">
        <is>
          <t>A 48068-2021</t>
        </is>
      </c>
      <c r="B63" s="1" t="n">
        <v>44449.42270833333</v>
      </c>
      <c r="C63" s="1" t="n">
        <v>46162</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60818-2023</t>
        </is>
      </c>
      <c r="B64" s="1" t="n">
        <v>45259</v>
      </c>
      <c r="C64" s="1" t="n">
        <v>46162</v>
      </c>
      <c r="D64" t="inlineStr">
        <is>
          <t>STOCKHOLMS LÄN</t>
        </is>
      </c>
      <c r="E64" t="inlineStr">
        <is>
          <t>VALLENTUNA</t>
        </is>
      </c>
      <c r="G64" t="n">
        <v>9.4</v>
      </c>
      <c r="H64" t="n">
        <v>0</v>
      </c>
      <c r="I64" t="n">
        <v>0</v>
      </c>
      <c r="J64" t="n">
        <v>0</v>
      </c>
      <c r="K64" t="n">
        <v>0</v>
      </c>
      <c r="L64" t="n">
        <v>0</v>
      </c>
      <c r="M64" t="n">
        <v>0</v>
      </c>
      <c r="N64" t="n">
        <v>0</v>
      </c>
      <c r="O64" t="n">
        <v>0</v>
      </c>
      <c r="P64" t="n">
        <v>0</v>
      </c>
      <c r="Q64" t="n">
        <v>0</v>
      </c>
      <c r="R64" s="2" t="inlineStr"/>
    </row>
    <row r="65" ht="15" customHeight="1">
      <c r="A65" t="inlineStr">
        <is>
          <t>A 3937-2022</t>
        </is>
      </c>
      <c r="B65" s="1" t="n">
        <v>44587</v>
      </c>
      <c r="C65" s="1" t="n">
        <v>46162</v>
      </c>
      <c r="D65" t="inlineStr">
        <is>
          <t>STOCKHOLMS LÄN</t>
        </is>
      </c>
      <c r="E65" t="inlineStr">
        <is>
          <t>VALLENTUNA</t>
        </is>
      </c>
      <c r="G65" t="n">
        <v>6.6</v>
      </c>
      <c r="H65" t="n">
        <v>0</v>
      </c>
      <c r="I65" t="n">
        <v>0</v>
      </c>
      <c r="J65" t="n">
        <v>0</v>
      </c>
      <c r="K65" t="n">
        <v>0</v>
      </c>
      <c r="L65" t="n">
        <v>0</v>
      </c>
      <c r="M65" t="n">
        <v>0</v>
      </c>
      <c r="N65" t="n">
        <v>0</v>
      </c>
      <c r="O65" t="n">
        <v>0</v>
      </c>
      <c r="P65" t="n">
        <v>0</v>
      </c>
      <c r="Q65" t="n">
        <v>0</v>
      </c>
      <c r="R65" s="2" t="inlineStr"/>
    </row>
    <row r="66" ht="15" customHeight="1">
      <c r="A66" t="inlineStr">
        <is>
          <t>A 7264-2022</t>
        </is>
      </c>
      <c r="B66" s="1" t="n">
        <v>44606</v>
      </c>
      <c r="C66" s="1" t="n">
        <v>46162</v>
      </c>
      <c r="D66" t="inlineStr">
        <is>
          <t>STOCKHOLMS LÄN</t>
        </is>
      </c>
      <c r="E66" t="inlineStr">
        <is>
          <t>VALLENTUNA</t>
        </is>
      </c>
      <c r="G66" t="n">
        <v>2.4</v>
      </c>
      <c r="H66" t="n">
        <v>0</v>
      </c>
      <c r="I66" t="n">
        <v>0</v>
      </c>
      <c r="J66" t="n">
        <v>0</v>
      </c>
      <c r="K66" t="n">
        <v>0</v>
      </c>
      <c r="L66" t="n">
        <v>0</v>
      </c>
      <c r="M66" t="n">
        <v>0</v>
      </c>
      <c r="N66" t="n">
        <v>0</v>
      </c>
      <c r="O66" t="n">
        <v>0</v>
      </c>
      <c r="P66" t="n">
        <v>0</v>
      </c>
      <c r="Q66" t="n">
        <v>0</v>
      </c>
      <c r="R66" s="2" t="inlineStr"/>
    </row>
    <row r="67" ht="15" customHeight="1">
      <c r="A67" t="inlineStr">
        <is>
          <t>A 19356-2025</t>
        </is>
      </c>
      <c r="B67" s="1" t="n">
        <v>45769.62061342593</v>
      </c>
      <c r="C67" s="1" t="n">
        <v>46162</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46162</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44346-2021</t>
        </is>
      </c>
      <c r="B69" s="1" t="n">
        <v>44434</v>
      </c>
      <c r="C69" s="1" t="n">
        <v>46162</v>
      </c>
      <c r="D69" t="inlineStr">
        <is>
          <t>STOCKHOLMS LÄN</t>
        </is>
      </c>
      <c r="E69" t="inlineStr">
        <is>
          <t>VALLENTUNA</t>
        </is>
      </c>
      <c r="G69" t="n">
        <v>3</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46162</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46162</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61442-2024</t>
        </is>
      </c>
      <c r="B72" s="1" t="n">
        <v>45646.47003472222</v>
      </c>
      <c r="C72" s="1" t="n">
        <v>46162</v>
      </c>
      <c r="D72" t="inlineStr">
        <is>
          <t>STOCKHOLMS LÄN</t>
        </is>
      </c>
      <c r="E72" t="inlineStr">
        <is>
          <t>VALLENTUNA</t>
        </is>
      </c>
      <c r="G72" t="n">
        <v>4.6</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46162</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48014-2025</t>
        </is>
      </c>
      <c r="B74" s="1" t="n">
        <v>45932.64520833334</v>
      </c>
      <c r="C74" s="1" t="n">
        <v>46162</v>
      </c>
      <c r="D74" t="inlineStr">
        <is>
          <t>STOCKHOLMS LÄN</t>
        </is>
      </c>
      <c r="E74" t="inlineStr">
        <is>
          <t>VALLENTUNA</t>
        </is>
      </c>
      <c r="G74" t="n">
        <v>0.6</v>
      </c>
      <c r="H74" t="n">
        <v>0</v>
      </c>
      <c r="I74" t="n">
        <v>0</v>
      </c>
      <c r="J74" t="n">
        <v>0</v>
      </c>
      <c r="K74" t="n">
        <v>0</v>
      </c>
      <c r="L74" t="n">
        <v>0</v>
      </c>
      <c r="M74" t="n">
        <v>0</v>
      </c>
      <c r="N74" t="n">
        <v>0</v>
      </c>
      <c r="O74" t="n">
        <v>0</v>
      </c>
      <c r="P74" t="n">
        <v>0</v>
      </c>
      <c r="Q74" t="n">
        <v>0</v>
      </c>
      <c r="R74" s="2" t="inlineStr"/>
    </row>
    <row r="75" ht="15" customHeight="1">
      <c r="A75" t="inlineStr">
        <is>
          <t>A 48038-2025</t>
        </is>
      </c>
      <c r="B75" s="1" t="n">
        <v>45932.66008101852</v>
      </c>
      <c r="C75" s="1" t="n">
        <v>46162</v>
      </c>
      <c r="D75" t="inlineStr">
        <is>
          <t>STOCKHOLMS LÄN</t>
        </is>
      </c>
      <c r="E75" t="inlineStr">
        <is>
          <t>VALLENTUNA</t>
        </is>
      </c>
      <c r="G75" t="n">
        <v>0.5</v>
      </c>
      <c r="H75" t="n">
        <v>0</v>
      </c>
      <c r="I75" t="n">
        <v>0</v>
      </c>
      <c r="J75" t="n">
        <v>0</v>
      </c>
      <c r="K75" t="n">
        <v>0</v>
      </c>
      <c r="L75" t="n">
        <v>0</v>
      </c>
      <c r="M75" t="n">
        <v>0</v>
      </c>
      <c r="N75" t="n">
        <v>0</v>
      </c>
      <c r="O75" t="n">
        <v>0</v>
      </c>
      <c r="P75" t="n">
        <v>0</v>
      </c>
      <c r="Q75" t="n">
        <v>0</v>
      </c>
      <c r="R75" s="2" t="inlineStr"/>
    </row>
    <row r="76" ht="15" customHeight="1">
      <c r="A76" t="inlineStr">
        <is>
          <t>A 19503-2023</t>
        </is>
      </c>
      <c r="B76" s="1" t="n">
        <v>45050.47333333334</v>
      </c>
      <c r="C76" s="1" t="n">
        <v>46162</v>
      </c>
      <c r="D76" t="inlineStr">
        <is>
          <t>STOCKHOLMS LÄN</t>
        </is>
      </c>
      <c r="E76" t="inlineStr">
        <is>
          <t>VALLENTUNA</t>
        </is>
      </c>
      <c r="G76" t="n">
        <v>0.7</v>
      </c>
      <c r="H76" t="n">
        <v>0</v>
      </c>
      <c r="I76" t="n">
        <v>0</v>
      </c>
      <c r="J76" t="n">
        <v>0</v>
      </c>
      <c r="K76" t="n">
        <v>0</v>
      </c>
      <c r="L76" t="n">
        <v>0</v>
      </c>
      <c r="M76" t="n">
        <v>0</v>
      </c>
      <c r="N76" t="n">
        <v>0</v>
      </c>
      <c r="O76" t="n">
        <v>0</v>
      </c>
      <c r="P76" t="n">
        <v>0</v>
      </c>
      <c r="Q76" t="n">
        <v>0</v>
      </c>
      <c r="R76" s="2" t="inlineStr"/>
    </row>
    <row r="77" ht="15" customHeight="1">
      <c r="A77" t="inlineStr">
        <is>
          <t>A 50784-2025</t>
        </is>
      </c>
      <c r="B77" s="1" t="n">
        <v>45946</v>
      </c>
      <c r="C77" s="1" t="n">
        <v>46162</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21445-2023</t>
        </is>
      </c>
      <c r="B78" s="1" t="n">
        <v>45063</v>
      </c>
      <c r="C78" s="1" t="n">
        <v>46162</v>
      </c>
      <c r="D78" t="inlineStr">
        <is>
          <t>STOCKHOLMS LÄN</t>
        </is>
      </c>
      <c r="E78" t="inlineStr">
        <is>
          <t>VALLENTUNA</t>
        </is>
      </c>
      <c r="G78" t="n">
        <v>3.1</v>
      </c>
      <c r="H78" t="n">
        <v>0</v>
      </c>
      <c r="I78" t="n">
        <v>0</v>
      </c>
      <c r="J78" t="n">
        <v>0</v>
      </c>
      <c r="K78" t="n">
        <v>0</v>
      </c>
      <c r="L78" t="n">
        <v>0</v>
      </c>
      <c r="M78" t="n">
        <v>0</v>
      </c>
      <c r="N78" t="n">
        <v>0</v>
      </c>
      <c r="O78" t="n">
        <v>0</v>
      </c>
      <c r="P78" t="n">
        <v>0</v>
      </c>
      <c r="Q78" t="n">
        <v>0</v>
      </c>
      <c r="R78" s="2" t="inlineStr"/>
    </row>
    <row r="79" ht="15" customHeight="1">
      <c r="A79" t="inlineStr">
        <is>
          <t>A 22683-2023</t>
        </is>
      </c>
      <c r="B79" s="1" t="n">
        <v>45071</v>
      </c>
      <c r="C79" s="1" t="n">
        <v>46162</v>
      </c>
      <c r="D79" t="inlineStr">
        <is>
          <t>STOCKHOLMS LÄN</t>
        </is>
      </c>
      <c r="E79" t="inlineStr">
        <is>
          <t>VALLENTUNA</t>
        </is>
      </c>
      <c r="G79" t="n">
        <v>1.2</v>
      </c>
      <c r="H79" t="n">
        <v>0</v>
      </c>
      <c r="I79" t="n">
        <v>0</v>
      </c>
      <c r="J79" t="n">
        <v>0</v>
      </c>
      <c r="K79" t="n">
        <v>0</v>
      </c>
      <c r="L79" t="n">
        <v>0</v>
      </c>
      <c r="M79" t="n">
        <v>0</v>
      </c>
      <c r="N79" t="n">
        <v>0</v>
      </c>
      <c r="O79" t="n">
        <v>0</v>
      </c>
      <c r="P79" t="n">
        <v>0</v>
      </c>
      <c r="Q79" t="n">
        <v>0</v>
      </c>
      <c r="R79" s="2" t="inlineStr"/>
    </row>
    <row r="80" ht="15" customHeight="1">
      <c r="A80" t="inlineStr">
        <is>
          <t>A 24943-2024</t>
        </is>
      </c>
      <c r="B80" s="1" t="n">
        <v>45461.62585648148</v>
      </c>
      <c r="C80" s="1" t="n">
        <v>46162</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5910-2022</t>
        </is>
      </c>
      <c r="B81" s="1" t="n">
        <v>44597</v>
      </c>
      <c r="C81" s="1" t="n">
        <v>46162</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27868-2025</t>
        </is>
      </c>
      <c r="B82" s="1" t="n">
        <v>45817</v>
      </c>
      <c r="C82" s="1" t="n">
        <v>46162</v>
      </c>
      <c r="D82" t="inlineStr">
        <is>
          <t>STOCKHOLMS LÄN</t>
        </is>
      </c>
      <c r="E82" t="inlineStr">
        <is>
          <t>VALLENTUNA</t>
        </is>
      </c>
      <c r="G82" t="n">
        <v>2.1</v>
      </c>
      <c r="H82" t="n">
        <v>0</v>
      </c>
      <c r="I82" t="n">
        <v>0</v>
      </c>
      <c r="J82" t="n">
        <v>0</v>
      </c>
      <c r="K82" t="n">
        <v>0</v>
      </c>
      <c r="L82" t="n">
        <v>0</v>
      </c>
      <c r="M82" t="n">
        <v>0</v>
      </c>
      <c r="N82" t="n">
        <v>0</v>
      </c>
      <c r="O82" t="n">
        <v>0</v>
      </c>
      <c r="P82" t="n">
        <v>0</v>
      </c>
      <c r="Q82" t="n">
        <v>0</v>
      </c>
      <c r="R82" s="2" t="inlineStr"/>
    </row>
    <row r="83" ht="15" customHeight="1">
      <c r="A83" t="inlineStr">
        <is>
          <t>A 26390-2023</t>
        </is>
      </c>
      <c r="B83" s="1" t="n">
        <v>45086</v>
      </c>
      <c r="C83" s="1" t="n">
        <v>46162</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54466-2025</t>
        </is>
      </c>
      <c r="B84" s="1" t="n">
        <v>45965.56984953704</v>
      </c>
      <c r="C84" s="1" t="n">
        <v>46162</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46162</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24707-2023</t>
        </is>
      </c>
      <c r="B86" s="1" t="n">
        <v>45084</v>
      </c>
      <c r="C86" s="1" t="n">
        <v>46162</v>
      </c>
      <c r="D86" t="inlineStr">
        <is>
          <t>STOCKHOLMS LÄN</t>
        </is>
      </c>
      <c r="E86" t="inlineStr">
        <is>
          <t>VALLENTUNA</t>
        </is>
      </c>
      <c r="G86" t="n">
        <v>1.1</v>
      </c>
      <c r="H86" t="n">
        <v>0</v>
      </c>
      <c r="I86" t="n">
        <v>0</v>
      </c>
      <c r="J86" t="n">
        <v>0</v>
      </c>
      <c r="K86" t="n">
        <v>0</v>
      </c>
      <c r="L86" t="n">
        <v>0</v>
      </c>
      <c r="M86" t="n">
        <v>0</v>
      </c>
      <c r="N86" t="n">
        <v>0</v>
      </c>
      <c r="O86" t="n">
        <v>0</v>
      </c>
      <c r="P86" t="n">
        <v>0</v>
      </c>
      <c r="Q86" t="n">
        <v>0</v>
      </c>
      <c r="R86" s="2" t="inlineStr"/>
    </row>
    <row r="87" ht="15" customHeight="1">
      <c r="A87" t="inlineStr">
        <is>
          <t>A 12609-2024</t>
        </is>
      </c>
      <c r="B87" s="1" t="n">
        <v>45382.8109375</v>
      </c>
      <c r="C87" s="1" t="n">
        <v>46162</v>
      </c>
      <c r="D87" t="inlineStr">
        <is>
          <t>STOCKHOLMS LÄN</t>
        </is>
      </c>
      <c r="E87" t="inlineStr">
        <is>
          <t>VALLENTUNA</t>
        </is>
      </c>
      <c r="G87" t="n">
        <v>0.9</v>
      </c>
      <c r="H87" t="n">
        <v>0</v>
      </c>
      <c r="I87" t="n">
        <v>0</v>
      </c>
      <c r="J87" t="n">
        <v>0</v>
      </c>
      <c r="K87" t="n">
        <v>0</v>
      </c>
      <c r="L87" t="n">
        <v>0</v>
      </c>
      <c r="M87" t="n">
        <v>0</v>
      </c>
      <c r="N87" t="n">
        <v>0</v>
      </c>
      <c r="O87" t="n">
        <v>0</v>
      </c>
      <c r="P87" t="n">
        <v>0</v>
      </c>
      <c r="Q87" t="n">
        <v>0</v>
      </c>
      <c r="R87" s="2" t="inlineStr"/>
    </row>
    <row r="88" ht="15" customHeight="1">
      <c r="A88" t="inlineStr">
        <is>
          <t>A 47140-2024</t>
        </is>
      </c>
      <c r="B88" s="1" t="n">
        <v>45586.58753472222</v>
      </c>
      <c r="C88" s="1" t="n">
        <v>46162</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27870-2025</t>
        </is>
      </c>
      <c r="B89" s="1" t="n">
        <v>45817</v>
      </c>
      <c r="C89" s="1" t="n">
        <v>46162</v>
      </c>
      <c r="D89" t="inlineStr">
        <is>
          <t>STOCKHOLMS LÄN</t>
        </is>
      </c>
      <c r="E89" t="inlineStr">
        <is>
          <t>VALLENTUNA</t>
        </is>
      </c>
      <c r="G89" t="n">
        <v>2.3</v>
      </c>
      <c r="H89" t="n">
        <v>0</v>
      </c>
      <c r="I89" t="n">
        <v>0</v>
      </c>
      <c r="J89" t="n">
        <v>0</v>
      </c>
      <c r="K89" t="n">
        <v>0</v>
      </c>
      <c r="L89" t="n">
        <v>0</v>
      </c>
      <c r="M89" t="n">
        <v>0</v>
      </c>
      <c r="N89" t="n">
        <v>0</v>
      </c>
      <c r="O89" t="n">
        <v>0</v>
      </c>
      <c r="P89" t="n">
        <v>0</v>
      </c>
      <c r="Q89" t="n">
        <v>0</v>
      </c>
      <c r="R89" s="2" t="inlineStr"/>
    </row>
    <row r="90" ht="15" customHeight="1">
      <c r="A90" t="inlineStr">
        <is>
          <t>A 61646-2025</t>
        </is>
      </c>
      <c r="B90" s="1" t="n">
        <v>46002</v>
      </c>
      <c r="C90" s="1" t="n">
        <v>46162</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46162</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9063-2024</t>
        </is>
      </c>
      <c r="B92" s="1" t="n">
        <v>45357.72652777778</v>
      </c>
      <c r="C92" s="1" t="n">
        <v>46162</v>
      </c>
      <c r="D92" t="inlineStr">
        <is>
          <t>STOCKHOLMS LÄN</t>
        </is>
      </c>
      <c r="E92" t="inlineStr">
        <is>
          <t>VALLENTUNA</t>
        </is>
      </c>
      <c r="G92" t="n">
        <v>4.1</v>
      </c>
      <c r="H92" t="n">
        <v>0</v>
      </c>
      <c r="I92" t="n">
        <v>0</v>
      </c>
      <c r="J92" t="n">
        <v>0</v>
      </c>
      <c r="K92" t="n">
        <v>0</v>
      </c>
      <c r="L92" t="n">
        <v>0</v>
      </c>
      <c r="M92" t="n">
        <v>0</v>
      </c>
      <c r="N92" t="n">
        <v>0</v>
      </c>
      <c r="O92" t="n">
        <v>0</v>
      </c>
      <c r="P92" t="n">
        <v>0</v>
      </c>
      <c r="Q92" t="n">
        <v>0</v>
      </c>
      <c r="R92" s="2" t="inlineStr"/>
    </row>
    <row r="93" ht="15" customHeight="1">
      <c r="A93" t="inlineStr">
        <is>
          <t>A 4803-2024</t>
        </is>
      </c>
      <c r="B93" s="1" t="n">
        <v>45328</v>
      </c>
      <c r="C93" s="1" t="n">
        <v>46162</v>
      </c>
      <c r="D93" t="inlineStr">
        <is>
          <t>STOCKHOLMS LÄN</t>
        </is>
      </c>
      <c r="E93" t="inlineStr">
        <is>
          <t>VALLENTUNA</t>
        </is>
      </c>
      <c r="G93" t="n">
        <v>4.6</v>
      </c>
      <c r="H93" t="n">
        <v>0</v>
      </c>
      <c r="I93" t="n">
        <v>0</v>
      </c>
      <c r="J93" t="n">
        <v>0</v>
      </c>
      <c r="K93" t="n">
        <v>0</v>
      </c>
      <c r="L93" t="n">
        <v>0</v>
      </c>
      <c r="M93" t="n">
        <v>0</v>
      </c>
      <c r="N93" t="n">
        <v>0</v>
      </c>
      <c r="O93" t="n">
        <v>0</v>
      </c>
      <c r="P93" t="n">
        <v>0</v>
      </c>
      <c r="Q93" t="n">
        <v>0</v>
      </c>
      <c r="R93" s="2" t="inlineStr"/>
    </row>
    <row r="94" ht="15" customHeight="1">
      <c r="A94" t="inlineStr">
        <is>
          <t>A 52542-2023</t>
        </is>
      </c>
      <c r="B94" s="1" t="n">
        <v>45225</v>
      </c>
      <c r="C94" s="1" t="n">
        <v>46162</v>
      </c>
      <c r="D94" t="inlineStr">
        <is>
          <t>STOCKHOLMS LÄN</t>
        </is>
      </c>
      <c r="E94" t="inlineStr">
        <is>
          <t>VALLENTUNA</t>
        </is>
      </c>
      <c r="G94" t="n">
        <v>3.8</v>
      </c>
      <c r="H94" t="n">
        <v>0</v>
      </c>
      <c r="I94" t="n">
        <v>0</v>
      </c>
      <c r="J94" t="n">
        <v>0</v>
      </c>
      <c r="K94" t="n">
        <v>0</v>
      </c>
      <c r="L94" t="n">
        <v>0</v>
      </c>
      <c r="M94" t="n">
        <v>0</v>
      </c>
      <c r="N94" t="n">
        <v>0</v>
      </c>
      <c r="O94" t="n">
        <v>0</v>
      </c>
      <c r="P94" t="n">
        <v>0</v>
      </c>
      <c r="Q94" t="n">
        <v>0</v>
      </c>
      <c r="R94" s="2" t="inlineStr"/>
    </row>
    <row r="95" ht="15" customHeight="1">
      <c r="A95" t="inlineStr">
        <is>
          <t>A 414-2026</t>
        </is>
      </c>
      <c r="B95" s="1" t="n">
        <v>46028.76050925926</v>
      </c>
      <c r="C95" s="1" t="n">
        <v>46162</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11950-2025</t>
        </is>
      </c>
      <c r="B96" s="1" t="n">
        <v>45728.55622685186</v>
      </c>
      <c r="C96" s="1" t="n">
        <v>46162</v>
      </c>
      <c r="D96" t="inlineStr">
        <is>
          <t>STOCKHOLMS LÄN</t>
        </is>
      </c>
      <c r="E96" t="inlineStr">
        <is>
          <t>VALLENTUNA</t>
        </is>
      </c>
      <c r="G96" t="n">
        <v>1.4</v>
      </c>
      <c r="H96" t="n">
        <v>0</v>
      </c>
      <c r="I96" t="n">
        <v>0</v>
      </c>
      <c r="J96" t="n">
        <v>0</v>
      </c>
      <c r="K96" t="n">
        <v>0</v>
      </c>
      <c r="L96" t="n">
        <v>0</v>
      </c>
      <c r="M96" t="n">
        <v>0</v>
      </c>
      <c r="N96" t="n">
        <v>0</v>
      </c>
      <c r="O96" t="n">
        <v>0</v>
      </c>
      <c r="P96" t="n">
        <v>0</v>
      </c>
      <c r="Q96" t="n">
        <v>0</v>
      </c>
      <c r="R96" s="2" t="inlineStr"/>
    </row>
    <row r="97" ht="15" customHeight="1">
      <c r="A97" t="inlineStr">
        <is>
          <t>A 14489-2024</t>
        </is>
      </c>
      <c r="B97" s="1" t="n">
        <v>45394.58053240741</v>
      </c>
      <c r="C97" s="1" t="n">
        <v>46162</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52562-2023</t>
        </is>
      </c>
      <c r="B98" s="1" t="n">
        <v>45225</v>
      </c>
      <c r="C98" s="1" t="n">
        <v>46162</v>
      </c>
      <c r="D98" t="inlineStr">
        <is>
          <t>STOCKHOLMS LÄN</t>
        </is>
      </c>
      <c r="E98" t="inlineStr">
        <is>
          <t>VALLENTUNA</t>
        </is>
      </c>
      <c r="G98" t="n">
        <v>3.4</v>
      </c>
      <c r="H98" t="n">
        <v>0</v>
      </c>
      <c r="I98" t="n">
        <v>0</v>
      </c>
      <c r="J98" t="n">
        <v>0</v>
      </c>
      <c r="K98" t="n">
        <v>0</v>
      </c>
      <c r="L98" t="n">
        <v>0</v>
      </c>
      <c r="M98" t="n">
        <v>0</v>
      </c>
      <c r="N98" t="n">
        <v>0</v>
      </c>
      <c r="O98" t="n">
        <v>0</v>
      </c>
      <c r="P98" t="n">
        <v>0</v>
      </c>
      <c r="Q98" t="n">
        <v>0</v>
      </c>
      <c r="R98" s="2" t="inlineStr"/>
    </row>
    <row r="99" ht="15" customHeight="1">
      <c r="A99" t="inlineStr">
        <is>
          <t>A 6298-2026</t>
        </is>
      </c>
      <c r="B99" s="1" t="n">
        <v>46055.5656712963</v>
      </c>
      <c r="C99" s="1" t="n">
        <v>46162</v>
      </c>
      <c r="D99" t="inlineStr">
        <is>
          <t>STOCKHOLMS LÄN</t>
        </is>
      </c>
      <c r="E99" t="inlineStr">
        <is>
          <t>VALLENTUNA</t>
        </is>
      </c>
      <c r="G99" t="n">
        <v>3.3</v>
      </c>
      <c r="H99" t="n">
        <v>0</v>
      </c>
      <c r="I99" t="n">
        <v>0</v>
      </c>
      <c r="J99" t="n">
        <v>0</v>
      </c>
      <c r="K99" t="n">
        <v>0</v>
      </c>
      <c r="L99" t="n">
        <v>0</v>
      </c>
      <c r="M99" t="n">
        <v>0</v>
      </c>
      <c r="N99" t="n">
        <v>0</v>
      </c>
      <c r="O99" t="n">
        <v>0</v>
      </c>
      <c r="P99" t="n">
        <v>0</v>
      </c>
      <c r="Q99" t="n">
        <v>0</v>
      </c>
      <c r="R99" s="2" t="inlineStr"/>
    </row>
    <row r="100" ht="15" customHeight="1">
      <c r="A100" t="inlineStr">
        <is>
          <t>A 4804-2024</t>
        </is>
      </c>
      <c r="B100" s="1" t="n">
        <v>45328</v>
      </c>
      <c r="C100" s="1" t="n">
        <v>46162</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23013-2024</t>
        </is>
      </c>
      <c r="B101" s="1" t="n">
        <v>45450.35116898148</v>
      </c>
      <c r="C101" s="1" t="n">
        <v>46162</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46162</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17389-2026</t>
        </is>
      </c>
      <c r="B103" s="1" t="n">
        <v>46119.80603009259</v>
      </c>
      <c r="C103" s="1" t="n">
        <v>46162</v>
      </c>
      <c r="D103" t="inlineStr">
        <is>
          <t>STOCKHOLMS LÄN</t>
        </is>
      </c>
      <c r="E103" t="inlineStr">
        <is>
          <t>VALLENTUNA</t>
        </is>
      </c>
      <c r="G103" t="n">
        <v>1.1</v>
      </c>
      <c r="H103" t="n">
        <v>0</v>
      </c>
      <c r="I103" t="n">
        <v>0</v>
      </c>
      <c r="J103" t="n">
        <v>0</v>
      </c>
      <c r="K103" t="n">
        <v>0</v>
      </c>
      <c r="L103" t="n">
        <v>0</v>
      </c>
      <c r="M103" t="n">
        <v>0</v>
      </c>
      <c r="N103" t="n">
        <v>0</v>
      </c>
      <c r="O103" t="n">
        <v>0</v>
      </c>
      <c r="P103" t="n">
        <v>0</v>
      </c>
      <c r="Q103" t="n">
        <v>0</v>
      </c>
      <c r="R103" s="2" t="inlineStr"/>
    </row>
    <row r="104" ht="15" customHeight="1">
      <c r="A104" t="inlineStr">
        <is>
          <t>A 17387-2026</t>
        </is>
      </c>
      <c r="B104" s="1" t="n">
        <v>46119.79578703704</v>
      </c>
      <c r="C104" s="1" t="n">
        <v>46162</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17388-2026</t>
        </is>
      </c>
      <c r="B105" s="1" t="n">
        <v>46119.79952546296</v>
      </c>
      <c r="C105" s="1" t="n">
        <v>46162</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61742-2022</t>
        </is>
      </c>
      <c r="B106" s="1" t="n">
        <v>44917</v>
      </c>
      <c r="C106" s="1" t="n">
        <v>46162</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46162</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46162</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12400-2026</t>
        </is>
      </c>
      <c r="B109" s="1" t="n">
        <v>46090.39423611111</v>
      </c>
      <c r="C109" s="1" t="n">
        <v>46162</v>
      </c>
      <c r="D109" t="inlineStr">
        <is>
          <t>STOCKHOLMS LÄN</t>
        </is>
      </c>
      <c r="E109" t="inlineStr">
        <is>
          <t>VALLENTUNA</t>
        </is>
      </c>
      <c r="G109" t="n">
        <v>1.9</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46162</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46162</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12819-2026</t>
        </is>
      </c>
      <c r="B112" s="1" t="n">
        <v>46092.40896990741</v>
      </c>
      <c r="C112" s="1" t="n">
        <v>46162</v>
      </c>
      <c r="D112" t="inlineStr">
        <is>
          <t>STOCKHOLMS LÄN</t>
        </is>
      </c>
      <c r="E112" t="inlineStr">
        <is>
          <t>VALLENTUNA</t>
        </is>
      </c>
      <c r="G112" t="n">
        <v>3.5</v>
      </c>
      <c r="H112" t="n">
        <v>0</v>
      </c>
      <c r="I112" t="n">
        <v>0</v>
      </c>
      <c r="J112" t="n">
        <v>0</v>
      </c>
      <c r="K112" t="n">
        <v>0</v>
      </c>
      <c r="L112" t="n">
        <v>0</v>
      </c>
      <c r="M112" t="n">
        <v>0</v>
      </c>
      <c r="N112" t="n">
        <v>0</v>
      </c>
      <c r="O112" t="n">
        <v>0</v>
      </c>
      <c r="P112" t="n">
        <v>0</v>
      </c>
      <c r="Q112" t="n">
        <v>0</v>
      </c>
      <c r="R112" s="2" t="inlineStr"/>
    </row>
    <row r="113" ht="15" customHeight="1">
      <c r="A113" t="inlineStr">
        <is>
          <t>A 12830-2026</t>
        </is>
      </c>
      <c r="B113" s="1" t="n">
        <v>46092.42290509259</v>
      </c>
      <c r="C113" s="1" t="n">
        <v>46162</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46162</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12822-2026</t>
        </is>
      </c>
      <c r="B115" s="1" t="n">
        <v>46092.41358796296</v>
      </c>
      <c r="C115" s="1" t="n">
        <v>46162</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46162</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12828-2026</t>
        </is>
      </c>
      <c r="B117" s="1" t="n">
        <v>46092.41760416667</v>
      </c>
      <c r="C117" s="1" t="n">
        <v>46162</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20910-2026</t>
        </is>
      </c>
      <c r="B118" s="1" t="n">
        <v>46142.46608796297</v>
      </c>
      <c r="C118" s="1" t="n">
        <v>46162</v>
      </c>
      <c r="D118" t="inlineStr">
        <is>
          <t>STOCKHOLMS LÄN</t>
        </is>
      </c>
      <c r="E118" t="inlineStr">
        <is>
          <t>VALLENTUNA</t>
        </is>
      </c>
      <c r="G118" t="n">
        <v>1.8</v>
      </c>
      <c r="H118" t="n">
        <v>0</v>
      </c>
      <c r="I118" t="n">
        <v>0</v>
      </c>
      <c r="J118" t="n">
        <v>0</v>
      </c>
      <c r="K118" t="n">
        <v>0</v>
      </c>
      <c r="L118" t="n">
        <v>0</v>
      </c>
      <c r="M118" t="n">
        <v>0</v>
      </c>
      <c r="N118" t="n">
        <v>0</v>
      </c>
      <c r="O118" t="n">
        <v>0</v>
      </c>
      <c r="P118" t="n">
        <v>0</v>
      </c>
      <c r="Q118" t="n">
        <v>0</v>
      </c>
      <c r="R118" s="2" t="inlineStr"/>
    </row>
    <row r="119" ht="15" customHeight="1">
      <c r="A119" t="inlineStr">
        <is>
          <t>A 20914-2026</t>
        </is>
      </c>
      <c r="B119" s="1" t="n">
        <v>46142.4724074074</v>
      </c>
      <c r="C119" s="1" t="n">
        <v>46162</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14799-2026</t>
        </is>
      </c>
      <c r="B120" s="1" t="n">
        <v>46102.82101851852</v>
      </c>
      <c r="C120" s="1" t="n">
        <v>46162</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46162</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46162</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46162</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15300-2023</t>
        </is>
      </c>
      <c r="B124" s="1" t="n">
        <v>45019</v>
      </c>
      <c r="C124" s="1" t="n">
        <v>46162</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46162</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46162</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46162</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46162</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46162</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46162</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46162</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46162</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46162</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735-2024</t>
        </is>
      </c>
      <c r="B134" s="1" t="n">
        <v>45300</v>
      </c>
      <c r="C134" s="1" t="n">
        <v>46162</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17411-2023</t>
        </is>
      </c>
      <c r="B135" s="1" t="n">
        <v>45035.82512731481</v>
      </c>
      <c r="C135" s="1" t="n">
        <v>46162</v>
      </c>
      <c r="D135" t="inlineStr">
        <is>
          <t>STOCKHOLMS LÄN</t>
        </is>
      </c>
      <c r="E135" t="inlineStr">
        <is>
          <t>VALLENTUNA</t>
        </is>
      </c>
      <c r="G135" t="n">
        <v>0.7</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46162</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46162</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17340-2025</t>
        </is>
      </c>
      <c r="B138" s="1" t="n">
        <v>45756</v>
      </c>
      <c r="C138" s="1" t="n">
        <v>46162</v>
      </c>
      <c r="D138" t="inlineStr">
        <is>
          <t>STOCKHOLMS LÄN</t>
        </is>
      </c>
      <c r="E138" t="inlineStr">
        <is>
          <t>VALLENTUNA</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46162</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46162</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ht="15" customHeight="1">
      <c r="A141" t="inlineStr">
        <is>
          <t>A 34452-2021</t>
        </is>
      </c>
      <c r="B141" s="1" t="n">
        <v>44381</v>
      </c>
      <c r="C141" s="1" t="n">
        <v>46162</v>
      </c>
      <c r="D141" t="inlineStr">
        <is>
          <t>STOCKHOLMS LÄN</t>
        </is>
      </c>
      <c r="E141" t="inlineStr">
        <is>
          <t>VALLENTUNA</t>
        </is>
      </c>
      <c r="G141" t="n">
        <v>14.7</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46162</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ht="15" customHeight="1">
      <c r="A143" t="inlineStr">
        <is>
          <t>A 46381-2023</t>
        </is>
      </c>
      <c r="B143" s="1" t="n">
        <v>45193</v>
      </c>
      <c r="C143" s="1" t="n">
        <v>46162</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row r="144" ht="15" customHeight="1">
      <c r="A144" t="inlineStr">
        <is>
          <t>A 61027-2023</t>
        </is>
      </c>
      <c r="B144" s="1" t="n">
        <v>45261</v>
      </c>
      <c r="C144" s="1" t="n">
        <v>46162</v>
      </c>
      <c r="D144" t="inlineStr">
        <is>
          <t>STOCKHOLMS LÄN</t>
        </is>
      </c>
      <c r="E144" t="inlineStr">
        <is>
          <t>VALLENTUNA</t>
        </is>
      </c>
      <c r="G144" t="n">
        <v>7.1</v>
      </c>
      <c r="H144" t="n">
        <v>0</v>
      </c>
      <c r="I144" t="n">
        <v>0</v>
      </c>
      <c r="J144" t="n">
        <v>0</v>
      </c>
      <c r="K144" t="n">
        <v>0</v>
      </c>
      <c r="L144" t="n">
        <v>0</v>
      </c>
      <c r="M144" t="n">
        <v>0</v>
      </c>
      <c r="N144" t="n">
        <v>0</v>
      </c>
      <c r="O144" t="n">
        <v>0</v>
      </c>
      <c r="P144" t="n">
        <v>0</v>
      </c>
      <c r="Q144" t="n">
        <v>0</v>
      </c>
      <c r="R144" s="2" t="inlineStr"/>
    </row>
    <row r="145" ht="15" customHeight="1">
      <c r="A145" t="inlineStr">
        <is>
          <t>A 23009-2024</t>
        </is>
      </c>
      <c r="B145" s="1" t="n">
        <v>45450.34506944445</v>
      </c>
      <c r="C145" s="1" t="n">
        <v>46162</v>
      </c>
      <c r="D145" t="inlineStr">
        <is>
          <t>STOCKHOLMS LÄN</t>
        </is>
      </c>
      <c r="E145" t="inlineStr">
        <is>
          <t>VALLENTUNA</t>
        </is>
      </c>
      <c r="G145" t="n">
        <v>1.4</v>
      </c>
      <c r="H145" t="n">
        <v>0</v>
      </c>
      <c r="I145" t="n">
        <v>0</v>
      </c>
      <c r="J145" t="n">
        <v>0</v>
      </c>
      <c r="K145" t="n">
        <v>0</v>
      </c>
      <c r="L145" t="n">
        <v>0</v>
      </c>
      <c r="M145" t="n">
        <v>0</v>
      </c>
      <c r="N145" t="n">
        <v>0</v>
      </c>
      <c r="O145" t="n">
        <v>0</v>
      </c>
      <c r="P145" t="n">
        <v>0</v>
      </c>
      <c r="Q145" t="n">
        <v>0</v>
      </c>
      <c r="R145" s="2" t="inlineStr"/>
    </row>
    <row r="146" ht="15" customHeight="1">
      <c r="A146" t="inlineStr">
        <is>
          <t>A 23923-2025</t>
        </is>
      </c>
      <c r="B146" s="1" t="n">
        <v>45795.39648148148</v>
      </c>
      <c r="C146" s="1" t="n">
        <v>46162</v>
      </c>
      <c r="D146" t="inlineStr">
        <is>
          <t>STOCKHOLMS LÄN</t>
        </is>
      </c>
      <c r="E146" t="inlineStr">
        <is>
          <t>VALLENTUNA</t>
        </is>
      </c>
      <c r="G146" t="n">
        <v>2.3</v>
      </c>
      <c r="H146" t="n">
        <v>0</v>
      </c>
      <c r="I146" t="n">
        <v>0</v>
      </c>
      <c r="J146" t="n">
        <v>0</v>
      </c>
      <c r="K146" t="n">
        <v>0</v>
      </c>
      <c r="L146" t="n">
        <v>0</v>
      </c>
      <c r="M146" t="n">
        <v>0</v>
      </c>
      <c r="N146" t="n">
        <v>0</v>
      </c>
      <c r="O146" t="n">
        <v>0</v>
      </c>
      <c r="P146" t="n">
        <v>0</v>
      </c>
      <c r="Q146" t="n">
        <v>0</v>
      </c>
      <c r="R146" s="2" t="inlineStr"/>
    </row>
    <row r="147" ht="15" customHeight="1">
      <c r="A147" t="inlineStr">
        <is>
          <t>A 25984-2025</t>
        </is>
      </c>
      <c r="B147" s="1" t="n">
        <v>45804.64016203704</v>
      </c>
      <c r="C147" s="1" t="n">
        <v>46162</v>
      </c>
      <c r="D147" t="inlineStr">
        <is>
          <t>STOCKHOLMS LÄN</t>
        </is>
      </c>
      <c r="E147" t="inlineStr">
        <is>
          <t>VALLENTUNA</t>
        </is>
      </c>
      <c r="G147" t="n">
        <v>2.5</v>
      </c>
      <c r="H147" t="n">
        <v>0</v>
      </c>
      <c r="I147" t="n">
        <v>0</v>
      </c>
      <c r="J147" t="n">
        <v>0</v>
      </c>
      <c r="K147" t="n">
        <v>0</v>
      </c>
      <c r="L147" t="n">
        <v>0</v>
      </c>
      <c r="M147" t="n">
        <v>0</v>
      </c>
      <c r="N147" t="n">
        <v>0</v>
      </c>
      <c r="O147" t="n">
        <v>0</v>
      </c>
      <c r="P147" t="n">
        <v>0</v>
      </c>
      <c r="Q147" t="n">
        <v>0</v>
      </c>
      <c r="R147" s="2" t="inlineStr"/>
    </row>
    <row r="148" ht="15" customHeight="1">
      <c r="A148" t="inlineStr">
        <is>
          <t>A 30902-2025</t>
        </is>
      </c>
      <c r="B148" s="1" t="n">
        <v>45832.36104166666</v>
      </c>
      <c r="C148" s="1" t="n">
        <v>46162</v>
      </c>
      <c r="D148" t="inlineStr">
        <is>
          <t>STOCKHOLMS LÄN</t>
        </is>
      </c>
      <c r="E148" t="inlineStr">
        <is>
          <t>VALLENTUNA</t>
        </is>
      </c>
      <c r="G148" t="n">
        <v>8.199999999999999</v>
      </c>
      <c r="H148" t="n">
        <v>0</v>
      </c>
      <c r="I148" t="n">
        <v>0</v>
      </c>
      <c r="J148" t="n">
        <v>0</v>
      </c>
      <c r="K148" t="n">
        <v>0</v>
      </c>
      <c r="L148" t="n">
        <v>0</v>
      </c>
      <c r="M148" t="n">
        <v>0</v>
      </c>
      <c r="N148" t="n">
        <v>0</v>
      </c>
      <c r="O148" t="n">
        <v>0</v>
      </c>
      <c r="P148" t="n">
        <v>0</v>
      </c>
      <c r="Q148" t="n">
        <v>0</v>
      </c>
      <c r="R148" s="2" t="inlineStr"/>
    </row>
    <row r="149">
      <c r="A149" t="inlineStr">
        <is>
          <t>A 28431-2025</t>
        </is>
      </c>
      <c r="B149" s="1" t="n">
        <v>45819.38072916667</v>
      </c>
      <c r="C149" s="1" t="n">
        <v>46162</v>
      </c>
      <c r="D149" t="inlineStr">
        <is>
          <t>STOCKHOLMS LÄN</t>
        </is>
      </c>
      <c r="E149" t="inlineStr">
        <is>
          <t>VALLENTUNA</t>
        </is>
      </c>
      <c r="G149" t="n">
        <v>1.5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2026-05-20T10:58:29Z</dcterms:created>
  <dcterms:modified xmlns:dcterms="http://purl.org/dc/terms/" xmlns:xsi="http://www.w3.org/2001/XMLSchema-instance" xsi:type="dcterms:W3CDTF">2026-05-20T10:58:29Z</dcterms:modified>
</cp:coreProperties>
</file>