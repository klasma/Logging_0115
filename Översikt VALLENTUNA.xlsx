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45564</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45564</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45564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45564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45564</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45564</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45564</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55825-2023</t>
        </is>
      </c>
      <c r="B9" s="1" t="n">
        <v>45239</v>
      </c>
      <c r="C9" s="1" t="n">
        <v>45564</v>
      </c>
      <c r="D9" t="inlineStr">
        <is>
          <t>STOCKHOLMS LÄN</t>
        </is>
      </c>
      <c r="E9" t="inlineStr">
        <is>
          <t>VALLENTUNA</t>
        </is>
      </c>
      <c r="G9" t="n">
        <v>4.9</v>
      </c>
      <c r="H9" t="n">
        <v>5</v>
      </c>
      <c r="I9" t="n">
        <v>5</v>
      </c>
      <c r="J9" t="n">
        <v>5</v>
      </c>
      <c r="K9" t="n">
        <v>0</v>
      </c>
      <c r="L9" t="n">
        <v>0</v>
      </c>
      <c r="M9" t="n">
        <v>0</v>
      </c>
      <c r="N9" t="n">
        <v>0</v>
      </c>
      <c r="O9" t="n">
        <v>5</v>
      </c>
      <c r="P9" t="n">
        <v>0</v>
      </c>
      <c r="Q9" t="n">
        <v>13</v>
      </c>
      <c r="R9" s="2" t="inlineStr">
        <is>
          <t>Garnlav
Spillkråka
Talltita
Ullticka
Vedskivlav
Björksplintborre
Blodticka
Jättesvampmal
Mindre märgborre
Vedticka
Tjäder
Fläcknycklar
Revlummer</t>
        </is>
      </c>
      <c r="S9">
        <f>HYPERLINK("https://klasma.github.io/Logging_0115/artfynd/A 55825-2023 artfynd.xlsx", "A 55825-2023")</f>
        <v/>
      </c>
      <c r="T9">
        <f>HYPERLINK("https://klasma.github.io/Logging_0115/kartor/A 55825-2023 karta.png", "A 55825-2023")</f>
        <v/>
      </c>
      <c r="U9">
        <f>HYPERLINK("https://klasma.github.io/Logging_0115/knärot/A 55825-2023 karta knärot.png", "A 55825-2023")</f>
        <v/>
      </c>
      <c r="V9">
        <f>HYPERLINK("https://klasma.github.io/Logging_0115/klagomål/A 55825-2023 FSC-klagomål.docx", "A 55825-2023")</f>
        <v/>
      </c>
      <c r="W9">
        <f>HYPERLINK("https://klasma.github.io/Logging_0115/klagomålsmail/A 55825-2023 FSC-klagomål mail.docx", "A 55825-2023")</f>
        <v/>
      </c>
      <c r="X9">
        <f>HYPERLINK("https://klasma.github.io/Logging_0115/tillsyn/A 55825-2023 tillsynsbegäran.docx", "A 55825-2023")</f>
        <v/>
      </c>
      <c r="Y9">
        <f>HYPERLINK("https://klasma.github.io/Logging_0115/tillsynsmail/A 55825-2023 tillsynsbegäran mail.docx", "A 55825-2023")</f>
        <v/>
      </c>
      <c r="Z9">
        <f>HYPERLINK("https://klasma.github.io/Logging_0115/fåglar/A 55825-2023 prioriterade fågelarter.docx", "A 55825-2023")</f>
        <v/>
      </c>
    </row>
    <row r="10" ht="15" customHeight="1">
      <c r="A10" t="inlineStr">
        <is>
          <t>A 68153-2019</t>
        </is>
      </c>
      <c r="B10" s="1" t="n">
        <v>43817</v>
      </c>
      <c r="C10" s="1" t="n">
        <v>45564</v>
      </c>
      <c r="D10" t="inlineStr">
        <is>
          <t>STOCKHOLMS LÄN</t>
        </is>
      </c>
      <c r="E10" t="inlineStr">
        <is>
          <t>VALLENTUNA</t>
        </is>
      </c>
      <c r="G10" t="n">
        <v>21.8</v>
      </c>
      <c r="H10" t="n">
        <v>1</v>
      </c>
      <c r="I10" t="n">
        <v>9</v>
      </c>
      <c r="J10" t="n">
        <v>3</v>
      </c>
      <c r="K10" t="n">
        <v>0</v>
      </c>
      <c r="L10" t="n">
        <v>0</v>
      </c>
      <c r="M10" t="n">
        <v>0</v>
      </c>
      <c r="N10" t="n">
        <v>0</v>
      </c>
      <c r="O10" t="n">
        <v>3</v>
      </c>
      <c r="P10" t="n">
        <v>0</v>
      </c>
      <c r="Q10" t="n">
        <v>12</v>
      </c>
      <c r="R10" s="2" t="inlineStr">
        <is>
          <t>Dofttaggsvamp
Granticka
Mörk kolflarnlav
Blåmossa
Bollvitmossa
Grön sköldmossa
Kattfotslav
Mindre märgborre
Rödgul trumpetsvamp
Skarp dropptaggsvamp
Skuggblåslav
Vedticka</t>
        </is>
      </c>
      <c r="S10">
        <f>HYPERLINK("https://klasma.github.io/Logging_0115/artfynd/A 68153-2019 artfynd.xlsx", "A 68153-2019")</f>
        <v/>
      </c>
      <c r="T10">
        <f>HYPERLINK("https://klasma.github.io/Logging_0115/kartor/A 68153-2019 karta.png", "A 68153-2019")</f>
        <v/>
      </c>
      <c r="V10">
        <f>HYPERLINK("https://klasma.github.io/Logging_0115/klagomål/A 68153-2019 FSC-klagomål.docx", "A 68153-2019")</f>
        <v/>
      </c>
      <c r="W10">
        <f>HYPERLINK("https://klasma.github.io/Logging_0115/klagomålsmail/A 68153-2019 FSC-klagomål mail.docx", "A 68153-2019")</f>
        <v/>
      </c>
      <c r="X10">
        <f>HYPERLINK("https://klasma.github.io/Logging_0115/tillsyn/A 68153-2019 tillsynsbegäran.docx", "A 68153-2019")</f>
        <v/>
      </c>
      <c r="Y10">
        <f>HYPERLINK("https://klasma.github.io/Logging_0115/tillsynsmail/A 68153-2019 tillsynsbegäran mail.docx", "A 68153-2019")</f>
        <v/>
      </c>
    </row>
    <row r="11" ht="15" customHeight="1">
      <c r="A11" t="inlineStr">
        <is>
          <t>A 22060-2022</t>
        </is>
      </c>
      <c r="B11" s="1" t="n">
        <v>44711</v>
      </c>
      <c r="C11" s="1" t="n">
        <v>45564</v>
      </c>
      <c r="D11" t="inlineStr">
        <is>
          <t>STOCKHOLMS LÄN</t>
        </is>
      </c>
      <c r="E11" t="inlineStr">
        <is>
          <t>VALLENTUNA</t>
        </is>
      </c>
      <c r="G11" t="n">
        <v>5.4</v>
      </c>
      <c r="H11" t="n">
        <v>3</v>
      </c>
      <c r="I11" t="n">
        <v>7</v>
      </c>
      <c r="J11" t="n">
        <v>2</v>
      </c>
      <c r="K11" t="n">
        <v>0</v>
      </c>
      <c r="L11" t="n">
        <v>0</v>
      </c>
      <c r="M11" t="n">
        <v>0</v>
      </c>
      <c r="N11" t="n">
        <v>0</v>
      </c>
      <c r="O11" t="n">
        <v>2</v>
      </c>
      <c r="P11" t="n">
        <v>0</v>
      </c>
      <c r="Q11" t="n">
        <v>11</v>
      </c>
      <c r="R11" s="2" t="inlineStr">
        <is>
          <t>Grönhjon
Ullticka
Bronshjon
Granbarkgnagare
Grönpyrola
Korallrot
Stubbspretmossa
Vågbandad barkbock
Ögonpyrola
Fläcknycklar
Blåsippa</t>
        </is>
      </c>
      <c r="S11">
        <f>HYPERLINK("https://klasma.github.io/Logging_0115/artfynd/A 22060-2022 artfynd.xlsx", "A 22060-2022")</f>
        <v/>
      </c>
      <c r="T11">
        <f>HYPERLINK("https://klasma.github.io/Logging_0115/kartor/A 22060-2022 karta.png", "A 22060-2022")</f>
        <v/>
      </c>
      <c r="V11">
        <f>HYPERLINK("https://klasma.github.io/Logging_0115/klagomål/A 22060-2022 FSC-klagomål.docx", "A 22060-2022")</f>
        <v/>
      </c>
      <c r="W11">
        <f>HYPERLINK("https://klasma.github.io/Logging_0115/klagomålsmail/A 22060-2022 FSC-klagomål mail.docx", "A 22060-2022")</f>
        <v/>
      </c>
      <c r="X11">
        <f>HYPERLINK("https://klasma.github.io/Logging_0115/tillsyn/A 22060-2022 tillsynsbegäran.docx", "A 22060-2022")</f>
        <v/>
      </c>
      <c r="Y11">
        <f>HYPERLINK("https://klasma.github.io/Logging_0115/tillsynsmail/A 22060-2022 tillsynsbegäran mail.docx", "A 22060-2022")</f>
        <v/>
      </c>
    </row>
    <row r="12" ht="15" customHeight="1">
      <c r="A12" t="inlineStr">
        <is>
          <t>A 15265-2023</t>
        </is>
      </c>
      <c r="B12" s="1" t="n">
        <v>45019</v>
      </c>
      <c r="C12" s="1" t="n">
        <v>45564</v>
      </c>
      <c r="D12" t="inlineStr">
        <is>
          <t>STOCKHOLMS LÄN</t>
        </is>
      </c>
      <c r="E12" t="inlineStr">
        <is>
          <t>VALLENTUNA</t>
        </is>
      </c>
      <c r="G12" t="n">
        <v>4.2</v>
      </c>
      <c r="H12" t="n">
        <v>3</v>
      </c>
      <c r="I12" t="n">
        <v>5</v>
      </c>
      <c r="J12" t="n">
        <v>4</v>
      </c>
      <c r="K12" t="n">
        <v>0</v>
      </c>
      <c r="L12" t="n">
        <v>0</v>
      </c>
      <c r="M12" t="n">
        <v>0</v>
      </c>
      <c r="N12" t="n">
        <v>0</v>
      </c>
      <c r="O12" t="n">
        <v>4</v>
      </c>
      <c r="P12" t="n">
        <v>0</v>
      </c>
      <c r="Q12" t="n">
        <v>10</v>
      </c>
      <c r="R12" s="2" t="inlineStr">
        <is>
          <t>Asppraktbagge
Gullklöver
Mindre bastardsvärmare
Spillkråka
Ljus vedstrit
Skogsknipprot
Spindelbock
Stekelbock
Tibast
Skogsödla</t>
        </is>
      </c>
      <c r="S12">
        <f>HYPERLINK("https://klasma.github.io/Logging_0115/artfynd/A 15265-2023 artfynd.xlsx", "A 15265-2023")</f>
        <v/>
      </c>
      <c r="T12">
        <f>HYPERLINK("https://klasma.github.io/Logging_0115/kartor/A 15265-2023 karta.png", "A 15265-2023")</f>
        <v/>
      </c>
      <c r="V12">
        <f>HYPERLINK("https://klasma.github.io/Logging_0115/klagomål/A 15265-2023 FSC-klagomål.docx", "A 15265-2023")</f>
        <v/>
      </c>
      <c r="W12">
        <f>HYPERLINK("https://klasma.github.io/Logging_0115/klagomålsmail/A 15265-2023 FSC-klagomål mail.docx", "A 15265-2023")</f>
        <v/>
      </c>
      <c r="X12">
        <f>HYPERLINK("https://klasma.github.io/Logging_0115/tillsyn/A 15265-2023 tillsynsbegäran.docx", "A 15265-2023")</f>
        <v/>
      </c>
      <c r="Y12">
        <f>HYPERLINK("https://klasma.github.io/Logging_0115/tillsynsmail/A 15265-2023 tillsynsbegäran mail.docx", "A 15265-2023")</f>
        <v/>
      </c>
      <c r="Z12">
        <f>HYPERLINK("https://klasma.github.io/Logging_0115/fåglar/A 15265-2023 prioriterade fågelarter.docx", "A 15265-2023")</f>
        <v/>
      </c>
    </row>
    <row r="13" ht="15" customHeight="1">
      <c r="A13" t="inlineStr">
        <is>
          <t>A 22064-2022</t>
        </is>
      </c>
      <c r="B13" s="1" t="n">
        <v>44711</v>
      </c>
      <c r="C13" s="1" t="n">
        <v>45564</v>
      </c>
      <c r="D13" t="inlineStr">
        <is>
          <t>STOCKHOLMS LÄN</t>
        </is>
      </c>
      <c r="E13" t="inlineStr">
        <is>
          <t>VALLENTUNA</t>
        </is>
      </c>
      <c r="G13" t="n">
        <v>4.3</v>
      </c>
      <c r="H13" t="n">
        <v>2</v>
      </c>
      <c r="I13" t="n">
        <v>7</v>
      </c>
      <c r="J13" t="n">
        <v>1</v>
      </c>
      <c r="K13" t="n">
        <v>0</v>
      </c>
      <c r="L13" t="n">
        <v>0</v>
      </c>
      <c r="M13" t="n">
        <v>0</v>
      </c>
      <c r="N13" t="n">
        <v>0</v>
      </c>
      <c r="O13" t="n">
        <v>1</v>
      </c>
      <c r="P13" t="n">
        <v>0</v>
      </c>
      <c r="Q13" t="n">
        <v>9</v>
      </c>
      <c r="R13" s="2" t="inlineStr">
        <is>
          <t>Spillkråka
Björksplintborre
Blåmossa
Bronshjon
Fjällig taggsvamp s.str.
Granbarkgnagare
Stubbspretmossa
Vågbandad barkbock
Blåsippa</t>
        </is>
      </c>
      <c r="S13">
        <f>HYPERLINK("https://klasma.github.io/Logging_0115/artfynd/A 22064-2022 artfynd.xlsx", "A 22064-2022")</f>
        <v/>
      </c>
      <c r="T13">
        <f>HYPERLINK("https://klasma.github.io/Logging_0115/kartor/A 22064-2022 karta.png", "A 22064-2022")</f>
        <v/>
      </c>
      <c r="V13">
        <f>HYPERLINK("https://klasma.github.io/Logging_0115/klagomål/A 22064-2022 FSC-klagomål.docx", "A 22064-2022")</f>
        <v/>
      </c>
      <c r="W13">
        <f>HYPERLINK("https://klasma.github.io/Logging_0115/klagomålsmail/A 22064-2022 FSC-klagomål mail.docx", "A 22064-2022")</f>
        <v/>
      </c>
      <c r="X13">
        <f>HYPERLINK("https://klasma.github.io/Logging_0115/tillsyn/A 22064-2022 tillsynsbegäran.docx", "A 22064-2022")</f>
        <v/>
      </c>
      <c r="Y13">
        <f>HYPERLINK("https://klasma.github.io/Logging_0115/tillsynsmail/A 22064-2022 tillsynsbegäran mail.docx", "A 22064-2022")</f>
        <v/>
      </c>
      <c r="Z13">
        <f>HYPERLINK("https://klasma.github.io/Logging_0115/fåglar/A 22064-2022 prioriterade fågelarter.docx", "A 22064-2022")</f>
        <v/>
      </c>
    </row>
    <row r="14" ht="15" customHeight="1">
      <c r="A14" t="inlineStr">
        <is>
          <t>A 14469-2024</t>
        </is>
      </c>
      <c r="B14" s="1" t="n">
        <v>45394</v>
      </c>
      <c r="C14" s="1" t="n">
        <v>45564</v>
      </c>
      <c r="D14" t="inlineStr">
        <is>
          <t>STOCKHOLMS LÄN</t>
        </is>
      </c>
      <c r="E14" t="inlineStr">
        <is>
          <t>VALLENTUNA</t>
        </is>
      </c>
      <c r="G14" t="n">
        <v>17.6</v>
      </c>
      <c r="H14" t="n">
        <v>1</v>
      </c>
      <c r="I14" t="n">
        <v>6</v>
      </c>
      <c r="J14" t="n">
        <v>3</v>
      </c>
      <c r="K14" t="n">
        <v>0</v>
      </c>
      <c r="L14" t="n">
        <v>0</v>
      </c>
      <c r="M14" t="n">
        <v>0</v>
      </c>
      <c r="N14" t="n">
        <v>0</v>
      </c>
      <c r="O14" t="n">
        <v>3</v>
      </c>
      <c r="P14" t="n">
        <v>0</v>
      </c>
      <c r="Q14" t="n">
        <v>9</v>
      </c>
      <c r="R14" s="2" t="inlineStr">
        <is>
          <t>Spillkråka
Ullticka
Vedskivlav
Björksplintborre
Bronshjon
Grönpyrola
Mindre märgborre
Vedticka
Vågbandad barkbock</t>
        </is>
      </c>
      <c r="S14">
        <f>HYPERLINK("https://klasma.github.io/Logging_0115/artfynd/A 14469-2024 artfynd.xlsx", "A 14469-2024")</f>
        <v/>
      </c>
      <c r="T14">
        <f>HYPERLINK("https://klasma.github.io/Logging_0115/kartor/A 14469-2024 karta.png", "A 14469-2024")</f>
        <v/>
      </c>
      <c r="V14">
        <f>HYPERLINK("https://klasma.github.io/Logging_0115/klagomål/A 14469-2024 FSC-klagomål.docx", "A 14469-2024")</f>
        <v/>
      </c>
      <c r="W14">
        <f>HYPERLINK("https://klasma.github.io/Logging_0115/klagomålsmail/A 14469-2024 FSC-klagomål mail.docx", "A 14469-2024")</f>
        <v/>
      </c>
      <c r="X14">
        <f>HYPERLINK("https://klasma.github.io/Logging_0115/tillsyn/A 14469-2024 tillsynsbegäran.docx", "A 14469-2024")</f>
        <v/>
      </c>
      <c r="Y14">
        <f>HYPERLINK("https://klasma.github.io/Logging_0115/tillsynsmail/A 14469-2024 tillsynsbegäran mail.docx", "A 14469-2024")</f>
        <v/>
      </c>
      <c r="Z14">
        <f>HYPERLINK("https://klasma.github.io/Logging_0115/fåglar/A 14469-2024 prioriterade fågelarter.docx", "A 14469-2024")</f>
        <v/>
      </c>
    </row>
    <row r="15" ht="15" customHeight="1">
      <c r="A15" t="inlineStr">
        <is>
          <t>A 22061-2022</t>
        </is>
      </c>
      <c r="B15" s="1" t="n">
        <v>44711</v>
      </c>
      <c r="C15" s="1" t="n">
        <v>45564</v>
      </c>
      <c r="D15" t="inlineStr">
        <is>
          <t>STOCKHOLMS LÄN</t>
        </is>
      </c>
      <c r="E15" t="inlineStr">
        <is>
          <t>VALLENTUNA</t>
        </is>
      </c>
      <c r="G15" t="n">
        <v>6.2</v>
      </c>
      <c r="H15" t="n">
        <v>2</v>
      </c>
      <c r="I15" t="n">
        <v>4</v>
      </c>
      <c r="J15" t="n">
        <v>2</v>
      </c>
      <c r="K15" t="n">
        <v>1</v>
      </c>
      <c r="L15" t="n">
        <v>0</v>
      </c>
      <c r="M15" t="n">
        <v>0</v>
      </c>
      <c r="N15" t="n">
        <v>0</v>
      </c>
      <c r="O15" t="n">
        <v>3</v>
      </c>
      <c r="P15" t="n">
        <v>1</v>
      </c>
      <c r="Q15" t="n">
        <v>8</v>
      </c>
      <c r="R15" s="2" t="inlineStr">
        <is>
          <t>Knärot
Orange taggsvamp
Ullticka
Fjällig taggsvamp s.str.
Grönpyrola
Rostfläck
Stubbspretmossa
Blåsippa</t>
        </is>
      </c>
      <c r="S15">
        <f>HYPERLINK("https://klasma.github.io/Logging_0115/artfynd/A 22061-2022 artfynd.xlsx", "A 22061-2022")</f>
        <v/>
      </c>
      <c r="T15">
        <f>HYPERLINK("https://klasma.github.io/Logging_0115/kartor/A 22061-2022 karta.png", "A 22061-2022")</f>
        <v/>
      </c>
      <c r="U15">
        <f>HYPERLINK("https://klasma.github.io/Logging_0115/knärot/A 22061-2022 karta knärot.png", "A 22061-2022")</f>
        <v/>
      </c>
      <c r="V15">
        <f>HYPERLINK("https://klasma.github.io/Logging_0115/klagomål/A 22061-2022 FSC-klagomål.docx", "A 22061-2022")</f>
        <v/>
      </c>
      <c r="W15">
        <f>HYPERLINK("https://klasma.github.io/Logging_0115/klagomålsmail/A 22061-2022 FSC-klagomål mail.docx", "A 22061-2022")</f>
        <v/>
      </c>
      <c r="X15">
        <f>HYPERLINK("https://klasma.github.io/Logging_0115/tillsyn/A 22061-2022 tillsynsbegäran.docx", "A 22061-2022")</f>
        <v/>
      </c>
      <c r="Y15">
        <f>HYPERLINK("https://klasma.github.io/Logging_0115/tillsynsmail/A 22061-2022 tillsynsbegäran mail.docx", "A 22061-2022")</f>
        <v/>
      </c>
    </row>
    <row r="16" ht="15" customHeight="1">
      <c r="A16" t="inlineStr">
        <is>
          <t>A 25512-2022</t>
        </is>
      </c>
      <c r="B16" s="1" t="n">
        <v>44732</v>
      </c>
      <c r="C16" s="1" t="n">
        <v>45564</v>
      </c>
      <c r="D16" t="inlineStr">
        <is>
          <t>STOCKHOLMS LÄN</t>
        </is>
      </c>
      <c r="E16" t="inlineStr">
        <is>
          <t>VALLENTUNA</t>
        </is>
      </c>
      <c r="G16" t="n">
        <v>13.8</v>
      </c>
      <c r="H16" t="n">
        <v>0</v>
      </c>
      <c r="I16" t="n">
        <v>5</v>
      </c>
      <c r="J16" t="n">
        <v>3</v>
      </c>
      <c r="K16" t="n">
        <v>0</v>
      </c>
      <c r="L16" t="n">
        <v>0</v>
      </c>
      <c r="M16" t="n">
        <v>0</v>
      </c>
      <c r="N16" t="n">
        <v>0</v>
      </c>
      <c r="O16" t="n">
        <v>3</v>
      </c>
      <c r="P16" t="n">
        <v>0</v>
      </c>
      <c r="Q16" t="n">
        <v>8</v>
      </c>
      <c r="R16" s="2" t="inlineStr">
        <is>
          <t>Granticka
Gränsticka
Orange taggsvamp
Fjällig taggsvamp s.str.
Gullgröppa
Rödgul trumpetsvamp
Skarp dropptaggsvamp
Vedticka</t>
        </is>
      </c>
      <c r="S16">
        <f>HYPERLINK("https://klasma.github.io/Logging_0115/artfynd/A 25512-2022 artfynd.xlsx", "A 25512-2022")</f>
        <v/>
      </c>
      <c r="T16">
        <f>HYPERLINK("https://klasma.github.io/Logging_0115/kartor/A 25512-2022 karta.png", "A 25512-2022")</f>
        <v/>
      </c>
      <c r="V16">
        <f>HYPERLINK("https://klasma.github.io/Logging_0115/klagomål/A 25512-2022 FSC-klagomål.docx", "A 25512-2022")</f>
        <v/>
      </c>
      <c r="W16">
        <f>HYPERLINK("https://klasma.github.io/Logging_0115/klagomålsmail/A 25512-2022 FSC-klagomål mail.docx", "A 25512-2022")</f>
        <v/>
      </c>
      <c r="X16">
        <f>HYPERLINK("https://klasma.github.io/Logging_0115/tillsyn/A 25512-2022 tillsynsbegäran.docx", "A 25512-2022")</f>
        <v/>
      </c>
      <c r="Y16">
        <f>HYPERLINK("https://klasma.github.io/Logging_0115/tillsynsmail/A 25512-2022 tillsynsbegäran mail.docx", "A 25512-2022")</f>
        <v/>
      </c>
    </row>
    <row r="17" ht="15" customHeight="1">
      <c r="A17" t="inlineStr">
        <is>
          <t>A 42922-2023</t>
        </is>
      </c>
      <c r="B17" s="1" t="n">
        <v>45182</v>
      </c>
      <c r="C17" s="1" t="n">
        <v>45564</v>
      </c>
      <c r="D17" t="inlineStr">
        <is>
          <t>STOCKHOLMS LÄN</t>
        </is>
      </c>
      <c r="E17" t="inlineStr">
        <is>
          <t>VALLENTUNA</t>
        </is>
      </c>
      <c r="G17" t="n">
        <v>4.2</v>
      </c>
      <c r="H17" t="n">
        <v>1</v>
      </c>
      <c r="I17" t="n">
        <v>4</v>
      </c>
      <c r="J17" t="n">
        <v>3</v>
      </c>
      <c r="K17" t="n">
        <v>0</v>
      </c>
      <c r="L17" t="n">
        <v>0</v>
      </c>
      <c r="M17" t="n">
        <v>0</v>
      </c>
      <c r="N17" t="n">
        <v>0</v>
      </c>
      <c r="O17" t="n">
        <v>3</v>
      </c>
      <c r="P17" t="n">
        <v>0</v>
      </c>
      <c r="Q17" t="n">
        <v>8</v>
      </c>
      <c r="R17" s="2" t="inlineStr">
        <is>
          <t>Granticka
Motaggsvamp
Orange taggsvamp
Fjällig taggsvamp s.str.
Granbarkgnagare
Grönpyrola
Rödgul trumpetsvamp
Blåsippa</t>
        </is>
      </c>
      <c r="S17">
        <f>HYPERLINK("https://klasma.github.io/Logging_0115/artfynd/A 42922-2023 artfynd.xlsx", "A 42922-2023")</f>
        <v/>
      </c>
      <c r="T17">
        <f>HYPERLINK("https://klasma.github.io/Logging_0115/kartor/A 42922-2023 karta.png", "A 42922-2023")</f>
        <v/>
      </c>
      <c r="V17">
        <f>HYPERLINK("https://klasma.github.io/Logging_0115/klagomål/A 42922-2023 FSC-klagomål.docx", "A 42922-2023")</f>
        <v/>
      </c>
      <c r="W17">
        <f>HYPERLINK("https://klasma.github.io/Logging_0115/klagomålsmail/A 42922-2023 FSC-klagomål mail.docx", "A 42922-2023")</f>
        <v/>
      </c>
      <c r="X17">
        <f>HYPERLINK("https://klasma.github.io/Logging_0115/tillsyn/A 42922-2023 tillsynsbegäran.docx", "A 42922-2023")</f>
        <v/>
      </c>
      <c r="Y17">
        <f>HYPERLINK("https://klasma.github.io/Logging_0115/tillsynsmail/A 42922-2023 tillsynsbegäran mail.docx", "A 42922-2023")</f>
        <v/>
      </c>
    </row>
    <row r="18" ht="15" customHeight="1">
      <c r="A18" t="inlineStr">
        <is>
          <t>A 14499-2024</t>
        </is>
      </c>
      <c r="B18" s="1" t="n">
        <v>45394</v>
      </c>
      <c r="C18" s="1" t="n">
        <v>45564</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45564</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45564</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45564</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45564</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12577-2023</t>
        </is>
      </c>
      <c r="B23" s="1" t="n">
        <v>45000</v>
      </c>
      <c r="C23" s="1" t="n">
        <v>45564</v>
      </c>
      <c r="D23" t="inlineStr">
        <is>
          <t>STOCKHOLMS LÄN</t>
        </is>
      </c>
      <c r="E23" t="inlineStr">
        <is>
          <t>VALLENTUNA</t>
        </is>
      </c>
      <c r="G23" t="n">
        <v>3</v>
      </c>
      <c r="H23" t="n">
        <v>2</v>
      </c>
      <c r="I23" t="n">
        <v>3</v>
      </c>
      <c r="J23" t="n">
        <v>0</v>
      </c>
      <c r="K23" t="n">
        <v>0</v>
      </c>
      <c r="L23" t="n">
        <v>0</v>
      </c>
      <c r="M23" t="n">
        <v>0</v>
      </c>
      <c r="N23" t="n">
        <v>0</v>
      </c>
      <c r="O23" t="n">
        <v>0</v>
      </c>
      <c r="P23" t="n">
        <v>0</v>
      </c>
      <c r="Q23" t="n">
        <v>4</v>
      </c>
      <c r="R23" s="2" t="inlineStr">
        <is>
          <t>Grön sköldmossa
Jättesvampmal
Rävticka
Blåsippa</t>
        </is>
      </c>
      <c r="S23">
        <f>HYPERLINK("https://klasma.github.io/Logging_0115/artfynd/A 12577-2023 artfynd.xlsx", "A 12577-2023")</f>
        <v/>
      </c>
      <c r="T23">
        <f>HYPERLINK("https://klasma.github.io/Logging_0115/kartor/A 12577-2023 karta.png", "A 12577-2023")</f>
        <v/>
      </c>
      <c r="V23">
        <f>HYPERLINK("https://klasma.github.io/Logging_0115/klagomål/A 12577-2023 FSC-klagomål.docx", "A 12577-2023")</f>
        <v/>
      </c>
      <c r="W23">
        <f>HYPERLINK("https://klasma.github.io/Logging_0115/klagomålsmail/A 12577-2023 FSC-klagomål mail.docx", "A 12577-2023")</f>
        <v/>
      </c>
      <c r="X23">
        <f>HYPERLINK("https://klasma.github.io/Logging_0115/tillsyn/A 12577-2023 tillsynsbegäran.docx", "A 12577-2023")</f>
        <v/>
      </c>
      <c r="Y23">
        <f>HYPERLINK("https://klasma.github.io/Logging_0115/tillsynsmail/A 12577-2023 tillsynsbegäran mail.docx", "A 12577-2023")</f>
        <v/>
      </c>
    </row>
    <row r="24" ht="15" customHeight="1">
      <c r="A24" t="inlineStr">
        <is>
          <t>A 3552-2023</t>
        </is>
      </c>
      <c r="B24" s="1" t="n">
        <v>44950</v>
      </c>
      <c r="C24" s="1" t="n">
        <v>45564</v>
      </c>
      <c r="D24" t="inlineStr">
        <is>
          <t>STOCKHOLMS LÄN</t>
        </is>
      </c>
      <c r="E24" t="inlineStr">
        <is>
          <t>VALLENTUNA</t>
        </is>
      </c>
      <c r="G24" t="n">
        <v>8.800000000000001</v>
      </c>
      <c r="H24" t="n">
        <v>2</v>
      </c>
      <c r="I24" t="n">
        <v>1</v>
      </c>
      <c r="J24" t="n">
        <v>1</v>
      </c>
      <c r="K24" t="n">
        <v>0</v>
      </c>
      <c r="L24" t="n">
        <v>0</v>
      </c>
      <c r="M24" t="n">
        <v>0</v>
      </c>
      <c r="N24" t="n">
        <v>0</v>
      </c>
      <c r="O24" t="n">
        <v>1</v>
      </c>
      <c r="P24" t="n">
        <v>0</v>
      </c>
      <c r="Q24" t="n">
        <v>3</v>
      </c>
      <c r="R24" s="2" t="inlineStr">
        <is>
          <t>Kråka
Skogshakmossa
Blåsippa</t>
        </is>
      </c>
      <c r="S24">
        <f>HYPERLINK("https://klasma.github.io/Logging_0115/artfynd/A 3552-2023 artfynd.xlsx", "A 3552-2023")</f>
        <v/>
      </c>
      <c r="T24">
        <f>HYPERLINK("https://klasma.github.io/Logging_0115/kartor/A 3552-2023 karta.png", "A 3552-2023")</f>
        <v/>
      </c>
      <c r="V24">
        <f>HYPERLINK("https://klasma.github.io/Logging_0115/klagomål/A 3552-2023 FSC-klagomål.docx", "A 3552-2023")</f>
        <v/>
      </c>
      <c r="W24">
        <f>HYPERLINK("https://klasma.github.io/Logging_0115/klagomålsmail/A 3552-2023 FSC-klagomål mail.docx", "A 3552-2023")</f>
        <v/>
      </c>
      <c r="X24">
        <f>HYPERLINK("https://klasma.github.io/Logging_0115/tillsyn/A 3552-2023 tillsynsbegäran.docx", "A 3552-2023")</f>
        <v/>
      </c>
      <c r="Y24">
        <f>HYPERLINK("https://klasma.github.io/Logging_0115/tillsynsmail/A 3552-2023 tillsynsbegäran mail.docx", "A 3552-2023")</f>
        <v/>
      </c>
      <c r="Z24">
        <f>HYPERLINK("https://klasma.github.io/Logging_0115/fåglar/A 3552-2023 prioriterade fågelarter.docx", "A 3552-2023")</f>
        <v/>
      </c>
    </row>
    <row r="25" ht="15" customHeight="1">
      <c r="A25" t="inlineStr">
        <is>
          <t>A 15308-2023</t>
        </is>
      </c>
      <c r="B25" s="1" t="n">
        <v>45019</v>
      </c>
      <c r="C25" s="1" t="n">
        <v>45564</v>
      </c>
      <c r="D25" t="inlineStr">
        <is>
          <t>STOCKHOLMS LÄN</t>
        </is>
      </c>
      <c r="E25" t="inlineStr">
        <is>
          <t>VALLENTUNA</t>
        </is>
      </c>
      <c r="G25" t="n">
        <v>6.4</v>
      </c>
      <c r="H25" t="n">
        <v>2</v>
      </c>
      <c r="I25" t="n">
        <v>1</v>
      </c>
      <c r="J25" t="n">
        <v>0</v>
      </c>
      <c r="K25" t="n">
        <v>0</v>
      </c>
      <c r="L25" t="n">
        <v>0</v>
      </c>
      <c r="M25" t="n">
        <v>0</v>
      </c>
      <c r="N25" t="n">
        <v>0</v>
      </c>
      <c r="O25" t="n">
        <v>0</v>
      </c>
      <c r="P25" t="n">
        <v>0</v>
      </c>
      <c r="Q25" t="n">
        <v>3</v>
      </c>
      <c r="R25" s="2" t="inlineStr">
        <is>
          <t>Ögonpyrola
Fläcknycklar
Revlummer</t>
        </is>
      </c>
      <c r="S25">
        <f>HYPERLINK("https://klasma.github.io/Logging_0115/artfynd/A 15308-2023 artfynd.xlsx", "A 15308-2023")</f>
        <v/>
      </c>
      <c r="T25">
        <f>HYPERLINK("https://klasma.github.io/Logging_0115/kartor/A 15308-2023 karta.png", "A 15308-2023")</f>
        <v/>
      </c>
      <c r="V25">
        <f>HYPERLINK("https://klasma.github.io/Logging_0115/klagomål/A 15308-2023 FSC-klagomål.docx", "A 15308-2023")</f>
        <v/>
      </c>
      <c r="W25">
        <f>HYPERLINK("https://klasma.github.io/Logging_0115/klagomålsmail/A 15308-2023 FSC-klagomål mail.docx", "A 15308-2023")</f>
        <v/>
      </c>
      <c r="X25">
        <f>HYPERLINK("https://klasma.github.io/Logging_0115/tillsyn/A 15308-2023 tillsynsbegäran.docx", "A 15308-2023")</f>
        <v/>
      </c>
      <c r="Y25">
        <f>HYPERLINK("https://klasma.github.io/Logging_0115/tillsynsmail/A 15308-2023 tillsynsbegäran mail.docx", "A 15308-2023")</f>
        <v/>
      </c>
    </row>
    <row r="26" ht="15" customHeight="1">
      <c r="A26" t="inlineStr">
        <is>
          <t>A 37456-2023</t>
        </is>
      </c>
      <c r="B26" s="1" t="n">
        <v>45156</v>
      </c>
      <c r="C26" s="1" t="n">
        <v>45564</v>
      </c>
      <c r="D26" t="inlineStr">
        <is>
          <t>STOCKHOLMS LÄN</t>
        </is>
      </c>
      <c r="E26" t="inlineStr">
        <is>
          <t>VALLENTUNA</t>
        </is>
      </c>
      <c r="F26" t="inlineStr">
        <is>
          <t>Övriga Aktiebolag</t>
        </is>
      </c>
      <c r="G26" t="n">
        <v>3.3</v>
      </c>
      <c r="H26" t="n">
        <v>1</v>
      </c>
      <c r="I26" t="n">
        <v>2</v>
      </c>
      <c r="J26" t="n">
        <v>0</v>
      </c>
      <c r="K26" t="n">
        <v>0</v>
      </c>
      <c r="L26" t="n">
        <v>0</v>
      </c>
      <c r="M26" t="n">
        <v>0</v>
      </c>
      <c r="N26" t="n">
        <v>0</v>
      </c>
      <c r="O26" t="n">
        <v>0</v>
      </c>
      <c r="P26" t="n">
        <v>0</v>
      </c>
      <c r="Q26" t="n">
        <v>3</v>
      </c>
      <c r="R26" s="2" t="inlineStr">
        <is>
          <t>Skarp dropptaggsvamp
Tjockfotad fingersvamp
Blåsippa</t>
        </is>
      </c>
      <c r="S26">
        <f>HYPERLINK("https://klasma.github.io/Logging_0115/artfynd/A 37456-2023 artfynd.xlsx", "A 37456-2023")</f>
        <v/>
      </c>
      <c r="T26">
        <f>HYPERLINK("https://klasma.github.io/Logging_0115/kartor/A 37456-2023 karta.png", "A 37456-2023")</f>
        <v/>
      </c>
      <c r="V26">
        <f>HYPERLINK("https://klasma.github.io/Logging_0115/klagomål/A 37456-2023 FSC-klagomål.docx", "A 37456-2023")</f>
        <v/>
      </c>
      <c r="W26">
        <f>HYPERLINK("https://klasma.github.io/Logging_0115/klagomålsmail/A 37456-2023 FSC-klagomål mail.docx", "A 37456-2023")</f>
        <v/>
      </c>
      <c r="X26">
        <f>HYPERLINK("https://klasma.github.io/Logging_0115/tillsyn/A 37456-2023 tillsynsbegäran.docx", "A 37456-2023")</f>
        <v/>
      </c>
      <c r="Y26">
        <f>HYPERLINK("https://klasma.github.io/Logging_0115/tillsynsmail/A 37456-2023 tillsynsbegäran mail.docx", "A 37456-2023")</f>
        <v/>
      </c>
    </row>
    <row r="27" ht="15" customHeight="1">
      <c r="A27" t="inlineStr">
        <is>
          <t>A 13571-2024</t>
        </is>
      </c>
      <c r="B27" s="1" t="n">
        <v>45389</v>
      </c>
      <c r="C27" s="1" t="n">
        <v>45564</v>
      </c>
      <c r="D27" t="inlineStr">
        <is>
          <t>STOCKHOLMS LÄN</t>
        </is>
      </c>
      <c r="E27" t="inlineStr">
        <is>
          <t>VALLENTUNA</t>
        </is>
      </c>
      <c r="G27" t="n">
        <v>21.7</v>
      </c>
      <c r="H27" t="n">
        <v>1</v>
      </c>
      <c r="I27" t="n">
        <v>1</v>
      </c>
      <c r="J27" t="n">
        <v>1</v>
      </c>
      <c r="K27" t="n">
        <v>0</v>
      </c>
      <c r="L27" t="n">
        <v>0</v>
      </c>
      <c r="M27" t="n">
        <v>0</v>
      </c>
      <c r="N27" t="n">
        <v>0</v>
      </c>
      <c r="O27" t="n">
        <v>1</v>
      </c>
      <c r="P27" t="n">
        <v>0</v>
      </c>
      <c r="Q27" t="n">
        <v>3</v>
      </c>
      <c r="R27" s="2" t="inlineStr">
        <is>
          <t>Vedskivlav
Vedticka
Tjäder</t>
        </is>
      </c>
      <c r="S27">
        <f>HYPERLINK("https://klasma.github.io/Logging_0115/artfynd/A 13571-2024 artfynd.xlsx", "A 13571-2024")</f>
        <v/>
      </c>
      <c r="T27">
        <f>HYPERLINK("https://klasma.github.io/Logging_0115/kartor/A 13571-2024 karta.png", "A 13571-2024")</f>
        <v/>
      </c>
      <c r="V27">
        <f>HYPERLINK("https://klasma.github.io/Logging_0115/klagomål/A 13571-2024 FSC-klagomål.docx", "A 13571-2024")</f>
        <v/>
      </c>
      <c r="W27">
        <f>HYPERLINK("https://klasma.github.io/Logging_0115/klagomålsmail/A 13571-2024 FSC-klagomål mail.docx", "A 13571-2024")</f>
        <v/>
      </c>
      <c r="X27">
        <f>HYPERLINK("https://klasma.github.io/Logging_0115/tillsyn/A 13571-2024 tillsynsbegäran.docx", "A 13571-2024")</f>
        <v/>
      </c>
      <c r="Y27">
        <f>HYPERLINK("https://klasma.github.io/Logging_0115/tillsynsmail/A 13571-2024 tillsynsbegäran mail.docx", "A 13571-2024")</f>
        <v/>
      </c>
      <c r="Z27">
        <f>HYPERLINK("https://klasma.github.io/Logging_0115/fåglar/A 13571-2024 prioriterade fågelarter.docx", "A 13571-2024")</f>
        <v/>
      </c>
    </row>
    <row r="28" ht="15" customHeight="1">
      <c r="A28" t="inlineStr">
        <is>
          <t>A 4124-2020</t>
        </is>
      </c>
      <c r="B28" s="1" t="n">
        <v>43857</v>
      </c>
      <c r="C28" s="1" t="n">
        <v>45564</v>
      </c>
      <c r="D28" t="inlineStr">
        <is>
          <t>STOCKHOLMS LÄN</t>
        </is>
      </c>
      <c r="E28" t="inlineStr">
        <is>
          <t>VALLENTUNA</t>
        </is>
      </c>
      <c r="G28" t="n">
        <v>1.2</v>
      </c>
      <c r="H28" t="n">
        <v>0</v>
      </c>
      <c r="I28" t="n">
        <v>1</v>
      </c>
      <c r="J28" t="n">
        <v>1</v>
      </c>
      <c r="K28" t="n">
        <v>0</v>
      </c>
      <c r="L28" t="n">
        <v>0</v>
      </c>
      <c r="M28" t="n">
        <v>0</v>
      </c>
      <c r="N28" t="n">
        <v>0</v>
      </c>
      <c r="O28" t="n">
        <v>1</v>
      </c>
      <c r="P28" t="n">
        <v>0</v>
      </c>
      <c r="Q28" t="n">
        <v>2</v>
      </c>
      <c r="R28" s="2" t="inlineStr">
        <is>
          <t>Barrpraktbagge
Blompraktbagge</t>
        </is>
      </c>
      <c r="S28">
        <f>HYPERLINK("https://klasma.github.io/Logging_0115/artfynd/A 4124-2020 artfynd.xlsx", "A 4124-2020")</f>
        <v/>
      </c>
      <c r="T28">
        <f>HYPERLINK("https://klasma.github.io/Logging_0115/kartor/A 4124-2020 karta.png", "A 4124-2020")</f>
        <v/>
      </c>
      <c r="V28">
        <f>HYPERLINK("https://klasma.github.io/Logging_0115/klagomål/A 4124-2020 FSC-klagomål.docx", "A 4124-2020")</f>
        <v/>
      </c>
      <c r="W28">
        <f>HYPERLINK("https://klasma.github.io/Logging_0115/klagomålsmail/A 4124-2020 FSC-klagomål mail.docx", "A 4124-2020")</f>
        <v/>
      </c>
      <c r="X28">
        <f>HYPERLINK("https://klasma.github.io/Logging_0115/tillsyn/A 4124-2020 tillsynsbegäran.docx", "A 4124-2020")</f>
        <v/>
      </c>
      <c r="Y28">
        <f>HYPERLINK("https://klasma.github.io/Logging_0115/tillsynsmail/A 4124-2020 tillsynsbegäran mail.docx", "A 4124-2020")</f>
        <v/>
      </c>
    </row>
    <row r="29" ht="15" customHeight="1">
      <c r="A29" t="inlineStr">
        <is>
          <t>A 4266-2020</t>
        </is>
      </c>
      <c r="B29" s="1" t="n">
        <v>43857</v>
      </c>
      <c r="C29" s="1" t="n">
        <v>45564</v>
      </c>
      <c r="D29" t="inlineStr">
        <is>
          <t>STOCKHOLMS LÄN</t>
        </is>
      </c>
      <c r="E29" t="inlineStr">
        <is>
          <t>VALLENTUNA</t>
        </is>
      </c>
      <c r="G29" t="n">
        <v>4.5</v>
      </c>
      <c r="H29" t="n">
        <v>0</v>
      </c>
      <c r="I29" t="n">
        <v>1</v>
      </c>
      <c r="J29" t="n">
        <v>1</v>
      </c>
      <c r="K29" t="n">
        <v>0</v>
      </c>
      <c r="L29" t="n">
        <v>0</v>
      </c>
      <c r="M29" t="n">
        <v>0</v>
      </c>
      <c r="N29" t="n">
        <v>0</v>
      </c>
      <c r="O29" t="n">
        <v>1</v>
      </c>
      <c r="P29" t="n">
        <v>0</v>
      </c>
      <c r="Q29" t="n">
        <v>2</v>
      </c>
      <c r="R29" s="2" t="inlineStr">
        <is>
          <t>Slåtterfibbla
Korthornad vedstekel</t>
        </is>
      </c>
      <c r="S29">
        <f>HYPERLINK("https://klasma.github.io/Logging_0115/artfynd/A 4266-2020 artfynd.xlsx", "A 4266-2020")</f>
        <v/>
      </c>
      <c r="T29">
        <f>HYPERLINK("https://klasma.github.io/Logging_0115/kartor/A 4266-2020 karta.png", "A 4266-2020")</f>
        <v/>
      </c>
      <c r="V29">
        <f>HYPERLINK("https://klasma.github.io/Logging_0115/klagomål/A 4266-2020 FSC-klagomål.docx", "A 4266-2020")</f>
        <v/>
      </c>
      <c r="W29">
        <f>HYPERLINK("https://klasma.github.io/Logging_0115/klagomålsmail/A 4266-2020 FSC-klagomål mail.docx", "A 4266-2020")</f>
        <v/>
      </c>
      <c r="X29">
        <f>HYPERLINK("https://klasma.github.io/Logging_0115/tillsyn/A 4266-2020 tillsynsbegäran.docx", "A 4266-2020")</f>
        <v/>
      </c>
      <c r="Y29">
        <f>HYPERLINK("https://klasma.github.io/Logging_0115/tillsynsmail/A 4266-2020 tillsynsbegäran mail.docx", "A 4266-2020")</f>
        <v/>
      </c>
    </row>
    <row r="30" ht="15" customHeight="1">
      <c r="A30" t="inlineStr">
        <is>
          <t>A 24751-2020</t>
        </is>
      </c>
      <c r="B30" s="1" t="n">
        <v>43978</v>
      </c>
      <c r="C30" s="1" t="n">
        <v>45564</v>
      </c>
      <c r="D30" t="inlineStr">
        <is>
          <t>STOCKHOLMS LÄN</t>
        </is>
      </c>
      <c r="E30" t="inlineStr">
        <is>
          <t>VALLENTUNA</t>
        </is>
      </c>
      <c r="G30" t="n">
        <v>5.3</v>
      </c>
      <c r="H30" t="n">
        <v>0</v>
      </c>
      <c r="I30" t="n">
        <v>2</v>
      </c>
      <c r="J30" t="n">
        <v>0</v>
      </c>
      <c r="K30" t="n">
        <v>0</v>
      </c>
      <c r="L30" t="n">
        <v>0</v>
      </c>
      <c r="M30" t="n">
        <v>0</v>
      </c>
      <c r="N30" t="n">
        <v>0</v>
      </c>
      <c r="O30" t="n">
        <v>0</v>
      </c>
      <c r="P30" t="n">
        <v>0</v>
      </c>
      <c r="Q30" t="n">
        <v>2</v>
      </c>
      <c r="R30" s="2" t="inlineStr">
        <is>
          <t>Lönnlav
Stor aspticka</t>
        </is>
      </c>
      <c r="S30">
        <f>HYPERLINK("https://klasma.github.io/Logging_0115/artfynd/A 24751-2020 artfynd.xlsx", "A 24751-2020")</f>
        <v/>
      </c>
      <c r="T30">
        <f>HYPERLINK("https://klasma.github.io/Logging_0115/kartor/A 24751-2020 karta.png", "A 24751-2020")</f>
        <v/>
      </c>
      <c r="V30">
        <f>HYPERLINK("https://klasma.github.io/Logging_0115/klagomål/A 24751-2020 FSC-klagomål.docx", "A 24751-2020")</f>
        <v/>
      </c>
      <c r="W30">
        <f>HYPERLINK("https://klasma.github.io/Logging_0115/klagomålsmail/A 24751-2020 FSC-klagomål mail.docx", "A 24751-2020")</f>
        <v/>
      </c>
      <c r="X30">
        <f>HYPERLINK("https://klasma.github.io/Logging_0115/tillsyn/A 24751-2020 tillsynsbegäran.docx", "A 24751-2020")</f>
        <v/>
      </c>
      <c r="Y30">
        <f>HYPERLINK("https://klasma.github.io/Logging_0115/tillsynsmail/A 24751-2020 tillsynsbegäran mail.docx", "A 24751-2020")</f>
        <v/>
      </c>
    </row>
    <row r="31" ht="15" customHeight="1">
      <c r="A31" t="inlineStr">
        <is>
          <t>A 60-2022</t>
        </is>
      </c>
      <c r="B31" s="1" t="n">
        <v>44560</v>
      </c>
      <c r="C31" s="1" t="n">
        <v>45564</v>
      </c>
      <c r="D31" t="inlineStr">
        <is>
          <t>STOCKHOLMS LÄN</t>
        </is>
      </c>
      <c r="E31" t="inlineStr">
        <is>
          <t>VALLENTUNA</t>
        </is>
      </c>
      <c r="F31" t="inlineStr">
        <is>
          <t>Övriga Aktiebolag</t>
        </is>
      </c>
      <c r="G31" t="n">
        <v>14.3</v>
      </c>
      <c r="H31" t="n">
        <v>0</v>
      </c>
      <c r="I31" t="n">
        <v>2</v>
      </c>
      <c r="J31" t="n">
        <v>0</v>
      </c>
      <c r="K31" t="n">
        <v>0</v>
      </c>
      <c r="L31" t="n">
        <v>0</v>
      </c>
      <c r="M31" t="n">
        <v>0</v>
      </c>
      <c r="N31" t="n">
        <v>0</v>
      </c>
      <c r="O31" t="n">
        <v>0</v>
      </c>
      <c r="P31" t="n">
        <v>0</v>
      </c>
      <c r="Q31" t="n">
        <v>2</v>
      </c>
      <c r="R31" s="2" t="inlineStr">
        <is>
          <t>Vätteros
Vårärt</t>
        </is>
      </c>
      <c r="S31">
        <f>HYPERLINK("https://klasma.github.io/Logging_0115/artfynd/A 60-2022 artfynd.xlsx", "A 60-2022")</f>
        <v/>
      </c>
      <c r="T31">
        <f>HYPERLINK("https://klasma.github.io/Logging_0115/kartor/A 60-2022 karta.png", "A 60-2022")</f>
        <v/>
      </c>
      <c r="V31">
        <f>HYPERLINK("https://klasma.github.io/Logging_0115/klagomål/A 60-2022 FSC-klagomål.docx", "A 60-2022")</f>
        <v/>
      </c>
      <c r="W31">
        <f>HYPERLINK("https://klasma.github.io/Logging_0115/klagomålsmail/A 60-2022 FSC-klagomål mail.docx", "A 60-2022")</f>
        <v/>
      </c>
      <c r="X31">
        <f>HYPERLINK("https://klasma.github.io/Logging_0115/tillsyn/A 60-2022 tillsynsbegäran.docx", "A 60-2022")</f>
        <v/>
      </c>
      <c r="Y31">
        <f>HYPERLINK("https://klasma.github.io/Logging_0115/tillsynsmail/A 60-2022 tillsynsbegäran mail.docx", "A 60-2022")</f>
        <v/>
      </c>
    </row>
    <row r="32" ht="15" customHeight="1">
      <c r="A32" t="inlineStr">
        <is>
          <t>A 46-2022</t>
        </is>
      </c>
      <c r="B32" s="1" t="n">
        <v>44560</v>
      </c>
      <c r="C32" s="1" t="n">
        <v>45564</v>
      </c>
      <c r="D32" t="inlineStr">
        <is>
          <t>STOCKHOLMS LÄN</t>
        </is>
      </c>
      <c r="E32" t="inlineStr">
        <is>
          <t>VALLENTUNA</t>
        </is>
      </c>
      <c r="F32" t="inlineStr">
        <is>
          <t>Övriga Aktiebolag</t>
        </is>
      </c>
      <c r="G32" t="n">
        <v>7.9</v>
      </c>
      <c r="H32" t="n">
        <v>1</v>
      </c>
      <c r="I32" t="n">
        <v>1</v>
      </c>
      <c r="J32" t="n">
        <v>0</v>
      </c>
      <c r="K32" t="n">
        <v>0</v>
      </c>
      <c r="L32" t="n">
        <v>0</v>
      </c>
      <c r="M32" t="n">
        <v>0</v>
      </c>
      <c r="N32" t="n">
        <v>0</v>
      </c>
      <c r="O32" t="n">
        <v>0</v>
      </c>
      <c r="P32" t="n">
        <v>0</v>
      </c>
      <c r="Q32" t="n">
        <v>2</v>
      </c>
      <c r="R32" s="2" t="inlineStr">
        <is>
          <t>Fällmossa
Blåsippa</t>
        </is>
      </c>
      <c r="S32">
        <f>HYPERLINK("https://klasma.github.io/Logging_0115/artfynd/A 46-2022 artfynd.xlsx", "A 46-2022")</f>
        <v/>
      </c>
      <c r="T32">
        <f>HYPERLINK("https://klasma.github.io/Logging_0115/kartor/A 46-2022 karta.png", "A 46-2022")</f>
        <v/>
      </c>
      <c r="V32">
        <f>HYPERLINK("https://klasma.github.io/Logging_0115/klagomål/A 46-2022 FSC-klagomål.docx", "A 46-2022")</f>
        <v/>
      </c>
      <c r="W32">
        <f>HYPERLINK("https://klasma.github.io/Logging_0115/klagomålsmail/A 46-2022 FSC-klagomål mail.docx", "A 46-2022")</f>
        <v/>
      </c>
      <c r="X32">
        <f>HYPERLINK("https://klasma.github.io/Logging_0115/tillsyn/A 46-2022 tillsynsbegäran.docx", "A 46-2022")</f>
        <v/>
      </c>
      <c r="Y32">
        <f>HYPERLINK("https://klasma.github.io/Logging_0115/tillsynsmail/A 46-2022 tillsynsbegäran mail.docx", "A 46-2022")</f>
        <v/>
      </c>
    </row>
    <row r="33" ht="15" customHeight="1">
      <c r="A33" t="inlineStr">
        <is>
          <t>A 9745-2022</t>
        </is>
      </c>
      <c r="B33" s="1" t="n">
        <v>44618</v>
      </c>
      <c r="C33" s="1" t="n">
        <v>45564</v>
      </c>
      <c r="D33" t="inlineStr">
        <is>
          <t>STOCKHOLMS LÄN</t>
        </is>
      </c>
      <c r="E33" t="inlineStr">
        <is>
          <t>VALLENTUNA</t>
        </is>
      </c>
      <c r="G33" t="n">
        <v>5.9</v>
      </c>
      <c r="H33" t="n">
        <v>1</v>
      </c>
      <c r="I33" t="n">
        <v>1</v>
      </c>
      <c r="J33" t="n">
        <v>1</v>
      </c>
      <c r="K33" t="n">
        <v>0</v>
      </c>
      <c r="L33" t="n">
        <v>0</v>
      </c>
      <c r="M33" t="n">
        <v>0</v>
      </c>
      <c r="N33" t="n">
        <v>0</v>
      </c>
      <c r="O33" t="n">
        <v>1</v>
      </c>
      <c r="P33" t="n">
        <v>0</v>
      </c>
      <c r="Q33" t="n">
        <v>2</v>
      </c>
      <c r="R33" s="2" t="inlineStr">
        <is>
          <t>Spillkråka
Björksplintborre</t>
        </is>
      </c>
      <c r="S33">
        <f>HYPERLINK("https://klasma.github.io/Logging_0115/artfynd/A 9745-2022 artfynd.xlsx", "A 9745-2022")</f>
        <v/>
      </c>
      <c r="T33">
        <f>HYPERLINK("https://klasma.github.io/Logging_0115/kartor/A 9745-2022 karta.png", "A 9745-2022")</f>
        <v/>
      </c>
      <c r="V33">
        <f>HYPERLINK("https://klasma.github.io/Logging_0115/klagomål/A 9745-2022 FSC-klagomål.docx", "A 9745-2022")</f>
        <v/>
      </c>
      <c r="W33">
        <f>HYPERLINK("https://klasma.github.io/Logging_0115/klagomålsmail/A 9745-2022 FSC-klagomål mail.docx", "A 9745-2022")</f>
        <v/>
      </c>
      <c r="X33">
        <f>HYPERLINK("https://klasma.github.io/Logging_0115/tillsyn/A 9745-2022 tillsynsbegäran.docx", "A 9745-2022")</f>
        <v/>
      </c>
      <c r="Y33">
        <f>HYPERLINK("https://klasma.github.io/Logging_0115/tillsynsmail/A 9745-2022 tillsynsbegäran mail.docx", "A 9745-2022")</f>
        <v/>
      </c>
      <c r="Z33">
        <f>HYPERLINK("https://klasma.github.io/Logging_0115/fåglar/A 9745-2022 prioriterade fågelarter.docx", "A 9745-2022")</f>
        <v/>
      </c>
    </row>
    <row r="34" ht="15" customHeight="1">
      <c r="A34" t="inlineStr">
        <is>
          <t>A 41021-2023</t>
        </is>
      </c>
      <c r="B34" s="1" t="n">
        <v>45173</v>
      </c>
      <c r="C34" s="1" t="n">
        <v>45564</v>
      </c>
      <c r="D34" t="inlineStr">
        <is>
          <t>STOCKHOLMS LÄN</t>
        </is>
      </c>
      <c r="E34" t="inlineStr">
        <is>
          <t>VALLENTUNA</t>
        </is>
      </c>
      <c r="G34" t="n">
        <v>3</v>
      </c>
      <c r="H34" t="n">
        <v>0</v>
      </c>
      <c r="I34" t="n">
        <v>1</v>
      </c>
      <c r="J34" t="n">
        <v>1</v>
      </c>
      <c r="K34" t="n">
        <v>0</v>
      </c>
      <c r="L34" t="n">
        <v>0</v>
      </c>
      <c r="M34" t="n">
        <v>0</v>
      </c>
      <c r="N34" t="n">
        <v>0</v>
      </c>
      <c r="O34" t="n">
        <v>1</v>
      </c>
      <c r="P34" t="n">
        <v>0</v>
      </c>
      <c r="Q34" t="n">
        <v>2</v>
      </c>
      <c r="R34" s="2" t="inlineStr">
        <is>
          <t>Orange taggsvamp
Fjällig taggsvamp s.str.</t>
        </is>
      </c>
      <c r="S34">
        <f>HYPERLINK("https://klasma.github.io/Logging_0115/artfynd/A 41021-2023 artfynd.xlsx", "A 41021-2023")</f>
        <v/>
      </c>
      <c r="T34">
        <f>HYPERLINK("https://klasma.github.io/Logging_0115/kartor/A 41021-2023 karta.png", "A 41021-2023")</f>
        <v/>
      </c>
      <c r="V34">
        <f>HYPERLINK("https://klasma.github.io/Logging_0115/klagomål/A 41021-2023 FSC-klagomål.docx", "A 41021-2023")</f>
        <v/>
      </c>
      <c r="W34">
        <f>HYPERLINK("https://klasma.github.io/Logging_0115/klagomålsmail/A 41021-2023 FSC-klagomål mail.docx", "A 41021-2023")</f>
        <v/>
      </c>
      <c r="X34">
        <f>HYPERLINK("https://klasma.github.io/Logging_0115/tillsyn/A 41021-2023 tillsynsbegäran.docx", "A 41021-2023")</f>
        <v/>
      </c>
      <c r="Y34">
        <f>HYPERLINK("https://klasma.github.io/Logging_0115/tillsynsmail/A 41021-2023 tillsynsbegäran mail.docx", "A 41021-2023")</f>
        <v/>
      </c>
    </row>
    <row r="35" ht="15" customHeight="1">
      <c r="A35" t="inlineStr">
        <is>
          <t>A 754-2024</t>
        </is>
      </c>
      <c r="B35" s="1" t="n">
        <v>45300</v>
      </c>
      <c r="C35" s="1" t="n">
        <v>45564</v>
      </c>
      <c r="D35" t="inlineStr">
        <is>
          <t>STOCKHOLMS LÄN</t>
        </is>
      </c>
      <c r="E35" t="inlineStr">
        <is>
          <t>VALLENTUNA</t>
        </is>
      </c>
      <c r="G35" t="n">
        <v>2.5</v>
      </c>
      <c r="H35" t="n">
        <v>1</v>
      </c>
      <c r="I35" t="n">
        <v>1</v>
      </c>
      <c r="J35" t="n">
        <v>0</v>
      </c>
      <c r="K35" t="n">
        <v>0</v>
      </c>
      <c r="L35" t="n">
        <v>0</v>
      </c>
      <c r="M35" t="n">
        <v>0</v>
      </c>
      <c r="N35" t="n">
        <v>0</v>
      </c>
      <c r="O35" t="n">
        <v>0</v>
      </c>
      <c r="P35" t="n">
        <v>0</v>
      </c>
      <c r="Q35" t="n">
        <v>2</v>
      </c>
      <c r="R35" s="2" t="inlineStr">
        <is>
          <t>Vågbandad barkbock
Grönsiska</t>
        </is>
      </c>
      <c r="S35">
        <f>HYPERLINK("https://klasma.github.io/Logging_0115/artfynd/A 754-2024 artfynd.xlsx", "A 754-2024")</f>
        <v/>
      </c>
      <c r="T35">
        <f>HYPERLINK("https://klasma.github.io/Logging_0115/kartor/A 754-2024 karta.png", "A 754-2024")</f>
        <v/>
      </c>
      <c r="V35">
        <f>HYPERLINK("https://klasma.github.io/Logging_0115/klagomål/A 754-2024 FSC-klagomål.docx", "A 754-2024")</f>
        <v/>
      </c>
      <c r="W35">
        <f>HYPERLINK("https://klasma.github.io/Logging_0115/klagomålsmail/A 754-2024 FSC-klagomål mail.docx", "A 754-2024")</f>
        <v/>
      </c>
      <c r="X35">
        <f>HYPERLINK("https://klasma.github.io/Logging_0115/tillsyn/A 754-2024 tillsynsbegäran.docx", "A 754-2024")</f>
        <v/>
      </c>
      <c r="Y35">
        <f>HYPERLINK("https://klasma.github.io/Logging_0115/tillsynsmail/A 754-2024 tillsynsbegäran mail.docx", "A 754-2024")</f>
        <v/>
      </c>
      <c r="Z35">
        <f>HYPERLINK("https://klasma.github.io/Logging_0115/fåglar/A 754-2024 prioriterade fågelarter.docx", "A 754-2024")</f>
        <v/>
      </c>
    </row>
    <row r="36" ht="15" customHeight="1">
      <c r="A36" t="inlineStr">
        <is>
          <t>A 29376-2024</t>
        </is>
      </c>
      <c r="B36" s="1" t="n">
        <v>45483</v>
      </c>
      <c r="C36" s="1" t="n">
        <v>45564</v>
      </c>
      <c r="D36" t="inlineStr">
        <is>
          <t>STOCKHOLMS LÄN</t>
        </is>
      </c>
      <c r="E36" t="inlineStr">
        <is>
          <t>VALLENTUNA</t>
        </is>
      </c>
      <c r="F36" t="inlineStr">
        <is>
          <t>Övriga Aktiebolag</t>
        </is>
      </c>
      <c r="G36" t="n">
        <v>11.9</v>
      </c>
      <c r="H36" t="n">
        <v>0</v>
      </c>
      <c r="I36" t="n">
        <v>0</v>
      </c>
      <c r="J36" t="n">
        <v>1</v>
      </c>
      <c r="K36" t="n">
        <v>1</v>
      </c>
      <c r="L36" t="n">
        <v>0</v>
      </c>
      <c r="M36" t="n">
        <v>0</v>
      </c>
      <c r="N36" t="n">
        <v>0</v>
      </c>
      <c r="O36" t="n">
        <v>2</v>
      </c>
      <c r="P36" t="n">
        <v>1</v>
      </c>
      <c r="Q36" t="n">
        <v>2</v>
      </c>
      <c r="R36" s="2" t="inlineStr">
        <is>
          <t>Bandnate
Vedtrappmossa</t>
        </is>
      </c>
      <c r="S36">
        <f>HYPERLINK("https://klasma.github.io/Logging_0115/artfynd/A 29376-2024 artfynd.xlsx", "A 29376-2024")</f>
        <v/>
      </c>
      <c r="T36">
        <f>HYPERLINK("https://klasma.github.io/Logging_0115/kartor/A 29376-2024 karta.png", "A 29376-2024")</f>
        <v/>
      </c>
      <c r="V36">
        <f>HYPERLINK("https://klasma.github.io/Logging_0115/klagomål/A 29376-2024 FSC-klagomål.docx", "A 29376-2024")</f>
        <v/>
      </c>
      <c r="W36">
        <f>HYPERLINK("https://klasma.github.io/Logging_0115/klagomålsmail/A 29376-2024 FSC-klagomål mail.docx", "A 29376-2024")</f>
        <v/>
      </c>
      <c r="X36">
        <f>HYPERLINK("https://klasma.github.io/Logging_0115/tillsyn/A 29376-2024 tillsynsbegäran.docx", "A 29376-2024")</f>
        <v/>
      </c>
      <c r="Y36">
        <f>HYPERLINK("https://klasma.github.io/Logging_0115/tillsynsmail/A 29376-2024 tillsynsbegäran mail.docx", "A 29376-2024")</f>
        <v/>
      </c>
    </row>
    <row r="37" ht="15" customHeight="1">
      <c r="A37" t="inlineStr">
        <is>
          <t>A 68108-2019</t>
        </is>
      </c>
      <c r="B37" s="1" t="n">
        <v>43817</v>
      </c>
      <c r="C37" s="1" t="n">
        <v>45564</v>
      </c>
      <c r="D37" t="inlineStr">
        <is>
          <t>STOCKHOLMS LÄN</t>
        </is>
      </c>
      <c r="E37" t="inlineStr">
        <is>
          <t>VALLENTUNA</t>
        </is>
      </c>
      <c r="G37" t="n">
        <v>3.2</v>
      </c>
      <c r="H37" t="n">
        <v>0</v>
      </c>
      <c r="I37" t="n">
        <v>1</v>
      </c>
      <c r="J37" t="n">
        <v>0</v>
      </c>
      <c r="K37" t="n">
        <v>0</v>
      </c>
      <c r="L37" t="n">
        <v>0</v>
      </c>
      <c r="M37" t="n">
        <v>0</v>
      </c>
      <c r="N37" t="n">
        <v>0</v>
      </c>
      <c r="O37" t="n">
        <v>0</v>
      </c>
      <c r="P37" t="n">
        <v>0</v>
      </c>
      <c r="Q37" t="n">
        <v>1</v>
      </c>
      <c r="R37" s="2" t="inlineStr">
        <is>
          <t>Skuggblåslav</t>
        </is>
      </c>
      <c r="S37">
        <f>HYPERLINK("https://klasma.github.io/Logging_0115/artfynd/A 68108-2019 artfynd.xlsx", "A 68108-2019")</f>
        <v/>
      </c>
      <c r="T37">
        <f>HYPERLINK("https://klasma.github.io/Logging_0115/kartor/A 68108-2019 karta.png", "A 68108-2019")</f>
        <v/>
      </c>
      <c r="V37">
        <f>HYPERLINK("https://klasma.github.io/Logging_0115/klagomål/A 68108-2019 FSC-klagomål.docx", "A 68108-2019")</f>
        <v/>
      </c>
      <c r="W37">
        <f>HYPERLINK("https://klasma.github.io/Logging_0115/klagomålsmail/A 68108-2019 FSC-klagomål mail.docx", "A 68108-2019")</f>
        <v/>
      </c>
      <c r="X37">
        <f>HYPERLINK("https://klasma.github.io/Logging_0115/tillsyn/A 68108-2019 tillsynsbegäran.docx", "A 68108-2019")</f>
        <v/>
      </c>
      <c r="Y37">
        <f>HYPERLINK("https://klasma.github.io/Logging_0115/tillsynsmail/A 68108-2019 tillsynsbegäran mail.docx", "A 68108-2019")</f>
        <v/>
      </c>
    </row>
    <row r="38" ht="15" customHeight="1">
      <c r="A38" t="inlineStr">
        <is>
          <t>A 68107-2019</t>
        </is>
      </c>
      <c r="B38" s="1" t="n">
        <v>43817</v>
      </c>
      <c r="C38" s="1" t="n">
        <v>45564</v>
      </c>
      <c r="D38" t="inlineStr">
        <is>
          <t>STOCKHOLMS LÄN</t>
        </is>
      </c>
      <c r="E38" t="inlineStr">
        <is>
          <t>VALLENTUNA</t>
        </is>
      </c>
      <c r="G38" t="n">
        <v>11.4</v>
      </c>
      <c r="H38" t="n">
        <v>0</v>
      </c>
      <c r="I38" t="n">
        <v>0</v>
      </c>
      <c r="J38" t="n">
        <v>1</v>
      </c>
      <c r="K38" t="n">
        <v>0</v>
      </c>
      <c r="L38" t="n">
        <v>0</v>
      </c>
      <c r="M38" t="n">
        <v>0</v>
      </c>
      <c r="N38" t="n">
        <v>0</v>
      </c>
      <c r="O38" t="n">
        <v>1</v>
      </c>
      <c r="P38" t="n">
        <v>0</v>
      </c>
      <c r="Q38" t="n">
        <v>1</v>
      </c>
      <c r="R38" s="2" t="inlineStr">
        <is>
          <t>Tallticka</t>
        </is>
      </c>
      <c r="S38">
        <f>HYPERLINK("https://klasma.github.io/Logging_0115/artfynd/A 68107-2019 artfynd.xlsx", "A 68107-2019")</f>
        <v/>
      </c>
      <c r="T38">
        <f>HYPERLINK("https://klasma.github.io/Logging_0115/kartor/A 68107-2019 karta.png", "A 68107-2019")</f>
        <v/>
      </c>
      <c r="V38">
        <f>HYPERLINK("https://klasma.github.io/Logging_0115/klagomål/A 68107-2019 FSC-klagomål.docx", "A 68107-2019")</f>
        <v/>
      </c>
      <c r="W38">
        <f>HYPERLINK("https://klasma.github.io/Logging_0115/klagomålsmail/A 68107-2019 FSC-klagomål mail.docx", "A 68107-2019")</f>
        <v/>
      </c>
      <c r="X38">
        <f>HYPERLINK("https://klasma.github.io/Logging_0115/tillsyn/A 68107-2019 tillsynsbegäran.docx", "A 68107-2019")</f>
        <v/>
      </c>
      <c r="Y38">
        <f>HYPERLINK("https://klasma.github.io/Logging_0115/tillsynsmail/A 68107-2019 tillsynsbegäran mail.docx", "A 68107-2019")</f>
        <v/>
      </c>
    </row>
    <row r="39" ht="15" customHeight="1">
      <c r="A39" t="inlineStr">
        <is>
          <t>A 41934-2021</t>
        </is>
      </c>
      <c r="B39" s="1" t="n">
        <v>44425</v>
      </c>
      <c r="C39" s="1" t="n">
        <v>45564</v>
      </c>
      <c r="D39" t="inlineStr">
        <is>
          <t>STOCKHOLMS LÄN</t>
        </is>
      </c>
      <c r="E39" t="inlineStr">
        <is>
          <t>VALLENTUNA</t>
        </is>
      </c>
      <c r="F39" t="inlineStr">
        <is>
          <t>Övriga Aktiebolag</t>
        </is>
      </c>
      <c r="G39" t="n">
        <v>7.1</v>
      </c>
      <c r="H39" t="n">
        <v>0</v>
      </c>
      <c r="I39" t="n">
        <v>0</v>
      </c>
      <c r="J39" t="n">
        <v>1</v>
      </c>
      <c r="K39" t="n">
        <v>0</v>
      </c>
      <c r="L39" t="n">
        <v>0</v>
      </c>
      <c r="M39" t="n">
        <v>0</v>
      </c>
      <c r="N39" t="n">
        <v>0</v>
      </c>
      <c r="O39" t="n">
        <v>1</v>
      </c>
      <c r="P39" t="n">
        <v>0</v>
      </c>
      <c r="Q39" t="n">
        <v>1</v>
      </c>
      <c r="R39" s="2" t="inlineStr">
        <is>
          <t>Skogsklocka</t>
        </is>
      </c>
      <c r="S39">
        <f>HYPERLINK("https://klasma.github.io/Logging_0115/artfynd/A 41934-2021 artfynd.xlsx", "A 41934-2021")</f>
        <v/>
      </c>
      <c r="T39">
        <f>HYPERLINK("https://klasma.github.io/Logging_0115/kartor/A 41934-2021 karta.png", "A 41934-2021")</f>
        <v/>
      </c>
      <c r="V39">
        <f>HYPERLINK("https://klasma.github.io/Logging_0115/klagomål/A 41934-2021 FSC-klagomål.docx", "A 41934-2021")</f>
        <v/>
      </c>
      <c r="W39">
        <f>HYPERLINK("https://klasma.github.io/Logging_0115/klagomålsmail/A 41934-2021 FSC-klagomål mail.docx", "A 41934-2021")</f>
        <v/>
      </c>
      <c r="X39">
        <f>HYPERLINK("https://klasma.github.io/Logging_0115/tillsyn/A 41934-2021 tillsynsbegäran.docx", "A 41934-2021")</f>
        <v/>
      </c>
      <c r="Y39">
        <f>HYPERLINK("https://klasma.github.io/Logging_0115/tillsynsmail/A 41934-2021 tillsynsbegäran mail.docx", "A 41934-2021")</f>
        <v/>
      </c>
    </row>
    <row r="40" ht="15" customHeight="1">
      <c r="A40" t="inlineStr">
        <is>
          <t>A 131-2022</t>
        </is>
      </c>
      <c r="B40" s="1" t="n">
        <v>44560</v>
      </c>
      <c r="C40" s="1" t="n">
        <v>45564</v>
      </c>
      <c r="D40" t="inlineStr">
        <is>
          <t>STOCKHOLMS LÄN</t>
        </is>
      </c>
      <c r="E40" t="inlineStr">
        <is>
          <t>VALLENTUNA</t>
        </is>
      </c>
      <c r="F40" t="inlineStr">
        <is>
          <t>Övriga Aktiebolag</t>
        </is>
      </c>
      <c r="G40" t="n">
        <v>4.6</v>
      </c>
      <c r="H40" t="n">
        <v>0</v>
      </c>
      <c r="I40" t="n">
        <v>1</v>
      </c>
      <c r="J40" t="n">
        <v>0</v>
      </c>
      <c r="K40" t="n">
        <v>0</v>
      </c>
      <c r="L40" t="n">
        <v>0</v>
      </c>
      <c r="M40" t="n">
        <v>0</v>
      </c>
      <c r="N40" t="n">
        <v>0</v>
      </c>
      <c r="O40" t="n">
        <v>0</v>
      </c>
      <c r="P40" t="n">
        <v>0</v>
      </c>
      <c r="Q40" t="n">
        <v>1</v>
      </c>
      <c r="R40" s="2" t="inlineStr">
        <is>
          <t>Tjockfotad fingersvamp</t>
        </is>
      </c>
      <c r="S40">
        <f>HYPERLINK("https://klasma.github.io/Logging_0115/artfynd/A 131-2022 artfynd.xlsx", "A 131-2022")</f>
        <v/>
      </c>
      <c r="T40">
        <f>HYPERLINK("https://klasma.github.io/Logging_0115/kartor/A 131-2022 karta.png", "A 131-2022")</f>
        <v/>
      </c>
      <c r="V40">
        <f>HYPERLINK("https://klasma.github.io/Logging_0115/klagomål/A 131-2022 FSC-klagomål.docx", "A 131-2022")</f>
        <v/>
      </c>
      <c r="W40">
        <f>HYPERLINK("https://klasma.github.io/Logging_0115/klagomålsmail/A 131-2022 FSC-klagomål mail.docx", "A 131-2022")</f>
        <v/>
      </c>
      <c r="X40">
        <f>HYPERLINK("https://klasma.github.io/Logging_0115/tillsyn/A 131-2022 tillsynsbegäran.docx", "A 131-2022")</f>
        <v/>
      </c>
      <c r="Y40">
        <f>HYPERLINK("https://klasma.github.io/Logging_0115/tillsynsmail/A 131-2022 tillsynsbegäran mail.docx", "A 131-2022")</f>
        <v/>
      </c>
    </row>
    <row r="41" ht="15" customHeight="1">
      <c r="A41" t="inlineStr">
        <is>
          <t>A 21-2022</t>
        </is>
      </c>
      <c r="B41" s="1" t="n">
        <v>44560</v>
      </c>
      <c r="C41" s="1" t="n">
        <v>45564</v>
      </c>
      <c r="D41" t="inlineStr">
        <is>
          <t>STOCKHOLMS LÄN</t>
        </is>
      </c>
      <c r="E41" t="inlineStr">
        <is>
          <t>VALLENTUNA</t>
        </is>
      </c>
      <c r="F41" t="inlineStr">
        <is>
          <t>Övriga Aktiebolag</t>
        </is>
      </c>
      <c r="G41" t="n">
        <v>3.5</v>
      </c>
      <c r="H41" t="n">
        <v>1</v>
      </c>
      <c r="I41" t="n">
        <v>0</v>
      </c>
      <c r="J41" t="n">
        <v>0</v>
      </c>
      <c r="K41" t="n">
        <v>0</v>
      </c>
      <c r="L41" t="n">
        <v>0</v>
      </c>
      <c r="M41" t="n">
        <v>0</v>
      </c>
      <c r="N41" t="n">
        <v>0</v>
      </c>
      <c r="O41" t="n">
        <v>0</v>
      </c>
      <c r="P41" t="n">
        <v>0</v>
      </c>
      <c r="Q41" t="n">
        <v>1</v>
      </c>
      <c r="R41" s="2" t="inlineStr">
        <is>
          <t>Nattviol</t>
        </is>
      </c>
      <c r="S41">
        <f>HYPERLINK("https://klasma.github.io/Logging_0115/artfynd/A 21-2022 artfynd.xlsx", "A 21-2022")</f>
        <v/>
      </c>
      <c r="T41">
        <f>HYPERLINK("https://klasma.github.io/Logging_0115/kartor/A 21-2022 karta.png", "A 21-2022")</f>
        <v/>
      </c>
      <c r="V41">
        <f>HYPERLINK("https://klasma.github.io/Logging_0115/klagomål/A 21-2022 FSC-klagomål.docx", "A 21-2022")</f>
        <v/>
      </c>
      <c r="W41">
        <f>HYPERLINK("https://klasma.github.io/Logging_0115/klagomålsmail/A 21-2022 FSC-klagomål mail.docx", "A 21-2022")</f>
        <v/>
      </c>
      <c r="X41">
        <f>HYPERLINK("https://klasma.github.io/Logging_0115/tillsyn/A 21-2022 tillsynsbegäran.docx", "A 21-2022")</f>
        <v/>
      </c>
      <c r="Y41">
        <f>HYPERLINK("https://klasma.github.io/Logging_0115/tillsynsmail/A 21-2022 tillsynsbegäran mail.docx", "A 21-2022")</f>
        <v/>
      </c>
    </row>
    <row r="42" ht="15" customHeight="1">
      <c r="A42" t="inlineStr">
        <is>
          <t>A 8500-2022</t>
        </is>
      </c>
      <c r="B42" s="1" t="n">
        <v>44613</v>
      </c>
      <c r="C42" s="1" t="n">
        <v>45564</v>
      </c>
      <c r="D42" t="inlineStr">
        <is>
          <t>STOCKHOLMS LÄN</t>
        </is>
      </c>
      <c r="E42" t="inlineStr">
        <is>
          <t>VALLENTUNA</t>
        </is>
      </c>
      <c r="G42" t="n">
        <v>5</v>
      </c>
      <c r="H42" t="n">
        <v>0</v>
      </c>
      <c r="I42" t="n">
        <v>1</v>
      </c>
      <c r="J42" t="n">
        <v>0</v>
      </c>
      <c r="K42" t="n">
        <v>0</v>
      </c>
      <c r="L42" t="n">
        <v>0</v>
      </c>
      <c r="M42" t="n">
        <v>0</v>
      </c>
      <c r="N42" t="n">
        <v>0</v>
      </c>
      <c r="O42" t="n">
        <v>0</v>
      </c>
      <c r="P42" t="n">
        <v>0</v>
      </c>
      <c r="Q42" t="n">
        <v>1</v>
      </c>
      <c r="R42" s="2" t="inlineStr">
        <is>
          <t>Blåmossa</t>
        </is>
      </c>
      <c r="S42">
        <f>HYPERLINK("https://klasma.github.io/Logging_0115/artfynd/A 8500-2022 artfynd.xlsx", "A 8500-2022")</f>
        <v/>
      </c>
      <c r="T42">
        <f>HYPERLINK("https://klasma.github.io/Logging_0115/kartor/A 8500-2022 karta.png", "A 8500-2022")</f>
        <v/>
      </c>
      <c r="V42">
        <f>HYPERLINK("https://klasma.github.io/Logging_0115/klagomål/A 8500-2022 FSC-klagomål.docx", "A 8500-2022")</f>
        <v/>
      </c>
      <c r="W42">
        <f>HYPERLINK("https://klasma.github.io/Logging_0115/klagomålsmail/A 8500-2022 FSC-klagomål mail.docx", "A 8500-2022")</f>
        <v/>
      </c>
      <c r="X42">
        <f>HYPERLINK("https://klasma.github.io/Logging_0115/tillsyn/A 8500-2022 tillsynsbegäran.docx", "A 8500-2022")</f>
        <v/>
      </c>
      <c r="Y42">
        <f>HYPERLINK("https://klasma.github.io/Logging_0115/tillsynsmail/A 8500-2022 tillsynsbegäran mail.docx", "A 8500-2022")</f>
        <v/>
      </c>
    </row>
    <row r="43" ht="15" customHeight="1">
      <c r="A43" t="inlineStr">
        <is>
          <t>A 9445-2022</t>
        </is>
      </c>
      <c r="B43" s="1" t="n">
        <v>44616</v>
      </c>
      <c r="C43" s="1" t="n">
        <v>45564</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45564</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45564</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45564</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45564</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45564</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45564</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45564</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45564</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45564</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45564</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45564</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45564</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45564</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45564</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45564</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45564</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45564</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45564</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45564</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45564</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45564</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45564</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45564</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45564</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45564</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45564</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45564</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45564</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45564</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45564</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45564</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45564</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45564</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45564</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45564</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45564</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45564</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45564</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45564</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45564</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45564</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45564</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45564</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45564</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45564</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45564</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45564</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45564</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45564</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45564</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45564</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45564</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45564</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45564</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45564</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45564</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45564</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45564</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45564</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45564</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45564</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45564</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45564</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45564</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45564</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45564</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45564</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45564</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45564</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45564</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45564</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45564</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45564</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45564</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45564</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45564</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45564</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45564</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45564</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45564</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45564</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45564</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45564</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45564</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45564</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45564</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45564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45564</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45564</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45564</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45564</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45564</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45564</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45564</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45564</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45564</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45564</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45564</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45564</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45564</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45564</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45564</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45564</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45564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45564</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45564</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45564</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45564</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45564</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45564</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45564</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45564</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45564</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45564</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45564</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45564</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45564</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45564</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45564</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45564</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45564</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45564</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45564</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45564</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45564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45564</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45564</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45564</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45564</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45564</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45564</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45564</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45564</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45564</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45564</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45564</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45564</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45564</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45564</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45564</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45564</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45564</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45564</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45564</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45564</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45564</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45564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45564</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45564</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45564</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45564</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45564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45564</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45564</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45564</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45564</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45564</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45564</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45564</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45564</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45564</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45564</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45564</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45564</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45564</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45564</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45564</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45564</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45564</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45564</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45564</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45564</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45564</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45564</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45564</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45564</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45564</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45564</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45564</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45564</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45564</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45564</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45564</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45564</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45564</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45564</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45564</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45564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45564</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45564</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45564</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45564</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45564</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45564</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45564</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45564</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45564</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45564</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45564</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45564</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45564</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45564</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45564</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45564</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45564</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45564</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45564</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45564</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45564</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45564</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c r="A254" t="inlineStr">
        <is>
          <t>A 38102-2024</t>
        </is>
      </c>
      <c r="B254" s="1" t="n">
        <v>45545</v>
      </c>
      <c r="C254" s="1" t="n">
        <v>45564</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2024-09-29T12:00:56Z</dcterms:created>
  <dcterms:modified xmlns:dcterms="http://purl.org/dc/terms/" xmlns:xsi="http://www.w3.org/2001/XMLSchema-instance" xsi:type="dcterms:W3CDTF">2024-09-29T12:00:56Z</dcterms:modified>
</cp:coreProperties>
</file>