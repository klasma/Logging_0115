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46170</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46170</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46170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46170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46170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46170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46170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46170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46170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46170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46170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46170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46170</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46170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46170</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46170</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46170</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46170</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46170</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46170</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46170</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46170</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46170</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46170</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46-2022</t>
        </is>
      </c>
      <c r="B26" s="1" t="n">
        <v>44560</v>
      </c>
      <c r="C26" s="1" t="n">
        <v>46170</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46170</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22936-2025</t>
        </is>
      </c>
      <c r="B28" s="1" t="n">
        <v>45790.45738425926</v>
      </c>
      <c r="C28" s="1" t="n">
        <v>46170</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54481-2025</t>
        </is>
      </c>
      <c r="B29" s="1" t="n">
        <v>45965.58837962963</v>
      </c>
      <c r="C29" s="1" t="n">
        <v>46170</v>
      </c>
      <c r="D29" t="inlineStr">
        <is>
          <t>STOCKHOLMS LÄN</t>
        </is>
      </c>
      <c r="E29" t="inlineStr">
        <is>
          <t>VALLENTUNA</t>
        </is>
      </c>
      <c r="G29" t="n">
        <v>1.4</v>
      </c>
      <c r="H29" t="n">
        <v>0</v>
      </c>
      <c r="I29" t="n">
        <v>0</v>
      </c>
      <c r="J29" t="n">
        <v>1</v>
      </c>
      <c r="K29" t="n">
        <v>0</v>
      </c>
      <c r="L29" t="n">
        <v>0</v>
      </c>
      <c r="M29" t="n">
        <v>0</v>
      </c>
      <c r="N29" t="n">
        <v>0</v>
      </c>
      <c r="O29" t="n">
        <v>1</v>
      </c>
      <c r="P29" t="n">
        <v>0</v>
      </c>
      <c r="Q29" t="n">
        <v>1</v>
      </c>
      <c r="R29" s="2" t="inlineStr">
        <is>
          <t>Gullklöver</t>
        </is>
      </c>
      <c r="S29">
        <f>HYPERLINK("https://klasma.github.io/Logging_0115/artfynd/A 54481-2025 artfynd.xlsx", "A 54481-2025")</f>
        <v/>
      </c>
      <c r="T29">
        <f>HYPERLINK("https://klasma.github.io/Logging_0115/kartor/A 54481-2025 karta.png", "A 54481-2025")</f>
        <v/>
      </c>
      <c r="V29">
        <f>HYPERLINK("https://klasma.github.io/Logging_0115/klagomål/A 54481-2025 FSC-klagomål.docx", "A 54481-2025")</f>
        <v/>
      </c>
      <c r="W29">
        <f>HYPERLINK("https://klasma.github.io/Logging_0115/klagomålsmail/A 54481-2025 FSC-klagomål mail.docx", "A 54481-2025")</f>
        <v/>
      </c>
      <c r="X29">
        <f>HYPERLINK("https://klasma.github.io/Logging_0115/tillsyn/A 54481-2025 tillsynsbegäran.docx", "A 54481-2025")</f>
        <v/>
      </c>
      <c r="Y29">
        <f>HYPERLINK("https://klasma.github.io/Logging_0115/tillsynsmail/A 54481-2025 tillsynsbegäran mail.docx", "A 54481-2025")</f>
        <v/>
      </c>
    </row>
    <row r="30" ht="15" customHeight="1">
      <c r="A30" t="inlineStr">
        <is>
          <t>A 7890-2023</t>
        </is>
      </c>
      <c r="B30" s="1" t="n">
        <v>44973</v>
      </c>
      <c r="C30" s="1" t="n">
        <v>46170</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22830-2024</t>
        </is>
      </c>
      <c r="B31" s="1" t="n">
        <v>45448.56583333333</v>
      </c>
      <c r="C31" s="1" t="n">
        <v>46170</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63539-2025</t>
        </is>
      </c>
      <c r="B32" s="1" t="n">
        <v>46013.58824074074</v>
      </c>
      <c r="C32" s="1" t="n">
        <v>46170</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63543-2025</t>
        </is>
      </c>
      <c r="B33" s="1" t="n">
        <v>46013.59207175926</v>
      </c>
      <c r="C33" s="1" t="n">
        <v>46170</v>
      </c>
      <c r="D33" t="inlineStr">
        <is>
          <t>STOCKHOLMS LÄN</t>
        </is>
      </c>
      <c r="E33" t="inlineStr">
        <is>
          <t>VALLENTUNA</t>
        </is>
      </c>
      <c r="G33" t="n">
        <v>3.4</v>
      </c>
      <c r="H33" t="n">
        <v>0</v>
      </c>
      <c r="I33" t="n">
        <v>0</v>
      </c>
      <c r="J33" t="n">
        <v>1</v>
      </c>
      <c r="K33" t="n">
        <v>0</v>
      </c>
      <c r="L33" t="n">
        <v>0</v>
      </c>
      <c r="M33" t="n">
        <v>0</v>
      </c>
      <c r="N33" t="n">
        <v>0</v>
      </c>
      <c r="O33" t="n">
        <v>1</v>
      </c>
      <c r="P33" t="n">
        <v>0</v>
      </c>
      <c r="Q33" t="n">
        <v>1</v>
      </c>
      <c r="R33" s="2" t="inlineStr">
        <is>
          <t>Tallticka</t>
        </is>
      </c>
      <c r="S33">
        <f>HYPERLINK("https://klasma.github.io/Logging_0115/artfynd/A 63543-2025 artfynd.xlsx", "A 63543-2025")</f>
        <v/>
      </c>
      <c r="T33">
        <f>HYPERLINK("https://klasma.github.io/Logging_0115/kartor/A 63543-2025 karta.png", "A 63543-2025")</f>
        <v/>
      </c>
      <c r="V33">
        <f>HYPERLINK("https://klasma.github.io/Logging_0115/klagomål/A 63543-2025 FSC-klagomål.docx", "A 63543-2025")</f>
        <v/>
      </c>
      <c r="W33">
        <f>HYPERLINK("https://klasma.github.io/Logging_0115/klagomålsmail/A 63543-2025 FSC-klagomål mail.docx", "A 63543-2025")</f>
        <v/>
      </c>
      <c r="X33">
        <f>HYPERLINK("https://klasma.github.io/Logging_0115/tillsyn/A 63543-2025 tillsynsbegäran.docx", "A 63543-2025")</f>
        <v/>
      </c>
      <c r="Y33">
        <f>HYPERLINK("https://klasma.github.io/Logging_0115/tillsynsmail/A 63543-2025 tillsynsbegäran mail.docx", "A 63543-2025")</f>
        <v/>
      </c>
    </row>
    <row r="34" ht="15" customHeight="1">
      <c r="A34" t="inlineStr">
        <is>
          <t>A 34460-2023</t>
        </is>
      </c>
      <c r="B34" s="1" t="n">
        <v>45139</v>
      </c>
      <c r="C34" s="1" t="n">
        <v>46170</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46170</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46170</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12401-2026</t>
        </is>
      </c>
      <c r="B37" s="1" t="n">
        <v>46090</v>
      </c>
      <c r="C37" s="1" t="n">
        <v>46170</v>
      </c>
      <c r="D37" t="inlineStr">
        <is>
          <t>STOCKHOLMS LÄN</t>
        </is>
      </c>
      <c r="E37" t="inlineStr">
        <is>
          <t>VALLENTUNA</t>
        </is>
      </c>
      <c r="G37" t="n">
        <v>5.9</v>
      </c>
      <c r="H37" t="n">
        <v>1</v>
      </c>
      <c r="I37" t="n">
        <v>0</v>
      </c>
      <c r="J37" t="n">
        <v>1</v>
      </c>
      <c r="K37" t="n">
        <v>0</v>
      </c>
      <c r="L37" t="n">
        <v>0</v>
      </c>
      <c r="M37" t="n">
        <v>0</v>
      </c>
      <c r="N37" t="n">
        <v>0</v>
      </c>
      <c r="O37" t="n">
        <v>1</v>
      </c>
      <c r="P37" t="n">
        <v>0</v>
      </c>
      <c r="Q37" t="n">
        <v>1</v>
      </c>
      <c r="R37" s="2" t="inlineStr">
        <is>
          <t>Spillkråka</t>
        </is>
      </c>
      <c r="S37">
        <f>HYPERLINK("https://klasma.github.io/Logging_0115/artfynd/A 12401-2026 artfynd.xlsx", "A 12401-2026")</f>
        <v/>
      </c>
      <c r="T37">
        <f>HYPERLINK("https://klasma.github.io/Logging_0115/kartor/A 12401-2026 karta.png", "A 12401-2026")</f>
        <v/>
      </c>
      <c r="V37">
        <f>HYPERLINK("https://klasma.github.io/Logging_0115/klagomål/A 12401-2026 FSC-klagomål.docx", "A 12401-2026")</f>
        <v/>
      </c>
      <c r="W37">
        <f>HYPERLINK("https://klasma.github.io/Logging_0115/klagomålsmail/A 12401-2026 FSC-klagomål mail.docx", "A 12401-2026")</f>
        <v/>
      </c>
      <c r="X37">
        <f>HYPERLINK("https://klasma.github.io/Logging_0115/tillsyn/A 12401-2026 tillsynsbegäran.docx", "A 12401-2026")</f>
        <v/>
      </c>
      <c r="Y37">
        <f>HYPERLINK("https://klasma.github.io/Logging_0115/tillsynsmail/A 12401-2026 tillsynsbegäran mail.docx", "A 12401-2026")</f>
        <v/>
      </c>
      <c r="Z37">
        <f>HYPERLINK("https://klasma.github.io/Logging_0115/fåglar/A 12401-2026 prioriterade fågelarter.docx", "A 12401-2026")</f>
        <v/>
      </c>
    </row>
    <row r="38" ht="15" customHeight="1">
      <c r="A38" t="inlineStr">
        <is>
          <t>A 12396-2026</t>
        </is>
      </c>
      <c r="B38" s="1" t="n">
        <v>46090.38930555555</v>
      </c>
      <c r="C38" s="1" t="n">
        <v>46170</v>
      </c>
      <c r="D38" t="inlineStr">
        <is>
          <t>STOCKHOLMS LÄN</t>
        </is>
      </c>
      <c r="E38" t="inlineStr">
        <is>
          <t>VALLENTUNA</t>
        </is>
      </c>
      <c r="G38" t="n">
        <v>3</v>
      </c>
      <c r="H38" t="n">
        <v>1</v>
      </c>
      <c r="I38" t="n">
        <v>0</v>
      </c>
      <c r="J38" t="n">
        <v>1</v>
      </c>
      <c r="K38" t="n">
        <v>0</v>
      </c>
      <c r="L38" t="n">
        <v>0</v>
      </c>
      <c r="M38" t="n">
        <v>0</v>
      </c>
      <c r="N38" t="n">
        <v>0</v>
      </c>
      <c r="O38" t="n">
        <v>1</v>
      </c>
      <c r="P38" t="n">
        <v>0</v>
      </c>
      <c r="Q38" t="n">
        <v>1</v>
      </c>
      <c r="R38" s="2" t="inlineStr">
        <is>
          <t>Spillkråka</t>
        </is>
      </c>
      <c r="S38">
        <f>HYPERLINK("https://klasma.github.io/Logging_0115/artfynd/A 12396-2026 artfynd.xlsx", "A 12396-2026")</f>
        <v/>
      </c>
      <c r="T38">
        <f>HYPERLINK("https://klasma.github.io/Logging_0115/kartor/A 12396-2026 karta.png", "A 12396-2026")</f>
        <v/>
      </c>
      <c r="V38">
        <f>HYPERLINK("https://klasma.github.io/Logging_0115/klagomål/A 12396-2026 FSC-klagomål.docx", "A 12396-2026")</f>
        <v/>
      </c>
      <c r="W38">
        <f>HYPERLINK("https://klasma.github.io/Logging_0115/klagomålsmail/A 12396-2026 FSC-klagomål mail.docx", "A 12396-2026")</f>
        <v/>
      </c>
      <c r="X38">
        <f>HYPERLINK("https://klasma.github.io/Logging_0115/tillsyn/A 12396-2026 tillsynsbegäran.docx", "A 12396-2026")</f>
        <v/>
      </c>
      <c r="Y38">
        <f>HYPERLINK("https://klasma.github.io/Logging_0115/tillsynsmail/A 12396-2026 tillsynsbegäran mail.docx", "A 12396-2026")</f>
        <v/>
      </c>
      <c r="Z38">
        <f>HYPERLINK("https://klasma.github.io/Logging_0115/fåglar/A 12396-2026 prioriterade fågelarter.docx", "A 12396-2026")</f>
        <v/>
      </c>
    </row>
    <row r="39" ht="15" customHeight="1">
      <c r="A39" t="inlineStr">
        <is>
          <t>A 21-2022</t>
        </is>
      </c>
      <c r="B39" s="1" t="n">
        <v>44560</v>
      </c>
      <c r="C39" s="1" t="n">
        <v>46170</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46170</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14508-2024</t>
        </is>
      </c>
      <c r="B41" s="1" t="n">
        <v>45394.61583333334</v>
      </c>
      <c r="C41" s="1" t="n">
        <v>46170</v>
      </c>
      <c r="D41" t="inlineStr">
        <is>
          <t>STOCKHOLMS LÄN</t>
        </is>
      </c>
      <c r="E41" t="inlineStr">
        <is>
          <t>VALLENTUNA</t>
        </is>
      </c>
      <c r="G41" t="n">
        <v>1.7</v>
      </c>
      <c r="H41" t="n">
        <v>1</v>
      </c>
      <c r="I41" t="n">
        <v>0</v>
      </c>
      <c r="J41" t="n">
        <v>1</v>
      </c>
      <c r="K41" t="n">
        <v>0</v>
      </c>
      <c r="L41" t="n">
        <v>0</v>
      </c>
      <c r="M41" t="n">
        <v>0</v>
      </c>
      <c r="N41" t="n">
        <v>0</v>
      </c>
      <c r="O41" t="n">
        <v>1</v>
      </c>
      <c r="P41" t="n">
        <v>0</v>
      </c>
      <c r="Q41" t="n">
        <v>1</v>
      </c>
      <c r="R41" s="2" t="inlineStr">
        <is>
          <t>Mindre hackspett</t>
        </is>
      </c>
      <c r="S41">
        <f>HYPERLINK("https://klasma.github.io/Logging_0115/artfynd/A 14508-2024 artfynd.xlsx", "A 14508-2024")</f>
        <v/>
      </c>
      <c r="T41">
        <f>HYPERLINK("https://klasma.github.io/Logging_0115/kartor/A 14508-2024 karta.png", "A 14508-2024")</f>
        <v/>
      </c>
      <c r="V41">
        <f>HYPERLINK("https://klasma.github.io/Logging_0115/klagomål/A 14508-2024 FSC-klagomål.docx", "A 14508-2024")</f>
        <v/>
      </c>
      <c r="W41">
        <f>HYPERLINK("https://klasma.github.io/Logging_0115/klagomålsmail/A 14508-2024 FSC-klagomål mail.docx", "A 14508-2024")</f>
        <v/>
      </c>
      <c r="X41">
        <f>HYPERLINK("https://klasma.github.io/Logging_0115/tillsyn/A 14508-2024 tillsynsbegäran.docx", "A 14508-2024")</f>
        <v/>
      </c>
      <c r="Y41">
        <f>HYPERLINK("https://klasma.github.io/Logging_0115/tillsynsmail/A 14508-2024 tillsynsbegäran mail.docx", "A 14508-2024")</f>
        <v/>
      </c>
      <c r="Z41">
        <f>HYPERLINK("https://klasma.github.io/Logging_0115/fåglar/A 14508-2024 prioriterade fågelarter.docx", "A 14508-2024")</f>
        <v/>
      </c>
    </row>
    <row r="42" ht="15" customHeight="1">
      <c r="A42" t="inlineStr">
        <is>
          <t>A 21439-2025</t>
        </is>
      </c>
      <c r="B42" s="1" t="n">
        <v>45782.52939814814</v>
      </c>
      <c r="C42" s="1" t="n">
        <v>46170</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8089-2022</t>
        </is>
      </c>
      <c r="B43" s="1" t="n">
        <v>44609.53716435185</v>
      </c>
      <c r="C43" s="1" t="n">
        <v>46170</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46170</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46170</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46170</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46170</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46170</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46170</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46170</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46170</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46170</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46170</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46170</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46170</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50784-2025</t>
        </is>
      </c>
      <c r="B56" s="1" t="n">
        <v>45946</v>
      </c>
      <c r="C56" s="1" t="n">
        <v>46170</v>
      </c>
      <c r="D56" t="inlineStr">
        <is>
          <t>STOCKHOLMS LÄN</t>
        </is>
      </c>
      <c r="E56" t="inlineStr">
        <is>
          <t>VALLENTUNA</t>
        </is>
      </c>
      <c r="G56" t="n">
        <v>1</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46170</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26390-2023</t>
        </is>
      </c>
      <c r="B58" s="1" t="n">
        <v>45086</v>
      </c>
      <c r="C58" s="1" t="n">
        <v>46170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46381-2023</t>
        </is>
      </c>
      <c r="B59" s="1" t="n">
        <v>45193</v>
      </c>
      <c r="C59" s="1" t="n">
        <v>46170</v>
      </c>
      <c r="D59" t="inlineStr">
        <is>
          <t>STOCKHOLMS LÄN</t>
        </is>
      </c>
      <c r="E59" t="inlineStr">
        <is>
          <t>VALLENTUNA</t>
        </is>
      </c>
      <c r="G59" t="n">
        <v>2.9</v>
      </c>
      <c r="H59" t="n">
        <v>0</v>
      </c>
      <c r="I59" t="n">
        <v>0</v>
      </c>
      <c r="J59" t="n">
        <v>0</v>
      </c>
      <c r="K59" t="n">
        <v>0</v>
      </c>
      <c r="L59" t="n">
        <v>0</v>
      </c>
      <c r="M59" t="n">
        <v>0</v>
      </c>
      <c r="N59" t="n">
        <v>0</v>
      </c>
      <c r="O59" t="n">
        <v>0</v>
      </c>
      <c r="P59" t="n">
        <v>0</v>
      </c>
      <c r="Q59" t="n">
        <v>0</v>
      </c>
      <c r="R59" s="2" t="inlineStr"/>
    </row>
    <row r="60" ht="15" customHeight="1">
      <c r="A60" t="inlineStr">
        <is>
          <t>A 23009-2024</t>
        </is>
      </c>
      <c r="B60" s="1" t="n">
        <v>45450.34506944445</v>
      </c>
      <c r="C60" s="1" t="n">
        <v>46170</v>
      </c>
      <c r="D60" t="inlineStr">
        <is>
          <t>STOCKHOLMS LÄN</t>
        </is>
      </c>
      <c r="E60" t="inlineStr">
        <is>
          <t>VALLENTUNA</t>
        </is>
      </c>
      <c r="G60" t="n">
        <v>1.4</v>
      </c>
      <c r="H60" t="n">
        <v>0</v>
      </c>
      <c r="I60" t="n">
        <v>0</v>
      </c>
      <c r="J60" t="n">
        <v>0</v>
      </c>
      <c r="K60" t="n">
        <v>0</v>
      </c>
      <c r="L60" t="n">
        <v>0</v>
      </c>
      <c r="M60" t="n">
        <v>0</v>
      </c>
      <c r="N60" t="n">
        <v>0</v>
      </c>
      <c r="O60" t="n">
        <v>0</v>
      </c>
      <c r="P60" t="n">
        <v>0</v>
      </c>
      <c r="Q60" t="n">
        <v>0</v>
      </c>
      <c r="R60" s="2" t="inlineStr"/>
    </row>
    <row r="61" ht="15" customHeight="1">
      <c r="A61" t="inlineStr">
        <is>
          <t>A 61027-2023</t>
        </is>
      </c>
      <c r="B61" s="1" t="n">
        <v>45261</v>
      </c>
      <c r="C61" s="1" t="n">
        <v>46170</v>
      </c>
      <c r="D61" t="inlineStr">
        <is>
          <t>STOCKHOLMS LÄN</t>
        </is>
      </c>
      <c r="E61" t="inlineStr">
        <is>
          <t>VALLENTUNA</t>
        </is>
      </c>
      <c r="G61" t="n">
        <v>7.1</v>
      </c>
      <c r="H61" t="n">
        <v>0</v>
      </c>
      <c r="I61" t="n">
        <v>0</v>
      </c>
      <c r="J61" t="n">
        <v>0</v>
      </c>
      <c r="K61" t="n">
        <v>0</v>
      </c>
      <c r="L61" t="n">
        <v>0</v>
      </c>
      <c r="M61" t="n">
        <v>0</v>
      </c>
      <c r="N61" t="n">
        <v>0</v>
      </c>
      <c r="O61" t="n">
        <v>0</v>
      </c>
      <c r="P61" t="n">
        <v>0</v>
      </c>
      <c r="Q61" t="n">
        <v>0</v>
      </c>
      <c r="R61" s="2" t="inlineStr"/>
    </row>
    <row r="62" ht="15" customHeight="1">
      <c r="A62" t="inlineStr">
        <is>
          <t>A 23923-2025</t>
        </is>
      </c>
      <c r="B62" s="1" t="n">
        <v>45795.39648148148</v>
      </c>
      <c r="C62" s="1" t="n">
        <v>46170</v>
      </c>
      <c r="D62" t="inlineStr">
        <is>
          <t>STOCKHOLMS LÄN</t>
        </is>
      </c>
      <c r="E62" t="inlineStr">
        <is>
          <t>VALLENTUNA</t>
        </is>
      </c>
      <c r="G62" t="n">
        <v>2.3</v>
      </c>
      <c r="H62" t="n">
        <v>0</v>
      </c>
      <c r="I62" t="n">
        <v>0</v>
      </c>
      <c r="J62" t="n">
        <v>0</v>
      </c>
      <c r="K62" t="n">
        <v>0</v>
      </c>
      <c r="L62" t="n">
        <v>0</v>
      </c>
      <c r="M62" t="n">
        <v>0</v>
      </c>
      <c r="N62" t="n">
        <v>0</v>
      </c>
      <c r="O62" t="n">
        <v>0</v>
      </c>
      <c r="P62" t="n">
        <v>0</v>
      </c>
      <c r="Q62" t="n">
        <v>0</v>
      </c>
      <c r="R62" s="2" t="inlineStr"/>
    </row>
    <row r="63" ht="15" customHeight="1">
      <c r="A63" t="inlineStr">
        <is>
          <t>A 41206-2025</t>
        </is>
      </c>
      <c r="B63" s="1" t="n">
        <v>45898</v>
      </c>
      <c r="C63" s="1" t="n">
        <v>46170</v>
      </c>
      <c r="D63" t="inlineStr">
        <is>
          <t>STOCKHOLMS LÄN</t>
        </is>
      </c>
      <c r="E63" t="inlineStr">
        <is>
          <t>VALLENTUNA</t>
        </is>
      </c>
      <c r="G63" t="n">
        <v>10</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46170</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15300-2023</t>
        </is>
      </c>
      <c r="B65" s="1" t="n">
        <v>45019</v>
      </c>
      <c r="C65" s="1" t="n">
        <v>46170</v>
      </c>
      <c r="D65" t="inlineStr">
        <is>
          <t>STOCKHOLMS LÄN</t>
        </is>
      </c>
      <c r="E65" t="inlineStr">
        <is>
          <t>VALLENTUNA</t>
        </is>
      </c>
      <c r="G65" t="n">
        <v>1.7</v>
      </c>
      <c r="H65" t="n">
        <v>0</v>
      </c>
      <c r="I65" t="n">
        <v>0</v>
      </c>
      <c r="J65" t="n">
        <v>0</v>
      </c>
      <c r="K65" t="n">
        <v>0</v>
      </c>
      <c r="L65" t="n">
        <v>0</v>
      </c>
      <c r="M65" t="n">
        <v>0</v>
      </c>
      <c r="N65" t="n">
        <v>0</v>
      </c>
      <c r="O65" t="n">
        <v>0</v>
      </c>
      <c r="P65" t="n">
        <v>0</v>
      </c>
      <c r="Q65" t="n">
        <v>0</v>
      </c>
      <c r="R65" s="2" t="inlineStr"/>
    </row>
    <row r="66" ht="15" customHeight="1">
      <c r="A66" t="inlineStr">
        <is>
          <t>A 27868-2025</t>
        </is>
      </c>
      <c r="B66" s="1" t="n">
        <v>45817</v>
      </c>
      <c r="C66" s="1" t="n">
        <v>46170</v>
      </c>
      <c r="D66" t="inlineStr">
        <is>
          <t>STOCKHOLMS LÄN</t>
        </is>
      </c>
      <c r="E66" t="inlineStr">
        <is>
          <t>VALLENTUNA</t>
        </is>
      </c>
      <c r="G66" t="n">
        <v>2.1</v>
      </c>
      <c r="H66" t="n">
        <v>0</v>
      </c>
      <c r="I66" t="n">
        <v>0</v>
      </c>
      <c r="J66" t="n">
        <v>0</v>
      </c>
      <c r="K66" t="n">
        <v>0</v>
      </c>
      <c r="L66" t="n">
        <v>0</v>
      </c>
      <c r="M66" t="n">
        <v>0</v>
      </c>
      <c r="N66" t="n">
        <v>0</v>
      </c>
      <c r="O66" t="n">
        <v>0</v>
      </c>
      <c r="P66" t="n">
        <v>0</v>
      </c>
      <c r="Q66" t="n">
        <v>0</v>
      </c>
      <c r="R66" s="2" t="inlineStr"/>
    </row>
    <row r="67" ht="15" customHeight="1">
      <c r="A67" t="inlineStr">
        <is>
          <t>A 54460-2025</t>
        </is>
      </c>
      <c r="B67" s="1" t="n">
        <v>45965.56219907408</v>
      </c>
      <c r="C67" s="1" t="n">
        <v>46170</v>
      </c>
      <c r="D67" t="inlineStr">
        <is>
          <t>STOCKHOLMS LÄN</t>
        </is>
      </c>
      <c r="E67" t="inlineStr">
        <is>
          <t>VALLENTUNA</t>
        </is>
      </c>
      <c r="G67" t="n">
        <v>22.9</v>
      </c>
      <c r="H67" t="n">
        <v>0</v>
      </c>
      <c r="I67" t="n">
        <v>0</v>
      </c>
      <c r="J67" t="n">
        <v>0</v>
      </c>
      <c r="K67" t="n">
        <v>0</v>
      </c>
      <c r="L67" t="n">
        <v>0</v>
      </c>
      <c r="M67" t="n">
        <v>0</v>
      </c>
      <c r="N67" t="n">
        <v>0</v>
      </c>
      <c r="O67" t="n">
        <v>0</v>
      </c>
      <c r="P67" t="n">
        <v>0</v>
      </c>
      <c r="Q67" t="n">
        <v>0</v>
      </c>
      <c r="R67" s="2" t="inlineStr"/>
    </row>
    <row r="68" ht="15" customHeight="1">
      <c r="A68" t="inlineStr">
        <is>
          <t>A 54466-2025</t>
        </is>
      </c>
      <c r="B68" s="1" t="n">
        <v>45965.56984953704</v>
      </c>
      <c r="C68" s="1" t="n">
        <v>46170</v>
      </c>
      <c r="D68" t="inlineStr">
        <is>
          <t>STOCKHOLMS LÄN</t>
        </is>
      </c>
      <c r="E68" t="inlineStr">
        <is>
          <t>VALLENTUNA</t>
        </is>
      </c>
      <c r="G68" t="n">
        <v>3</v>
      </c>
      <c r="H68" t="n">
        <v>0</v>
      </c>
      <c r="I68" t="n">
        <v>0</v>
      </c>
      <c r="J68" t="n">
        <v>0</v>
      </c>
      <c r="K68" t="n">
        <v>0</v>
      </c>
      <c r="L68" t="n">
        <v>0</v>
      </c>
      <c r="M68" t="n">
        <v>0</v>
      </c>
      <c r="N68" t="n">
        <v>0</v>
      </c>
      <c r="O68" t="n">
        <v>0</v>
      </c>
      <c r="P68" t="n">
        <v>0</v>
      </c>
      <c r="Q68" t="n">
        <v>0</v>
      </c>
      <c r="R68" s="2" t="inlineStr"/>
    </row>
    <row r="69" ht="15" customHeight="1">
      <c r="A69" t="inlineStr">
        <is>
          <t>A 61742-2022</t>
        </is>
      </c>
      <c r="B69" s="1" t="n">
        <v>44917</v>
      </c>
      <c r="C69" s="1" t="n">
        <v>46170</v>
      </c>
      <c r="D69" t="inlineStr">
        <is>
          <t>STOCKHOLMS LÄN</t>
        </is>
      </c>
      <c r="E69" t="inlineStr">
        <is>
          <t>VALLENTUNA</t>
        </is>
      </c>
      <c r="G69" t="n">
        <v>0.5</v>
      </c>
      <c r="H69" t="n">
        <v>0</v>
      </c>
      <c r="I69" t="n">
        <v>0</v>
      </c>
      <c r="J69" t="n">
        <v>0</v>
      </c>
      <c r="K69" t="n">
        <v>0</v>
      </c>
      <c r="L69" t="n">
        <v>0</v>
      </c>
      <c r="M69" t="n">
        <v>0</v>
      </c>
      <c r="N69" t="n">
        <v>0</v>
      </c>
      <c r="O69" t="n">
        <v>0</v>
      </c>
      <c r="P69" t="n">
        <v>0</v>
      </c>
      <c r="Q69" t="n">
        <v>0</v>
      </c>
      <c r="R69" s="2" t="inlineStr"/>
    </row>
    <row r="70" ht="15" customHeight="1">
      <c r="A70" t="inlineStr">
        <is>
          <t>A 44988-2025</t>
        </is>
      </c>
      <c r="B70" s="1" t="n">
        <v>45918.65505787037</v>
      </c>
      <c r="C70" s="1" t="n">
        <v>46170</v>
      </c>
      <c r="D70" t="inlineStr">
        <is>
          <t>STOCKHOLMS LÄN</t>
        </is>
      </c>
      <c r="E70" t="inlineStr">
        <is>
          <t>VALLENTUNA</t>
        </is>
      </c>
      <c r="G70" t="n">
        <v>1</v>
      </c>
      <c r="H70" t="n">
        <v>0</v>
      </c>
      <c r="I70" t="n">
        <v>0</v>
      </c>
      <c r="J70" t="n">
        <v>0</v>
      </c>
      <c r="K70" t="n">
        <v>0</v>
      </c>
      <c r="L70" t="n">
        <v>0</v>
      </c>
      <c r="M70" t="n">
        <v>0</v>
      </c>
      <c r="N70" t="n">
        <v>0</v>
      </c>
      <c r="O70" t="n">
        <v>0</v>
      </c>
      <c r="P70" t="n">
        <v>0</v>
      </c>
      <c r="Q70" t="n">
        <v>0</v>
      </c>
      <c r="R70" s="2" t="inlineStr"/>
    </row>
    <row r="71" ht="15" customHeight="1">
      <c r="A71" t="inlineStr">
        <is>
          <t>A 30902-2025</t>
        </is>
      </c>
      <c r="B71" s="1" t="n">
        <v>45832.36104166666</v>
      </c>
      <c r="C71" s="1" t="n">
        <v>46170</v>
      </c>
      <c r="D71" t="inlineStr">
        <is>
          <t>STOCKHOLMS LÄN</t>
        </is>
      </c>
      <c r="E71" t="inlineStr">
        <is>
          <t>VALLENTUNA</t>
        </is>
      </c>
      <c r="G71" t="n">
        <v>8.199999999999999</v>
      </c>
      <c r="H71" t="n">
        <v>0</v>
      </c>
      <c r="I71" t="n">
        <v>0</v>
      </c>
      <c r="J71" t="n">
        <v>0</v>
      </c>
      <c r="K71" t="n">
        <v>0</v>
      </c>
      <c r="L71" t="n">
        <v>0</v>
      </c>
      <c r="M71" t="n">
        <v>0</v>
      </c>
      <c r="N71" t="n">
        <v>0</v>
      </c>
      <c r="O71" t="n">
        <v>0</v>
      </c>
      <c r="P71" t="n">
        <v>0</v>
      </c>
      <c r="Q71" t="n">
        <v>0</v>
      </c>
      <c r="R71" s="2" t="inlineStr"/>
    </row>
    <row r="72" ht="15" customHeight="1">
      <c r="A72" t="inlineStr">
        <is>
          <t>A 12562-2023</t>
        </is>
      </c>
      <c r="B72" s="1" t="n">
        <v>45000</v>
      </c>
      <c r="C72" s="1" t="n">
        <v>46170</v>
      </c>
      <c r="D72" t="inlineStr">
        <is>
          <t>STOCKHOLMS LÄN</t>
        </is>
      </c>
      <c r="E72" t="inlineStr">
        <is>
          <t>VALLENTUNA</t>
        </is>
      </c>
      <c r="G72" t="n">
        <v>2.1</v>
      </c>
      <c r="H72" t="n">
        <v>0</v>
      </c>
      <c r="I72" t="n">
        <v>0</v>
      </c>
      <c r="J72" t="n">
        <v>0</v>
      </c>
      <c r="K72" t="n">
        <v>0</v>
      </c>
      <c r="L72" t="n">
        <v>0</v>
      </c>
      <c r="M72" t="n">
        <v>0</v>
      </c>
      <c r="N72" t="n">
        <v>0</v>
      </c>
      <c r="O72" t="n">
        <v>0</v>
      </c>
      <c r="P72" t="n">
        <v>0</v>
      </c>
      <c r="Q72" t="n">
        <v>0</v>
      </c>
      <c r="R72" s="2" t="inlineStr"/>
    </row>
    <row r="73" ht="15" customHeight="1">
      <c r="A73" t="inlineStr">
        <is>
          <t>A 14480-2024</t>
        </is>
      </c>
      <c r="B73" s="1" t="n">
        <v>45394.56777777777</v>
      </c>
      <c r="C73" s="1" t="n">
        <v>46170</v>
      </c>
      <c r="D73" t="inlineStr">
        <is>
          <t>STOCKHOLMS LÄN</t>
        </is>
      </c>
      <c r="E73" t="inlineStr">
        <is>
          <t>VALLENTUNA</t>
        </is>
      </c>
      <c r="G73" t="n">
        <v>1.8</v>
      </c>
      <c r="H73" t="n">
        <v>0</v>
      </c>
      <c r="I73" t="n">
        <v>0</v>
      </c>
      <c r="J73" t="n">
        <v>0</v>
      </c>
      <c r="K73" t="n">
        <v>0</v>
      </c>
      <c r="L73" t="n">
        <v>0</v>
      </c>
      <c r="M73" t="n">
        <v>0</v>
      </c>
      <c r="N73" t="n">
        <v>0</v>
      </c>
      <c r="O73" t="n">
        <v>0</v>
      </c>
      <c r="P73" t="n">
        <v>0</v>
      </c>
      <c r="Q73" t="n">
        <v>0</v>
      </c>
      <c r="R73" s="2" t="inlineStr"/>
    </row>
    <row r="74" ht="15" customHeight="1">
      <c r="A74" t="inlineStr">
        <is>
          <t>A 17340-2025</t>
        </is>
      </c>
      <c r="B74" s="1" t="n">
        <v>45756</v>
      </c>
      <c r="C74" s="1" t="n">
        <v>46170</v>
      </c>
      <c r="D74" t="inlineStr">
        <is>
          <t>STOCKHOLMS LÄN</t>
        </is>
      </c>
      <c r="E74" t="inlineStr">
        <is>
          <t>VALLENTUNA</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30913-2021</t>
        </is>
      </c>
      <c r="B75" s="1" t="n">
        <v>44365</v>
      </c>
      <c r="C75" s="1" t="n">
        <v>46170</v>
      </c>
      <c r="D75" t="inlineStr">
        <is>
          <t>STOCKHOLMS LÄN</t>
        </is>
      </c>
      <c r="E75" t="inlineStr">
        <is>
          <t>VALLENTUNA</t>
        </is>
      </c>
      <c r="F75" t="inlineStr">
        <is>
          <t>Övriga Aktiebolag</t>
        </is>
      </c>
      <c r="G75" t="n">
        <v>3.3</v>
      </c>
      <c r="H75" t="n">
        <v>0</v>
      </c>
      <c r="I75" t="n">
        <v>0</v>
      </c>
      <c r="J75" t="n">
        <v>0</v>
      </c>
      <c r="K75" t="n">
        <v>0</v>
      </c>
      <c r="L75" t="n">
        <v>0</v>
      </c>
      <c r="M75" t="n">
        <v>0</v>
      </c>
      <c r="N75" t="n">
        <v>0</v>
      </c>
      <c r="O75" t="n">
        <v>0</v>
      </c>
      <c r="P75" t="n">
        <v>0</v>
      </c>
      <c r="Q75" t="n">
        <v>0</v>
      </c>
      <c r="R75" s="2" t="inlineStr"/>
    </row>
    <row r="76" ht="15" customHeight="1">
      <c r="A76" t="inlineStr">
        <is>
          <t>A 45496-2023</t>
        </is>
      </c>
      <c r="B76" s="1" t="n">
        <v>45194</v>
      </c>
      <c r="C76" s="1" t="n">
        <v>46170</v>
      </c>
      <c r="D76" t="inlineStr">
        <is>
          <t>STOCKHOLMS LÄN</t>
        </is>
      </c>
      <c r="E76" t="inlineStr">
        <is>
          <t>VALLENTUNA</t>
        </is>
      </c>
      <c r="G76" t="n">
        <v>1.2</v>
      </c>
      <c r="H76" t="n">
        <v>0</v>
      </c>
      <c r="I76" t="n">
        <v>0</v>
      </c>
      <c r="J76" t="n">
        <v>0</v>
      </c>
      <c r="K76" t="n">
        <v>0</v>
      </c>
      <c r="L76" t="n">
        <v>0</v>
      </c>
      <c r="M76" t="n">
        <v>0</v>
      </c>
      <c r="N76" t="n">
        <v>0</v>
      </c>
      <c r="O76" t="n">
        <v>0</v>
      </c>
      <c r="P76" t="n">
        <v>0</v>
      </c>
      <c r="Q76" t="n">
        <v>0</v>
      </c>
      <c r="R76" s="2" t="inlineStr"/>
    </row>
    <row r="77" ht="15" customHeight="1">
      <c r="A77" t="inlineStr">
        <is>
          <t>A 48014-2025</t>
        </is>
      </c>
      <c r="B77" s="1" t="n">
        <v>45932.64520833334</v>
      </c>
      <c r="C77" s="1" t="n">
        <v>46170</v>
      </c>
      <c r="D77" t="inlineStr">
        <is>
          <t>STOCKHOLMS LÄN</t>
        </is>
      </c>
      <c r="E77" t="inlineStr">
        <is>
          <t>VALLENTUNA</t>
        </is>
      </c>
      <c r="G77" t="n">
        <v>0.6</v>
      </c>
      <c r="H77" t="n">
        <v>0</v>
      </c>
      <c r="I77" t="n">
        <v>0</v>
      </c>
      <c r="J77" t="n">
        <v>0</v>
      </c>
      <c r="K77" t="n">
        <v>0</v>
      </c>
      <c r="L77" t="n">
        <v>0</v>
      </c>
      <c r="M77" t="n">
        <v>0</v>
      </c>
      <c r="N77" t="n">
        <v>0</v>
      </c>
      <c r="O77" t="n">
        <v>0</v>
      </c>
      <c r="P77" t="n">
        <v>0</v>
      </c>
      <c r="Q77" t="n">
        <v>0</v>
      </c>
      <c r="R77" s="2" t="inlineStr"/>
    </row>
    <row r="78" ht="15" customHeight="1">
      <c r="A78" t="inlineStr">
        <is>
          <t>A 29704-2023</t>
        </is>
      </c>
      <c r="B78" s="1" t="n">
        <v>45107</v>
      </c>
      <c r="C78" s="1" t="n">
        <v>46170</v>
      </c>
      <c r="D78" t="inlineStr">
        <is>
          <t>STOCKHOLMS LÄN</t>
        </is>
      </c>
      <c r="E78" t="inlineStr">
        <is>
          <t>VALLENTUNA</t>
        </is>
      </c>
      <c r="G78" t="n">
        <v>3.7</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46170</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28431-2025</t>
        </is>
      </c>
      <c r="B80" s="1" t="n">
        <v>45819.38072916667</v>
      </c>
      <c r="C80" s="1" t="n">
        <v>46170</v>
      </c>
      <c r="D80" t="inlineStr">
        <is>
          <t>STOCKHOLMS LÄN</t>
        </is>
      </c>
      <c r="E80" t="inlineStr">
        <is>
          <t>VALLENTUNA</t>
        </is>
      </c>
      <c r="G80" t="n">
        <v>1.5</v>
      </c>
      <c r="H80" t="n">
        <v>0</v>
      </c>
      <c r="I80" t="n">
        <v>0</v>
      </c>
      <c r="J80" t="n">
        <v>0</v>
      </c>
      <c r="K80" t="n">
        <v>0</v>
      </c>
      <c r="L80" t="n">
        <v>0</v>
      </c>
      <c r="M80" t="n">
        <v>0</v>
      </c>
      <c r="N80" t="n">
        <v>0</v>
      </c>
      <c r="O80" t="n">
        <v>0</v>
      </c>
      <c r="P80" t="n">
        <v>0</v>
      </c>
      <c r="Q80" t="n">
        <v>0</v>
      </c>
      <c r="R80" s="2" t="inlineStr"/>
    </row>
    <row r="81" ht="15" customHeight="1">
      <c r="A81" t="inlineStr">
        <is>
          <t>A 12609-2024</t>
        </is>
      </c>
      <c r="B81" s="1" t="n">
        <v>45382.8109375</v>
      </c>
      <c r="C81" s="1" t="n">
        <v>46170</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13836-2022</t>
        </is>
      </c>
      <c r="B82" s="1" t="n">
        <v>44649</v>
      </c>
      <c r="C82" s="1" t="n">
        <v>46170</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4804-2024</t>
        </is>
      </c>
      <c r="B83" s="1" t="n">
        <v>45328</v>
      </c>
      <c r="C83" s="1" t="n">
        <v>46170</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44346-2021</t>
        </is>
      </c>
      <c r="B84" s="1" t="n">
        <v>44434</v>
      </c>
      <c r="C84" s="1" t="n">
        <v>46170</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24707-2023</t>
        </is>
      </c>
      <c r="B85" s="1" t="n">
        <v>45084</v>
      </c>
      <c r="C85" s="1" t="n">
        <v>46170</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27870-2025</t>
        </is>
      </c>
      <c r="B86" s="1" t="n">
        <v>45817</v>
      </c>
      <c r="C86" s="1" t="n">
        <v>46170</v>
      </c>
      <c r="D86" t="inlineStr">
        <is>
          <t>STOCKHOLMS LÄN</t>
        </is>
      </c>
      <c r="E86" t="inlineStr">
        <is>
          <t>VALLENTUNA</t>
        </is>
      </c>
      <c r="G86" t="n">
        <v>2.3</v>
      </c>
      <c r="H86" t="n">
        <v>0</v>
      </c>
      <c r="I86" t="n">
        <v>0</v>
      </c>
      <c r="J86" t="n">
        <v>0</v>
      </c>
      <c r="K86" t="n">
        <v>0</v>
      </c>
      <c r="L86" t="n">
        <v>0</v>
      </c>
      <c r="M86" t="n">
        <v>0</v>
      </c>
      <c r="N86" t="n">
        <v>0</v>
      </c>
      <c r="O86" t="n">
        <v>0</v>
      </c>
      <c r="P86" t="n">
        <v>0</v>
      </c>
      <c r="Q86" t="n">
        <v>0</v>
      </c>
      <c r="R86" s="2" t="inlineStr"/>
    </row>
    <row r="87" ht="15" customHeight="1">
      <c r="A87" t="inlineStr">
        <is>
          <t>A 5910-2022</t>
        </is>
      </c>
      <c r="B87" s="1" t="n">
        <v>44597</v>
      </c>
      <c r="C87" s="1" t="n">
        <v>46170</v>
      </c>
      <c r="D87" t="inlineStr">
        <is>
          <t>STOCKHOLMS LÄN</t>
        </is>
      </c>
      <c r="E87" t="inlineStr">
        <is>
          <t>VALLENTUNA</t>
        </is>
      </c>
      <c r="G87" t="n">
        <v>0.6</v>
      </c>
      <c r="H87" t="n">
        <v>0</v>
      </c>
      <c r="I87" t="n">
        <v>0</v>
      </c>
      <c r="J87" t="n">
        <v>0</v>
      </c>
      <c r="K87" t="n">
        <v>0</v>
      </c>
      <c r="L87" t="n">
        <v>0</v>
      </c>
      <c r="M87" t="n">
        <v>0</v>
      </c>
      <c r="N87" t="n">
        <v>0</v>
      </c>
      <c r="O87" t="n">
        <v>0</v>
      </c>
      <c r="P87" t="n">
        <v>0</v>
      </c>
      <c r="Q87" t="n">
        <v>0</v>
      </c>
      <c r="R87" s="2" t="inlineStr"/>
    </row>
    <row r="88" ht="15" customHeight="1">
      <c r="A88" t="inlineStr">
        <is>
          <t>A 60795-2023</t>
        </is>
      </c>
      <c r="B88" s="1" t="n">
        <v>45260</v>
      </c>
      <c r="C88" s="1" t="n">
        <v>46170</v>
      </c>
      <c r="D88" t="inlineStr">
        <is>
          <t>STOCKHOLMS LÄN</t>
        </is>
      </c>
      <c r="E88" t="inlineStr">
        <is>
          <t>VALLENTUNA</t>
        </is>
      </c>
      <c r="G88" t="n">
        <v>2.2</v>
      </c>
      <c r="H88" t="n">
        <v>0</v>
      </c>
      <c r="I88" t="n">
        <v>0</v>
      </c>
      <c r="J88" t="n">
        <v>0</v>
      </c>
      <c r="K88" t="n">
        <v>0</v>
      </c>
      <c r="L88" t="n">
        <v>0</v>
      </c>
      <c r="M88" t="n">
        <v>0</v>
      </c>
      <c r="N88" t="n">
        <v>0</v>
      </c>
      <c r="O88" t="n">
        <v>0</v>
      </c>
      <c r="P88" t="n">
        <v>0</v>
      </c>
      <c r="Q88" t="n">
        <v>0</v>
      </c>
      <c r="R88" s="2" t="inlineStr"/>
    </row>
    <row r="89" ht="15" customHeight="1">
      <c r="A89" t="inlineStr">
        <is>
          <t>A 60997-2022</t>
        </is>
      </c>
      <c r="B89" s="1" t="n">
        <v>44914.70746527778</v>
      </c>
      <c r="C89" s="1" t="n">
        <v>46170</v>
      </c>
      <c r="D89" t="inlineStr">
        <is>
          <t>STOCKHOLMS LÄN</t>
        </is>
      </c>
      <c r="E89" t="inlineStr">
        <is>
          <t>VALLENTUNA</t>
        </is>
      </c>
      <c r="G89" t="n">
        <v>1.8</v>
      </c>
      <c r="H89" t="n">
        <v>0</v>
      </c>
      <c r="I89" t="n">
        <v>0</v>
      </c>
      <c r="J89" t="n">
        <v>0</v>
      </c>
      <c r="K89" t="n">
        <v>0</v>
      </c>
      <c r="L89" t="n">
        <v>0</v>
      </c>
      <c r="M89" t="n">
        <v>0</v>
      </c>
      <c r="N89" t="n">
        <v>0</v>
      </c>
      <c r="O89" t="n">
        <v>0</v>
      </c>
      <c r="P89" t="n">
        <v>0</v>
      </c>
      <c r="Q89" t="n">
        <v>0</v>
      </c>
      <c r="R89" s="2" t="inlineStr"/>
    </row>
    <row r="90" ht="15" customHeight="1">
      <c r="A90" t="inlineStr">
        <is>
          <t>A 61646-2025</t>
        </is>
      </c>
      <c r="B90" s="1" t="n">
        <v>46002</v>
      </c>
      <c r="C90" s="1" t="n">
        <v>46170</v>
      </c>
      <c r="D90" t="inlineStr">
        <is>
          <t>STOCKHOLMS LÄN</t>
        </is>
      </c>
      <c r="E90" t="inlineStr">
        <is>
          <t>VALLENTUNA</t>
        </is>
      </c>
      <c r="G90" t="n">
        <v>3.7</v>
      </c>
      <c r="H90" t="n">
        <v>0</v>
      </c>
      <c r="I90" t="n">
        <v>0</v>
      </c>
      <c r="J90" t="n">
        <v>0</v>
      </c>
      <c r="K90" t="n">
        <v>0</v>
      </c>
      <c r="L90" t="n">
        <v>0</v>
      </c>
      <c r="M90" t="n">
        <v>0</v>
      </c>
      <c r="N90" t="n">
        <v>0</v>
      </c>
      <c r="O90" t="n">
        <v>0</v>
      </c>
      <c r="P90" t="n">
        <v>0</v>
      </c>
      <c r="Q90" t="n">
        <v>0</v>
      </c>
      <c r="R90" s="2" t="inlineStr"/>
    </row>
    <row r="91" ht="15" customHeight="1">
      <c r="A91" t="inlineStr">
        <is>
          <t>A 14775-2024</t>
        </is>
      </c>
      <c r="B91" s="1" t="n">
        <v>45397.73675925926</v>
      </c>
      <c r="C91" s="1" t="n">
        <v>46170</v>
      </c>
      <c r="D91" t="inlineStr">
        <is>
          <t>STOCKHOLMS LÄN</t>
        </is>
      </c>
      <c r="E91" t="inlineStr">
        <is>
          <t>VALLENTUNA</t>
        </is>
      </c>
      <c r="G91" t="n">
        <v>1.7</v>
      </c>
      <c r="H91" t="n">
        <v>0</v>
      </c>
      <c r="I91" t="n">
        <v>0</v>
      </c>
      <c r="J91" t="n">
        <v>0</v>
      </c>
      <c r="K91" t="n">
        <v>0</v>
      </c>
      <c r="L91" t="n">
        <v>0</v>
      </c>
      <c r="M91" t="n">
        <v>0</v>
      </c>
      <c r="N91" t="n">
        <v>0</v>
      </c>
      <c r="O91" t="n">
        <v>0</v>
      </c>
      <c r="P91" t="n">
        <v>0</v>
      </c>
      <c r="Q91" t="n">
        <v>0</v>
      </c>
      <c r="R91" s="2" t="inlineStr"/>
    </row>
    <row r="92" ht="15" customHeight="1">
      <c r="A92" t="inlineStr">
        <is>
          <t>A 8565-2025</t>
        </is>
      </c>
      <c r="B92" s="1" t="n">
        <v>45709</v>
      </c>
      <c r="C92" s="1" t="n">
        <v>46170</v>
      </c>
      <c r="D92" t="inlineStr">
        <is>
          <t>STOCKHOLMS LÄN</t>
        </is>
      </c>
      <c r="E92" t="inlineStr">
        <is>
          <t>VALLENTUNA</t>
        </is>
      </c>
      <c r="F92" t="inlineStr">
        <is>
          <t>Kommuner</t>
        </is>
      </c>
      <c r="G92" t="n">
        <v>4.2</v>
      </c>
      <c r="H92" t="n">
        <v>0</v>
      </c>
      <c r="I92" t="n">
        <v>0</v>
      </c>
      <c r="J92" t="n">
        <v>0</v>
      </c>
      <c r="K92" t="n">
        <v>0</v>
      </c>
      <c r="L92" t="n">
        <v>0</v>
      </c>
      <c r="M92" t="n">
        <v>0</v>
      </c>
      <c r="N92" t="n">
        <v>0</v>
      </c>
      <c r="O92" t="n">
        <v>0</v>
      </c>
      <c r="P92" t="n">
        <v>0</v>
      </c>
      <c r="Q92" t="n">
        <v>0</v>
      </c>
      <c r="R92" s="2" t="inlineStr"/>
    </row>
    <row r="93" ht="15" customHeight="1">
      <c r="A93" t="inlineStr">
        <is>
          <t>A 8787-2024</t>
        </is>
      </c>
      <c r="B93" s="1" t="n">
        <v>45356</v>
      </c>
      <c r="C93" s="1" t="n">
        <v>46170</v>
      </c>
      <c r="D93" t="inlineStr">
        <is>
          <t>STOCKHOLMS LÄN</t>
        </is>
      </c>
      <c r="E93" t="inlineStr">
        <is>
          <t>VALLENTUNA</t>
        </is>
      </c>
      <c r="G93" t="n">
        <v>1.2</v>
      </c>
      <c r="H93" t="n">
        <v>0</v>
      </c>
      <c r="I93" t="n">
        <v>0</v>
      </c>
      <c r="J93" t="n">
        <v>0</v>
      </c>
      <c r="K93" t="n">
        <v>0</v>
      </c>
      <c r="L93" t="n">
        <v>0</v>
      </c>
      <c r="M93" t="n">
        <v>0</v>
      </c>
      <c r="N93" t="n">
        <v>0</v>
      </c>
      <c r="O93" t="n">
        <v>0</v>
      </c>
      <c r="P93" t="n">
        <v>0</v>
      </c>
      <c r="Q93" t="n">
        <v>0</v>
      </c>
      <c r="R93" s="2" t="inlineStr"/>
    </row>
    <row r="94" ht="15" customHeight="1">
      <c r="A94" t="inlineStr">
        <is>
          <t>A 14782-2024</t>
        </is>
      </c>
      <c r="B94" s="1" t="n">
        <v>45397.74266203704</v>
      </c>
      <c r="C94" s="1" t="n">
        <v>46170</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52562-2023</t>
        </is>
      </c>
      <c r="B95" s="1" t="n">
        <v>45225</v>
      </c>
      <c r="C95" s="1" t="n">
        <v>46170</v>
      </c>
      <c r="D95" t="inlineStr">
        <is>
          <t>STOCKHOLMS LÄN</t>
        </is>
      </c>
      <c r="E95" t="inlineStr">
        <is>
          <t>VALLENTUNA</t>
        </is>
      </c>
      <c r="G95" t="n">
        <v>3.4</v>
      </c>
      <c r="H95" t="n">
        <v>0</v>
      </c>
      <c r="I95" t="n">
        <v>0</v>
      </c>
      <c r="J95" t="n">
        <v>0</v>
      </c>
      <c r="K95" t="n">
        <v>0</v>
      </c>
      <c r="L95" t="n">
        <v>0</v>
      </c>
      <c r="M95" t="n">
        <v>0</v>
      </c>
      <c r="N95" t="n">
        <v>0</v>
      </c>
      <c r="O95" t="n">
        <v>0</v>
      </c>
      <c r="P95" t="n">
        <v>0</v>
      </c>
      <c r="Q95" t="n">
        <v>0</v>
      </c>
      <c r="R95" s="2" t="inlineStr"/>
    </row>
    <row r="96" ht="15" customHeight="1">
      <c r="A96" t="inlineStr">
        <is>
          <t>A 49530-2023</t>
        </is>
      </c>
      <c r="B96" s="1" t="n">
        <v>45205</v>
      </c>
      <c r="C96" s="1" t="n">
        <v>46170</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52542-2023</t>
        </is>
      </c>
      <c r="B97" s="1" t="n">
        <v>45225</v>
      </c>
      <c r="C97" s="1" t="n">
        <v>46170</v>
      </c>
      <c r="D97" t="inlineStr">
        <is>
          <t>STOCKHOLMS LÄN</t>
        </is>
      </c>
      <c r="E97" t="inlineStr">
        <is>
          <t>VALLENTUNA</t>
        </is>
      </c>
      <c r="G97" t="n">
        <v>3.8</v>
      </c>
      <c r="H97" t="n">
        <v>0</v>
      </c>
      <c r="I97" t="n">
        <v>0</v>
      </c>
      <c r="J97" t="n">
        <v>0</v>
      </c>
      <c r="K97" t="n">
        <v>0</v>
      </c>
      <c r="L97" t="n">
        <v>0</v>
      </c>
      <c r="M97" t="n">
        <v>0</v>
      </c>
      <c r="N97" t="n">
        <v>0</v>
      </c>
      <c r="O97" t="n">
        <v>0</v>
      </c>
      <c r="P97" t="n">
        <v>0</v>
      </c>
      <c r="Q97" t="n">
        <v>0</v>
      </c>
      <c r="R97" s="2" t="inlineStr"/>
    </row>
    <row r="98" ht="15" customHeight="1">
      <c r="A98" t="inlineStr">
        <is>
          <t>A 414-2026</t>
        </is>
      </c>
      <c r="B98" s="1" t="n">
        <v>46028.76050925926</v>
      </c>
      <c r="C98" s="1" t="n">
        <v>46170</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2318-2024</t>
        </is>
      </c>
      <c r="B99" s="1" t="n">
        <v>45310</v>
      </c>
      <c r="C99" s="1" t="n">
        <v>46170</v>
      </c>
      <c r="D99" t="inlineStr">
        <is>
          <t>STOCKHOLMS LÄN</t>
        </is>
      </c>
      <c r="E99" t="inlineStr">
        <is>
          <t>VALLENTUNA</t>
        </is>
      </c>
      <c r="G99" t="n">
        <v>2.2</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46170</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21445-2023</t>
        </is>
      </c>
      <c r="B101" s="1" t="n">
        <v>45063</v>
      </c>
      <c r="C101" s="1" t="n">
        <v>46170</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34441-2023</t>
        </is>
      </c>
      <c r="B102" s="1" t="n">
        <v>45139</v>
      </c>
      <c r="C102" s="1" t="n">
        <v>46170</v>
      </c>
      <c r="D102" t="inlineStr">
        <is>
          <t>STOCKHOLMS LÄN</t>
        </is>
      </c>
      <c r="E102" t="inlineStr">
        <is>
          <t>VALLENTUNA</t>
        </is>
      </c>
      <c r="G102" t="n">
        <v>1.6</v>
      </c>
      <c r="H102" t="n">
        <v>0</v>
      </c>
      <c r="I102" t="n">
        <v>0</v>
      </c>
      <c r="J102" t="n">
        <v>0</v>
      </c>
      <c r="K102" t="n">
        <v>0</v>
      </c>
      <c r="L102" t="n">
        <v>0</v>
      </c>
      <c r="M102" t="n">
        <v>0</v>
      </c>
      <c r="N102" t="n">
        <v>0</v>
      </c>
      <c r="O102" t="n">
        <v>0</v>
      </c>
      <c r="P102" t="n">
        <v>0</v>
      </c>
      <c r="Q102" t="n">
        <v>0</v>
      </c>
      <c r="R102" s="2" t="inlineStr"/>
    </row>
    <row r="103" ht="15" customHeight="1">
      <c r="A103" t="inlineStr">
        <is>
          <t>A 34445-2023</t>
        </is>
      </c>
      <c r="B103" s="1" t="n">
        <v>45139</v>
      </c>
      <c r="C103" s="1" t="n">
        <v>46170</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735-2024</t>
        </is>
      </c>
      <c r="B104" s="1" t="n">
        <v>45300</v>
      </c>
      <c r="C104" s="1" t="n">
        <v>46170</v>
      </c>
      <c r="D104" t="inlineStr">
        <is>
          <t>STOCKHOLMS LÄN</t>
        </is>
      </c>
      <c r="E104" t="inlineStr">
        <is>
          <t>VALLENTUNA</t>
        </is>
      </c>
      <c r="G104" t="n">
        <v>1.7</v>
      </c>
      <c r="H104" t="n">
        <v>0</v>
      </c>
      <c r="I104" t="n">
        <v>0</v>
      </c>
      <c r="J104" t="n">
        <v>0</v>
      </c>
      <c r="K104" t="n">
        <v>0</v>
      </c>
      <c r="L104" t="n">
        <v>0</v>
      </c>
      <c r="M104" t="n">
        <v>0</v>
      </c>
      <c r="N104" t="n">
        <v>0</v>
      </c>
      <c r="O104" t="n">
        <v>0</v>
      </c>
      <c r="P104" t="n">
        <v>0</v>
      </c>
      <c r="Q104" t="n">
        <v>0</v>
      </c>
      <c r="R104" s="2" t="inlineStr"/>
    </row>
    <row r="105" ht="15" customHeight="1">
      <c r="A105" t="inlineStr">
        <is>
          <t>A 12585-2023</t>
        </is>
      </c>
      <c r="B105" s="1" t="n">
        <v>45000.41373842592</v>
      </c>
      <c r="C105" s="1" t="n">
        <v>46170</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6298-2026</t>
        </is>
      </c>
      <c r="B106" s="1" t="n">
        <v>46055.5656712963</v>
      </c>
      <c r="C106" s="1" t="n">
        <v>46170</v>
      </c>
      <c r="D106" t="inlineStr">
        <is>
          <t>STOCKHOLMS LÄN</t>
        </is>
      </c>
      <c r="E106" t="inlineStr">
        <is>
          <t>VALLENTUNA</t>
        </is>
      </c>
      <c r="G106" t="n">
        <v>3.3</v>
      </c>
      <c r="H106" t="n">
        <v>0</v>
      </c>
      <c r="I106" t="n">
        <v>0</v>
      </c>
      <c r="J106" t="n">
        <v>0</v>
      </c>
      <c r="K106" t="n">
        <v>0</v>
      </c>
      <c r="L106" t="n">
        <v>0</v>
      </c>
      <c r="M106" t="n">
        <v>0</v>
      </c>
      <c r="N106" t="n">
        <v>0</v>
      </c>
      <c r="O106" t="n">
        <v>0</v>
      </c>
      <c r="P106" t="n">
        <v>0</v>
      </c>
      <c r="Q106" t="n">
        <v>0</v>
      </c>
      <c r="R106" s="2" t="inlineStr"/>
    </row>
    <row r="107" ht="15" customHeight="1">
      <c r="A107" t="inlineStr">
        <is>
          <t>A 8077-2022</t>
        </is>
      </c>
      <c r="B107" s="1" t="n">
        <v>44609</v>
      </c>
      <c r="C107" s="1" t="n">
        <v>46170</v>
      </c>
      <c r="D107" t="inlineStr">
        <is>
          <t>STOCKHOLMS LÄN</t>
        </is>
      </c>
      <c r="E107" t="inlineStr">
        <is>
          <t>VALLENTUNA</t>
        </is>
      </c>
      <c r="G107" t="n">
        <v>1.3</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46170</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21765-2023</t>
        </is>
      </c>
      <c r="B109" s="1" t="n">
        <v>45064</v>
      </c>
      <c r="C109" s="1" t="n">
        <v>46170</v>
      </c>
      <c r="D109" t="inlineStr">
        <is>
          <t>STOCKHOLMS LÄN</t>
        </is>
      </c>
      <c r="E109" t="inlineStr">
        <is>
          <t>VALLENTUNA</t>
        </is>
      </c>
      <c r="G109" t="n">
        <v>1.1</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46170</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23986-2023</t>
        </is>
      </c>
      <c r="B111" s="1" t="n">
        <v>45078</v>
      </c>
      <c r="C111" s="1" t="n">
        <v>46170</v>
      </c>
      <c r="D111" t="inlineStr">
        <is>
          <t>STOCKHOLMS LÄN</t>
        </is>
      </c>
      <c r="E111" t="inlineStr">
        <is>
          <t>VALLENTUNA</t>
        </is>
      </c>
      <c r="F111" t="inlineStr">
        <is>
          <t>Kyrkan</t>
        </is>
      </c>
      <c r="G111" t="n">
        <v>5.7</v>
      </c>
      <c r="H111" t="n">
        <v>0</v>
      </c>
      <c r="I111" t="n">
        <v>0</v>
      </c>
      <c r="J111" t="n">
        <v>0</v>
      </c>
      <c r="K111" t="n">
        <v>0</v>
      </c>
      <c r="L111" t="n">
        <v>0</v>
      </c>
      <c r="M111" t="n">
        <v>0</v>
      </c>
      <c r="N111" t="n">
        <v>0</v>
      </c>
      <c r="O111" t="n">
        <v>0</v>
      </c>
      <c r="P111" t="n">
        <v>0</v>
      </c>
      <c r="Q111" t="n">
        <v>0</v>
      </c>
      <c r="R111" s="2" t="inlineStr"/>
    </row>
    <row r="112" ht="15" customHeight="1">
      <c r="A112" t="inlineStr">
        <is>
          <t>A 24068-2024</t>
        </is>
      </c>
      <c r="B112" s="1" t="n">
        <v>45456</v>
      </c>
      <c r="C112" s="1" t="n">
        <v>46170</v>
      </c>
      <c r="D112" t="inlineStr">
        <is>
          <t>STOCKHOLMS LÄN</t>
        </is>
      </c>
      <c r="E112" t="inlineStr">
        <is>
          <t>VALLENTUNA</t>
        </is>
      </c>
      <c r="G112" t="n">
        <v>7.4</v>
      </c>
      <c r="H112" t="n">
        <v>0</v>
      </c>
      <c r="I112" t="n">
        <v>0</v>
      </c>
      <c r="J112" t="n">
        <v>0</v>
      </c>
      <c r="K112" t="n">
        <v>0</v>
      </c>
      <c r="L112" t="n">
        <v>0</v>
      </c>
      <c r="M112" t="n">
        <v>0</v>
      </c>
      <c r="N112" t="n">
        <v>0</v>
      </c>
      <c r="O112" t="n">
        <v>0</v>
      </c>
      <c r="P112" t="n">
        <v>0</v>
      </c>
      <c r="Q112" t="n">
        <v>0</v>
      </c>
      <c r="R112" s="2" t="inlineStr"/>
    </row>
    <row r="113" ht="15" customHeight="1">
      <c r="A113" t="inlineStr">
        <is>
          <t>A 12400-2026</t>
        </is>
      </c>
      <c r="B113" s="1" t="n">
        <v>46090.39423611111</v>
      </c>
      <c r="C113" s="1" t="n">
        <v>46170</v>
      </c>
      <c r="D113" t="inlineStr">
        <is>
          <t>STOCKHOLMS LÄN</t>
        </is>
      </c>
      <c r="E113" t="inlineStr">
        <is>
          <t>VALLENTUNA</t>
        </is>
      </c>
      <c r="G113" t="n">
        <v>1.9</v>
      </c>
      <c r="H113" t="n">
        <v>0</v>
      </c>
      <c r="I113" t="n">
        <v>0</v>
      </c>
      <c r="J113" t="n">
        <v>0</v>
      </c>
      <c r="K113" t="n">
        <v>0</v>
      </c>
      <c r="L113" t="n">
        <v>0</v>
      </c>
      <c r="M113" t="n">
        <v>0</v>
      </c>
      <c r="N113" t="n">
        <v>0</v>
      </c>
      <c r="O113" t="n">
        <v>0</v>
      </c>
      <c r="P113" t="n">
        <v>0</v>
      </c>
      <c r="Q113" t="n">
        <v>0</v>
      </c>
      <c r="R113" s="2" t="inlineStr"/>
    </row>
    <row r="114" ht="15" customHeight="1">
      <c r="A114" t="inlineStr">
        <is>
          <t>A 12822-2026</t>
        </is>
      </c>
      <c r="B114" s="1" t="n">
        <v>46092.41358796296</v>
      </c>
      <c r="C114" s="1" t="n">
        <v>46170</v>
      </c>
      <c r="D114" t="inlineStr">
        <is>
          <t>STOCKHOLMS LÄN</t>
        </is>
      </c>
      <c r="E114" t="inlineStr">
        <is>
          <t>VALLENTUNA</t>
        </is>
      </c>
      <c r="G114" t="n">
        <v>2.7</v>
      </c>
      <c r="H114" t="n">
        <v>0</v>
      </c>
      <c r="I114" t="n">
        <v>0</v>
      </c>
      <c r="J114" t="n">
        <v>0</v>
      </c>
      <c r="K114" t="n">
        <v>0</v>
      </c>
      <c r="L114" t="n">
        <v>0</v>
      </c>
      <c r="M114" t="n">
        <v>0</v>
      </c>
      <c r="N114" t="n">
        <v>0</v>
      </c>
      <c r="O114" t="n">
        <v>0</v>
      </c>
      <c r="P114" t="n">
        <v>0</v>
      </c>
      <c r="Q114" t="n">
        <v>0</v>
      </c>
      <c r="R114" s="2" t="inlineStr"/>
    </row>
    <row r="115" ht="15" customHeight="1">
      <c r="A115" t="inlineStr">
        <is>
          <t>A 12819-2026</t>
        </is>
      </c>
      <c r="B115" s="1" t="n">
        <v>46092.40896990741</v>
      </c>
      <c r="C115" s="1" t="n">
        <v>46170</v>
      </c>
      <c r="D115" t="inlineStr">
        <is>
          <t>STOCKHOLMS LÄN</t>
        </is>
      </c>
      <c r="E115" t="inlineStr">
        <is>
          <t>VALLENTUNA</t>
        </is>
      </c>
      <c r="G115" t="n">
        <v>3.5</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46170</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46170</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3078-2023</t>
        </is>
      </c>
      <c r="B118" s="1" t="n">
        <v>44946.41527777778</v>
      </c>
      <c r="C118" s="1" t="n">
        <v>46170</v>
      </c>
      <c r="D118" t="inlineStr">
        <is>
          <t>STOCKHOLMS LÄN</t>
        </is>
      </c>
      <c r="E118" t="inlineStr">
        <is>
          <t>VALLENTUNA</t>
        </is>
      </c>
      <c r="G118" t="n">
        <v>3.9</v>
      </c>
      <c r="H118" t="n">
        <v>0</v>
      </c>
      <c r="I118" t="n">
        <v>0</v>
      </c>
      <c r="J118" t="n">
        <v>0</v>
      </c>
      <c r="K118" t="n">
        <v>0</v>
      </c>
      <c r="L118" t="n">
        <v>0</v>
      </c>
      <c r="M118" t="n">
        <v>0</v>
      </c>
      <c r="N118" t="n">
        <v>0</v>
      </c>
      <c r="O118" t="n">
        <v>0</v>
      </c>
      <c r="P118" t="n">
        <v>0</v>
      </c>
      <c r="Q118" t="n">
        <v>0</v>
      </c>
      <c r="R118" s="2" t="inlineStr"/>
    </row>
    <row r="119" ht="15" customHeight="1">
      <c r="A119" t="inlineStr">
        <is>
          <t>A 12828-2026</t>
        </is>
      </c>
      <c r="B119" s="1" t="n">
        <v>46092.41760416667</v>
      </c>
      <c r="C119" s="1" t="n">
        <v>46170</v>
      </c>
      <c r="D119" t="inlineStr">
        <is>
          <t>STOCKHOLMS LÄN</t>
        </is>
      </c>
      <c r="E119" t="inlineStr">
        <is>
          <t>VALLENTUNA</t>
        </is>
      </c>
      <c r="G119" t="n">
        <v>1</v>
      </c>
      <c r="H119" t="n">
        <v>0</v>
      </c>
      <c r="I119" t="n">
        <v>0</v>
      </c>
      <c r="J119" t="n">
        <v>0</v>
      </c>
      <c r="K119" t="n">
        <v>0</v>
      </c>
      <c r="L119" t="n">
        <v>0</v>
      </c>
      <c r="M119" t="n">
        <v>0</v>
      </c>
      <c r="N119" t="n">
        <v>0</v>
      </c>
      <c r="O119" t="n">
        <v>0</v>
      </c>
      <c r="P119" t="n">
        <v>0</v>
      </c>
      <c r="Q119" t="n">
        <v>0</v>
      </c>
      <c r="R119" s="2" t="inlineStr"/>
    </row>
    <row r="120" ht="15" customHeight="1">
      <c r="A120" t="inlineStr">
        <is>
          <t>A 12830-2026</t>
        </is>
      </c>
      <c r="B120" s="1" t="n">
        <v>46092.42290509259</v>
      </c>
      <c r="C120" s="1" t="n">
        <v>46170</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19503-2023</t>
        </is>
      </c>
      <c r="B121" s="1" t="n">
        <v>45050.47333333334</v>
      </c>
      <c r="C121" s="1" t="n">
        <v>46170</v>
      </c>
      <c r="D121" t="inlineStr">
        <is>
          <t>STOCKHOLMS LÄN</t>
        </is>
      </c>
      <c r="E121" t="inlineStr">
        <is>
          <t>VALLENTUNA</t>
        </is>
      </c>
      <c r="G121" t="n">
        <v>0.7</v>
      </c>
      <c r="H121" t="n">
        <v>0</v>
      </c>
      <c r="I121" t="n">
        <v>0</v>
      </c>
      <c r="J121" t="n">
        <v>0</v>
      </c>
      <c r="K121" t="n">
        <v>0</v>
      </c>
      <c r="L121" t="n">
        <v>0</v>
      </c>
      <c r="M121" t="n">
        <v>0</v>
      </c>
      <c r="N121" t="n">
        <v>0</v>
      </c>
      <c r="O121" t="n">
        <v>0</v>
      </c>
      <c r="P121" t="n">
        <v>0</v>
      </c>
      <c r="Q121" t="n">
        <v>0</v>
      </c>
      <c r="R121" s="2" t="inlineStr"/>
    </row>
    <row r="122" ht="15" customHeight="1">
      <c r="A122" t="inlineStr">
        <is>
          <t>A 20910-2026</t>
        </is>
      </c>
      <c r="B122" s="1" t="n">
        <v>46142.46608796297</v>
      </c>
      <c r="C122" s="1" t="n">
        <v>46170</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14799-2026</t>
        </is>
      </c>
      <c r="B123" s="1" t="n">
        <v>46102.82101851852</v>
      </c>
      <c r="C123" s="1" t="n">
        <v>46170</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4803-2024</t>
        </is>
      </c>
      <c r="B124" s="1" t="n">
        <v>45328</v>
      </c>
      <c r="C124" s="1" t="n">
        <v>46170</v>
      </c>
      <c r="D124" t="inlineStr">
        <is>
          <t>STOCKHOLMS LÄN</t>
        </is>
      </c>
      <c r="E124" t="inlineStr">
        <is>
          <t>VALLENTUNA</t>
        </is>
      </c>
      <c r="G124" t="n">
        <v>4.6</v>
      </c>
      <c r="H124" t="n">
        <v>0</v>
      </c>
      <c r="I124" t="n">
        <v>0</v>
      </c>
      <c r="J124" t="n">
        <v>0</v>
      </c>
      <c r="K124" t="n">
        <v>0</v>
      </c>
      <c r="L124" t="n">
        <v>0</v>
      </c>
      <c r="M124" t="n">
        <v>0</v>
      </c>
      <c r="N124" t="n">
        <v>0</v>
      </c>
      <c r="O124" t="n">
        <v>0</v>
      </c>
      <c r="P124" t="n">
        <v>0</v>
      </c>
      <c r="Q124" t="n">
        <v>0</v>
      </c>
      <c r="R124" s="2" t="inlineStr"/>
    </row>
    <row r="125" ht="15" customHeight="1">
      <c r="A125" t="inlineStr">
        <is>
          <t>A 3698-2022</t>
        </is>
      </c>
      <c r="B125" s="1" t="n">
        <v>44586</v>
      </c>
      <c r="C125" s="1" t="n">
        <v>46170</v>
      </c>
      <c r="D125" t="inlineStr">
        <is>
          <t>STOCKHOLMS LÄN</t>
        </is>
      </c>
      <c r="E125" t="inlineStr">
        <is>
          <t>VALLENTUNA</t>
        </is>
      </c>
      <c r="G125" t="n">
        <v>2.9</v>
      </c>
      <c r="H125" t="n">
        <v>0</v>
      </c>
      <c r="I125" t="n">
        <v>0</v>
      </c>
      <c r="J125" t="n">
        <v>0</v>
      </c>
      <c r="K125" t="n">
        <v>0</v>
      </c>
      <c r="L125" t="n">
        <v>0</v>
      </c>
      <c r="M125" t="n">
        <v>0</v>
      </c>
      <c r="N125" t="n">
        <v>0</v>
      </c>
      <c r="O125" t="n">
        <v>0</v>
      </c>
      <c r="P125" t="n">
        <v>0</v>
      </c>
      <c r="Q125" t="n">
        <v>0</v>
      </c>
      <c r="R125" s="2" t="inlineStr"/>
    </row>
    <row r="126" ht="15" customHeight="1">
      <c r="A126" t="inlineStr">
        <is>
          <t>A 38102-2024</t>
        </is>
      </c>
      <c r="B126" s="1" t="n">
        <v>45545.36349537037</v>
      </c>
      <c r="C126" s="1" t="n">
        <v>46170</v>
      </c>
      <c r="D126" t="inlineStr">
        <is>
          <t>STOCKHOLMS LÄN</t>
        </is>
      </c>
      <c r="E126" t="inlineStr">
        <is>
          <t>VALLENTUNA</t>
        </is>
      </c>
      <c r="G126" t="n">
        <v>3.2</v>
      </c>
      <c r="H126" t="n">
        <v>0</v>
      </c>
      <c r="I126" t="n">
        <v>0</v>
      </c>
      <c r="J126" t="n">
        <v>0</v>
      </c>
      <c r="K126" t="n">
        <v>0</v>
      </c>
      <c r="L126" t="n">
        <v>0</v>
      </c>
      <c r="M126" t="n">
        <v>0</v>
      </c>
      <c r="N126" t="n">
        <v>0</v>
      </c>
      <c r="O126" t="n">
        <v>0</v>
      </c>
      <c r="P126" t="n">
        <v>0</v>
      </c>
      <c r="Q126" t="n">
        <v>0</v>
      </c>
      <c r="R126" s="2" t="inlineStr"/>
    </row>
    <row r="127" ht="15" customHeight="1">
      <c r="A127" t="inlineStr">
        <is>
          <t>A 12234-2022</t>
        </is>
      </c>
      <c r="B127" s="1" t="n">
        <v>44637</v>
      </c>
      <c r="C127" s="1" t="n">
        <v>46170</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24943-2024</t>
        </is>
      </c>
      <c r="B128" s="1" t="n">
        <v>45461.62585648148</v>
      </c>
      <c r="C128" s="1" t="n">
        <v>46170</v>
      </c>
      <c r="D128" t="inlineStr">
        <is>
          <t>STOCKHOLMS LÄN</t>
        </is>
      </c>
      <c r="E128" t="inlineStr">
        <is>
          <t>VALLENTUNA</t>
        </is>
      </c>
      <c r="G128" t="n">
        <v>2</v>
      </c>
      <c r="H128" t="n">
        <v>0</v>
      </c>
      <c r="I128" t="n">
        <v>0</v>
      </c>
      <c r="J128" t="n">
        <v>0</v>
      </c>
      <c r="K128" t="n">
        <v>0</v>
      </c>
      <c r="L128" t="n">
        <v>0</v>
      </c>
      <c r="M128" t="n">
        <v>0</v>
      </c>
      <c r="N128" t="n">
        <v>0</v>
      </c>
      <c r="O128" t="n">
        <v>0</v>
      </c>
      <c r="P128" t="n">
        <v>0</v>
      </c>
      <c r="Q128" t="n">
        <v>0</v>
      </c>
      <c r="R128" s="2" t="inlineStr"/>
    </row>
    <row r="129" ht="15" customHeight="1">
      <c r="A129" t="inlineStr">
        <is>
          <t>A 17387-2026</t>
        </is>
      </c>
      <c r="B129" s="1" t="n">
        <v>46119.79578703704</v>
      </c>
      <c r="C129" s="1" t="n">
        <v>46170</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17388-2026</t>
        </is>
      </c>
      <c r="B130" s="1" t="n">
        <v>46119.79952546296</v>
      </c>
      <c r="C130" s="1" t="n">
        <v>46170</v>
      </c>
      <c r="D130" t="inlineStr">
        <is>
          <t>STOCKHOLMS LÄN</t>
        </is>
      </c>
      <c r="E130" t="inlineStr">
        <is>
          <t>VALLENTUNA</t>
        </is>
      </c>
      <c r="G130" t="n">
        <v>2.9</v>
      </c>
      <c r="H130" t="n">
        <v>0</v>
      </c>
      <c r="I130" t="n">
        <v>0</v>
      </c>
      <c r="J130" t="n">
        <v>0</v>
      </c>
      <c r="K130" t="n">
        <v>0</v>
      </c>
      <c r="L130" t="n">
        <v>0</v>
      </c>
      <c r="M130" t="n">
        <v>0</v>
      </c>
      <c r="N130" t="n">
        <v>0</v>
      </c>
      <c r="O130" t="n">
        <v>0</v>
      </c>
      <c r="P130" t="n">
        <v>0</v>
      </c>
      <c r="Q130" t="n">
        <v>0</v>
      </c>
      <c r="R130" s="2" t="inlineStr"/>
    </row>
    <row r="131" ht="15" customHeight="1">
      <c r="A131" t="inlineStr">
        <is>
          <t>A 17389-2026</t>
        </is>
      </c>
      <c r="B131" s="1" t="n">
        <v>46119.80603009259</v>
      </c>
      <c r="C131" s="1" t="n">
        <v>46170</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22683-2023</t>
        </is>
      </c>
      <c r="B132" s="1" t="n">
        <v>45071</v>
      </c>
      <c r="C132" s="1" t="n">
        <v>46170</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20914-2026</t>
        </is>
      </c>
      <c r="B133" s="1" t="n">
        <v>46142</v>
      </c>
      <c r="C133" s="1" t="n">
        <v>46170</v>
      </c>
      <c r="D133" t="inlineStr">
        <is>
          <t>STOCKHOLMS LÄN</t>
        </is>
      </c>
      <c r="E133" t="inlineStr">
        <is>
          <t>VALLENTUNA</t>
        </is>
      </c>
      <c r="G133" t="n">
        <v>1.1</v>
      </c>
      <c r="H133" t="n">
        <v>0</v>
      </c>
      <c r="I133" t="n">
        <v>0</v>
      </c>
      <c r="J133" t="n">
        <v>0</v>
      </c>
      <c r="K133" t="n">
        <v>0</v>
      </c>
      <c r="L133" t="n">
        <v>0</v>
      </c>
      <c r="M133" t="n">
        <v>0</v>
      </c>
      <c r="N133" t="n">
        <v>0</v>
      </c>
      <c r="O133" t="n">
        <v>0</v>
      </c>
      <c r="P133" t="n">
        <v>0</v>
      </c>
      <c r="Q133" t="n">
        <v>0</v>
      </c>
      <c r="R133" s="2" t="inlineStr"/>
    </row>
    <row r="134" ht="15" customHeight="1">
      <c r="A134" t="inlineStr">
        <is>
          <t>A 17411-2023</t>
        </is>
      </c>
      <c r="B134" s="1" t="n">
        <v>45035.82512731481</v>
      </c>
      <c r="C134" s="1" t="n">
        <v>46170</v>
      </c>
      <c r="D134" t="inlineStr">
        <is>
          <t>STOCKHOLMS LÄN</t>
        </is>
      </c>
      <c r="E134" t="inlineStr">
        <is>
          <t>VALLENTUNA</t>
        </is>
      </c>
      <c r="G134" t="n">
        <v>0.7</v>
      </c>
      <c r="H134" t="n">
        <v>0</v>
      </c>
      <c r="I134" t="n">
        <v>0</v>
      </c>
      <c r="J134" t="n">
        <v>0</v>
      </c>
      <c r="K134" t="n">
        <v>0</v>
      </c>
      <c r="L134" t="n">
        <v>0</v>
      </c>
      <c r="M134" t="n">
        <v>0</v>
      </c>
      <c r="N134" t="n">
        <v>0</v>
      </c>
      <c r="O134" t="n">
        <v>0</v>
      </c>
      <c r="P134" t="n">
        <v>0</v>
      </c>
      <c r="Q134" t="n">
        <v>0</v>
      </c>
      <c r="R134" s="2" t="inlineStr"/>
    </row>
    <row r="135" ht="15" customHeight="1">
      <c r="A135" t="inlineStr">
        <is>
          <t>A 1385-2024</t>
        </is>
      </c>
      <c r="B135" s="1" t="n">
        <v>45303</v>
      </c>
      <c r="C135" s="1" t="n">
        <v>46170</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60818-2023</t>
        </is>
      </c>
      <c r="B136" s="1" t="n">
        <v>45259</v>
      </c>
      <c r="C136" s="1" t="n">
        <v>46170</v>
      </c>
      <c r="D136" t="inlineStr">
        <is>
          <t>STOCKHOLMS LÄN</t>
        </is>
      </c>
      <c r="E136" t="inlineStr">
        <is>
          <t>VALLENTUNA</t>
        </is>
      </c>
      <c r="G136" t="n">
        <v>9.4</v>
      </c>
      <c r="H136" t="n">
        <v>0</v>
      </c>
      <c r="I136" t="n">
        <v>0</v>
      </c>
      <c r="J136" t="n">
        <v>0</v>
      </c>
      <c r="K136" t="n">
        <v>0</v>
      </c>
      <c r="L136" t="n">
        <v>0</v>
      </c>
      <c r="M136" t="n">
        <v>0</v>
      </c>
      <c r="N136" t="n">
        <v>0</v>
      </c>
      <c r="O136" t="n">
        <v>0</v>
      </c>
      <c r="P136" t="n">
        <v>0</v>
      </c>
      <c r="Q136" t="n">
        <v>0</v>
      </c>
      <c r="R136" s="2" t="inlineStr"/>
    </row>
    <row r="137" ht="15" customHeight="1">
      <c r="A137" t="inlineStr">
        <is>
          <t>A 7264-2022</t>
        </is>
      </c>
      <c r="B137" s="1" t="n">
        <v>44606</v>
      </c>
      <c r="C137" s="1" t="n">
        <v>46170</v>
      </c>
      <c r="D137" t="inlineStr">
        <is>
          <t>STOCKHOLMS LÄN</t>
        </is>
      </c>
      <c r="E137" t="inlineStr">
        <is>
          <t>VALLENTUNA</t>
        </is>
      </c>
      <c r="G137" t="n">
        <v>2.4</v>
      </c>
      <c r="H137" t="n">
        <v>0</v>
      </c>
      <c r="I137" t="n">
        <v>0</v>
      </c>
      <c r="J137" t="n">
        <v>0</v>
      </c>
      <c r="K137" t="n">
        <v>0</v>
      </c>
      <c r="L137" t="n">
        <v>0</v>
      </c>
      <c r="M137" t="n">
        <v>0</v>
      </c>
      <c r="N137" t="n">
        <v>0</v>
      </c>
      <c r="O137" t="n">
        <v>0</v>
      </c>
      <c r="P137" t="n">
        <v>0</v>
      </c>
      <c r="Q137" t="n">
        <v>0</v>
      </c>
      <c r="R137" s="2" t="inlineStr"/>
    </row>
    <row r="138" ht="15" customHeight="1">
      <c r="A138" t="inlineStr">
        <is>
          <t>A 19356-2025</t>
        </is>
      </c>
      <c r="B138" s="1" t="n">
        <v>45769.62061342593</v>
      </c>
      <c r="C138" s="1" t="n">
        <v>46170</v>
      </c>
      <c r="D138" t="inlineStr">
        <is>
          <t>STOCKHOLMS LÄN</t>
        </is>
      </c>
      <c r="E138" t="inlineStr">
        <is>
          <t>VALLENTUNA</t>
        </is>
      </c>
      <c r="F138" t="inlineStr">
        <is>
          <t>Övriga Aktiebolag</t>
        </is>
      </c>
      <c r="G138" t="n">
        <v>1.6</v>
      </c>
      <c r="H138" t="n">
        <v>0</v>
      </c>
      <c r="I138" t="n">
        <v>0</v>
      </c>
      <c r="J138" t="n">
        <v>0</v>
      </c>
      <c r="K138" t="n">
        <v>0</v>
      </c>
      <c r="L138" t="n">
        <v>0</v>
      </c>
      <c r="M138" t="n">
        <v>0</v>
      </c>
      <c r="N138" t="n">
        <v>0</v>
      </c>
      <c r="O138" t="n">
        <v>0</v>
      </c>
      <c r="P138" t="n">
        <v>0</v>
      </c>
      <c r="Q138" t="n">
        <v>0</v>
      </c>
      <c r="R138" s="2" t="inlineStr"/>
    </row>
    <row r="139" ht="15" customHeight="1">
      <c r="A139" t="inlineStr">
        <is>
          <t>A 11950-2025</t>
        </is>
      </c>
      <c r="B139" s="1" t="n">
        <v>45728.55622685186</v>
      </c>
      <c r="C139" s="1" t="n">
        <v>46170</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14489-2024</t>
        </is>
      </c>
      <c r="B140" s="1" t="n">
        <v>45394.58053240741</v>
      </c>
      <c r="C140" s="1" t="n">
        <v>46170</v>
      </c>
      <c r="D140" t="inlineStr">
        <is>
          <t>STOCKHOLMS LÄN</t>
        </is>
      </c>
      <c r="E140" t="inlineStr">
        <is>
          <t>VALLENTUNA</t>
        </is>
      </c>
      <c r="G140" t="n">
        <v>2.3</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45019.41045138889</v>
      </c>
      <c r="C141" s="1" t="n">
        <v>46170</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61442-2024</t>
        </is>
      </c>
      <c r="B142" s="1" t="n">
        <v>45646.47003472222</v>
      </c>
      <c r="C142" s="1" t="n">
        <v>46170</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48068-2021</t>
        </is>
      </c>
      <c r="B143" s="1" t="n">
        <v>44449.42270833333</v>
      </c>
      <c r="C143" s="1" t="n">
        <v>46170</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45499-2023</t>
        </is>
      </c>
      <c r="B144" s="1" t="n">
        <v>45194</v>
      </c>
      <c r="C144" s="1" t="n">
        <v>46170</v>
      </c>
      <c r="D144" t="inlineStr">
        <is>
          <t>STOCKHOLMS LÄN</t>
        </is>
      </c>
      <c r="E144" t="inlineStr">
        <is>
          <t>VALLENTUNA</t>
        </is>
      </c>
      <c r="G144" t="n">
        <v>2.5</v>
      </c>
      <c r="H144" t="n">
        <v>0</v>
      </c>
      <c r="I144" t="n">
        <v>0</v>
      </c>
      <c r="J144" t="n">
        <v>0</v>
      </c>
      <c r="K144" t="n">
        <v>0</v>
      </c>
      <c r="L144" t="n">
        <v>0</v>
      </c>
      <c r="M144" t="n">
        <v>0</v>
      </c>
      <c r="N144" t="n">
        <v>0</v>
      </c>
      <c r="O144" t="n">
        <v>0</v>
      </c>
      <c r="P144" t="n">
        <v>0</v>
      </c>
      <c r="Q144" t="n">
        <v>0</v>
      </c>
      <c r="R144" s="2" t="inlineStr"/>
    </row>
    <row r="145" ht="15" customHeight="1">
      <c r="A145" t="inlineStr">
        <is>
          <t>A 34452-2021</t>
        </is>
      </c>
      <c r="B145" s="1" t="n">
        <v>44381</v>
      </c>
      <c r="C145" s="1" t="n">
        <v>46170</v>
      </c>
      <c r="D145" t="inlineStr">
        <is>
          <t>STOCKHOLMS LÄN</t>
        </is>
      </c>
      <c r="E145" t="inlineStr">
        <is>
          <t>VALLENTUNA</t>
        </is>
      </c>
      <c r="G145" t="n">
        <v>14.7</v>
      </c>
      <c r="H145" t="n">
        <v>0</v>
      </c>
      <c r="I145" t="n">
        <v>0</v>
      </c>
      <c r="J145" t="n">
        <v>0</v>
      </c>
      <c r="K145" t="n">
        <v>0</v>
      </c>
      <c r="L145" t="n">
        <v>0</v>
      </c>
      <c r="M145" t="n">
        <v>0</v>
      </c>
      <c r="N145" t="n">
        <v>0</v>
      </c>
      <c r="O145" t="n">
        <v>0</v>
      </c>
      <c r="P145" t="n">
        <v>0</v>
      </c>
      <c r="Q145" t="n">
        <v>0</v>
      </c>
      <c r="R145" s="2" t="inlineStr"/>
    </row>
    <row r="146" ht="15" customHeight="1">
      <c r="A146" t="inlineStr">
        <is>
          <t>A 20791-2025</t>
        </is>
      </c>
      <c r="B146" s="1" t="n">
        <v>45776.62738425926</v>
      </c>
      <c r="C146" s="1" t="n">
        <v>46170</v>
      </c>
      <c r="D146" t="inlineStr">
        <is>
          <t>STOCKHOLMS LÄN</t>
        </is>
      </c>
      <c r="E146" t="inlineStr">
        <is>
          <t>VALLENTUNA</t>
        </is>
      </c>
      <c r="G146" t="n">
        <v>1.5</v>
      </c>
      <c r="H146" t="n">
        <v>0</v>
      </c>
      <c r="I146" t="n">
        <v>0</v>
      </c>
      <c r="J146" t="n">
        <v>0</v>
      </c>
      <c r="K146" t="n">
        <v>0</v>
      </c>
      <c r="L146" t="n">
        <v>0</v>
      </c>
      <c r="M146" t="n">
        <v>0</v>
      </c>
      <c r="N146" t="n">
        <v>0</v>
      </c>
      <c r="O146" t="n">
        <v>0</v>
      </c>
      <c r="P146" t="n">
        <v>0</v>
      </c>
      <c r="Q146" t="n">
        <v>0</v>
      </c>
      <c r="R146" s="2" t="inlineStr"/>
    </row>
    <row r="147" ht="15" customHeight="1">
      <c r="A147" t="inlineStr">
        <is>
          <t>A 10073-2024</t>
        </is>
      </c>
      <c r="B147" s="1" t="n">
        <v>45364.40821759259</v>
      </c>
      <c r="C147" s="1" t="n">
        <v>46170</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c r="A148" t="inlineStr">
        <is>
          <t>A 12621-2024</t>
        </is>
      </c>
      <c r="B148" s="1" t="n">
        <v>45383.6325</v>
      </c>
      <c r="C148" s="1" t="n">
        <v>46170</v>
      </c>
      <c r="D148" t="inlineStr">
        <is>
          <t>STOCKHOLMS LÄN</t>
        </is>
      </c>
      <c r="E148" t="inlineStr">
        <is>
          <t>VALLENTUNA</t>
        </is>
      </c>
      <c r="G148" t="n">
        <v>4.4</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2026-05-28T10:49:31Z</dcterms:created>
  <dcterms:modified xmlns:dcterms="http://purl.org/dc/terms/" xmlns:xsi="http://www.w3.org/2001/XMLSchema-instance" xsi:type="dcterms:W3CDTF">2026-05-28T10:49:31Z</dcterms:modified>
</cp:coreProperties>
</file>