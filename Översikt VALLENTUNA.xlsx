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46012</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46012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46012</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46012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46012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46012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46012</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46012</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46012</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46012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46012</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46012</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46012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46012</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46012</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46012</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46012</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46012</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46012</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46012</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34458-2023</t>
        </is>
      </c>
      <c r="B35" s="1" t="n">
        <v>45139</v>
      </c>
      <c r="C35" s="1" t="n">
        <v>46012</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34460-2023</t>
        </is>
      </c>
      <c r="B36" s="1" t="n">
        <v>45139</v>
      </c>
      <c r="C36" s="1" t="n">
        <v>46012</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21439-2025</t>
        </is>
      </c>
      <c r="B37" s="1" t="n">
        <v>45782.52939814814</v>
      </c>
      <c r="C37" s="1" t="n">
        <v>46012</v>
      </c>
      <c r="D37" t="inlineStr">
        <is>
          <t>STOCKHOLMS LÄN</t>
        </is>
      </c>
      <c r="E37" t="inlineStr">
        <is>
          <t>VALLENTUNA</t>
        </is>
      </c>
      <c r="G37" t="n">
        <v>2.1</v>
      </c>
      <c r="H37" t="n">
        <v>0</v>
      </c>
      <c r="I37" t="n">
        <v>1</v>
      </c>
      <c r="J37" t="n">
        <v>0</v>
      </c>
      <c r="K37" t="n">
        <v>0</v>
      </c>
      <c r="L37" t="n">
        <v>0</v>
      </c>
      <c r="M37" t="n">
        <v>0</v>
      </c>
      <c r="N37" t="n">
        <v>0</v>
      </c>
      <c r="O37" t="n">
        <v>0</v>
      </c>
      <c r="P37" t="n">
        <v>0</v>
      </c>
      <c r="Q37" t="n">
        <v>1</v>
      </c>
      <c r="R37" s="2" t="inlineStr">
        <is>
          <t>Mindre märgborre</t>
        </is>
      </c>
      <c r="S37">
        <f>HYPERLINK("https://klasma.github.io/Logging_0115/artfynd/A 21439-2025 artfynd.xlsx", "A 21439-2025")</f>
        <v/>
      </c>
      <c r="T37">
        <f>HYPERLINK("https://klasma.github.io/Logging_0115/kartor/A 21439-2025 karta.png", "A 21439-2025")</f>
        <v/>
      </c>
      <c r="V37">
        <f>HYPERLINK("https://klasma.github.io/Logging_0115/klagomål/A 21439-2025 FSC-klagomål.docx", "A 21439-2025")</f>
        <v/>
      </c>
      <c r="W37">
        <f>HYPERLINK("https://klasma.github.io/Logging_0115/klagomålsmail/A 21439-2025 FSC-klagomål mail.docx", "A 21439-2025")</f>
        <v/>
      </c>
      <c r="X37">
        <f>HYPERLINK("https://klasma.github.io/Logging_0115/tillsyn/A 21439-2025 tillsynsbegäran.docx", "A 21439-2025")</f>
        <v/>
      </c>
      <c r="Y37">
        <f>HYPERLINK("https://klasma.github.io/Logging_0115/tillsynsmail/A 21439-2025 tillsynsbegäran mail.docx", "A 21439-2025")</f>
        <v/>
      </c>
    </row>
    <row r="38" ht="15" customHeight="1">
      <c r="A38" t="inlineStr">
        <is>
          <t>A 22936-2025</t>
        </is>
      </c>
      <c r="B38" s="1" t="n">
        <v>45790.45738425926</v>
      </c>
      <c r="C38" s="1" t="n">
        <v>46012</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20612-2021</t>
        </is>
      </c>
      <c r="B39" s="1" t="n">
        <v>44315</v>
      </c>
      <c r="C39" s="1" t="n">
        <v>46012</v>
      </c>
      <c r="D39" t="inlineStr">
        <is>
          <t>STOCKHOLMS LÄN</t>
        </is>
      </c>
      <c r="E39" t="inlineStr">
        <is>
          <t>VALLENTUNA</t>
        </is>
      </c>
      <c r="F39" t="inlineStr">
        <is>
          <t>Övriga Aktiebolag</t>
        </is>
      </c>
      <c r="G39" t="n">
        <v>1.2</v>
      </c>
      <c r="H39" t="n">
        <v>0</v>
      </c>
      <c r="I39" t="n">
        <v>0</v>
      </c>
      <c r="J39" t="n">
        <v>0</v>
      </c>
      <c r="K39" t="n">
        <v>0</v>
      </c>
      <c r="L39" t="n">
        <v>0</v>
      </c>
      <c r="M39" t="n">
        <v>0</v>
      </c>
      <c r="N39" t="n">
        <v>0</v>
      </c>
      <c r="O39" t="n">
        <v>0</v>
      </c>
      <c r="P39" t="n">
        <v>0</v>
      </c>
      <c r="Q39" t="n">
        <v>0</v>
      </c>
      <c r="R39" s="2" t="inlineStr"/>
    </row>
    <row r="40" ht="15" customHeight="1">
      <c r="A40" t="inlineStr">
        <is>
          <t>A 8089-2022</t>
        </is>
      </c>
      <c r="B40" s="1" t="n">
        <v>44609.53716435185</v>
      </c>
      <c r="C40" s="1" t="n">
        <v>46012</v>
      </c>
      <c r="D40" t="inlineStr">
        <is>
          <t>STOCKHOLMS LÄN</t>
        </is>
      </c>
      <c r="E40" t="inlineStr">
        <is>
          <t>VALLENTUNA</t>
        </is>
      </c>
      <c r="G40" t="n">
        <v>3.3</v>
      </c>
      <c r="H40" t="n">
        <v>0</v>
      </c>
      <c r="I40" t="n">
        <v>0</v>
      </c>
      <c r="J40" t="n">
        <v>0</v>
      </c>
      <c r="K40" t="n">
        <v>0</v>
      </c>
      <c r="L40" t="n">
        <v>0</v>
      </c>
      <c r="M40" t="n">
        <v>0</v>
      </c>
      <c r="N40" t="n">
        <v>0</v>
      </c>
      <c r="O40" t="n">
        <v>0</v>
      </c>
      <c r="P40" t="n">
        <v>0</v>
      </c>
      <c r="Q40" t="n">
        <v>0</v>
      </c>
      <c r="R40" s="2" t="inlineStr"/>
    </row>
    <row r="41" ht="15" customHeight="1">
      <c r="A41" t="inlineStr">
        <is>
          <t>A 8791-2021</t>
        </is>
      </c>
      <c r="B41" s="1" t="n">
        <v>44246</v>
      </c>
      <c r="C41" s="1" t="n">
        <v>46012</v>
      </c>
      <c r="D41" t="inlineStr">
        <is>
          <t>STOCKHOLMS LÄN</t>
        </is>
      </c>
      <c r="E41" t="inlineStr">
        <is>
          <t>VALLENTUNA</t>
        </is>
      </c>
      <c r="G41" t="n">
        <v>0.8</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46012</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14434-2021</t>
        </is>
      </c>
      <c r="B43" s="1" t="n">
        <v>44279</v>
      </c>
      <c r="C43" s="1" t="n">
        <v>46012</v>
      </c>
      <c r="D43" t="inlineStr">
        <is>
          <t>STOCKHOLMS LÄN</t>
        </is>
      </c>
      <c r="E43" t="inlineStr">
        <is>
          <t>VALLENTUNA</t>
        </is>
      </c>
      <c r="G43" t="n">
        <v>2</v>
      </c>
      <c r="H43" t="n">
        <v>0</v>
      </c>
      <c r="I43" t="n">
        <v>0</v>
      </c>
      <c r="J43" t="n">
        <v>0</v>
      </c>
      <c r="K43" t="n">
        <v>0</v>
      </c>
      <c r="L43" t="n">
        <v>0</v>
      </c>
      <c r="M43" t="n">
        <v>0</v>
      </c>
      <c r="N43" t="n">
        <v>0</v>
      </c>
      <c r="O43" t="n">
        <v>0</v>
      </c>
      <c r="P43" t="n">
        <v>0</v>
      </c>
      <c r="Q43" t="n">
        <v>0</v>
      </c>
      <c r="R43" s="2" t="inlineStr"/>
    </row>
    <row r="44" ht="15" customHeight="1">
      <c r="A44" t="inlineStr">
        <is>
          <t>A 178-2022</t>
        </is>
      </c>
      <c r="B44" s="1" t="n">
        <v>44560</v>
      </c>
      <c r="C44" s="1" t="n">
        <v>46012</v>
      </c>
      <c r="D44" t="inlineStr">
        <is>
          <t>STOCKHOLMS LÄN</t>
        </is>
      </c>
      <c r="E44" t="inlineStr">
        <is>
          <t>VALLENTUNA</t>
        </is>
      </c>
      <c r="F44" t="inlineStr">
        <is>
          <t>Övriga Aktiebolag</t>
        </is>
      </c>
      <c r="G44" t="n">
        <v>1.5</v>
      </c>
      <c r="H44" t="n">
        <v>0</v>
      </c>
      <c r="I44" t="n">
        <v>0</v>
      </c>
      <c r="J44" t="n">
        <v>0</v>
      </c>
      <c r="K44" t="n">
        <v>0</v>
      </c>
      <c r="L44" t="n">
        <v>0</v>
      </c>
      <c r="M44" t="n">
        <v>0</v>
      </c>
      <c r="N44" t="n">
        <v>0</v>
      </c>
      <c r="O44" t="n">
        <v>0</v>
      </c>
      <c r="P44" t="n">
        <v>0</v>
      </c>
      <c r="Q44" t="n">
        <v>0</v>
      </c>
      <c r="R44" s="2" t="inlineStr"/>
    </row>
    <row r="45" ht="15" customHeight="1">
      <c r="A45" t="inlineStr">
        <is>
          <t>A 22060-2021</t>
        </is>
      </c>
      <c r="B45" s="1" t="n">
        <v>44323</v>
      </c>
      <c r="C45" s="1" t="n">
        <v>46012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46012</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46012</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46012</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46012</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46012</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46012</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46012</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46012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46012</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46012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46012</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46012</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46012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46012</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46012</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46012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46012</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46012</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46012</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46012</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46012</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46012</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46012</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46012</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46012</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46012</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46012</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46012</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46012</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46012</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46012</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46012</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27870-2025</t>
        </is>
      </c>
      <c r="B78" s="1" t="n">
        <v>45817</v>
      </c>
      <c r="C78" s="1" t="n">
        <v>46012</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46012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46012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46012</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46012</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46012</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61442-2024</t>
        </is>
      </c>
      <c r="B84" s="1" t="n">
        <v>45646.47003472222</v>
      </c>
      <c r="C84" s="1" t="n">
        <v>46012</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46012</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46012</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46012</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21445-2023</t>
        </is>
      </c>
      <c r="B88" s="1" t="n">
        <v>45063</v>
      </c>
      <c r="C88" s="1" t="n">
        <v>46012</v>
      </c>
      <c r="D88" t="inlineStr">
        <is>
          <t>STOCKHOLMS LÄN</t>
        </is>
      </c>
      <c r="E88" t="inlineStr">
        <is>
          <t>VALLENTUNA</t>
        </is>
      </c>
      <c r="G88" t="n">
        <v>3.1</v>
      </c>
      <c r="H88" t="n">
        <v>0</v>
      </c>
      <c r="I88" t="n">
        <v>0</v>
      </c>
      <c r="J88" t="n">
        <v>0</v>
      </c>
      <c r="K88" t="n">
        <v>0</v>
      </c>
      <c r="L88" t="n">
        <v>0</v>
      </c>
      <c r="M88" t="n">
        <v>0</v>
      </c>
      <c r="N88" t="n">
        <v>0</v>
      </c>
      <c r="O88" t="n">
        <v>0</v>
      </c>
      <c r="P88" t="n">
        <v>0</v>
      </c>
      <c r="Q88" t="n">
        <v>0</v>
      </c>
      <c r="R88" s="2" t="inlineStr"/>
    </row>
    <row r="89" ht="15" customHeight="1">
      <c r="A89" t="inlineStr">
        <is>
          <t>A 22683-2023</t>
        </is>
      </c>
      <c r="B89" s="1" t="n">
        <v>45071</v>
      </c>
      <c r="C89" s="1" t="n">
        <v>46012</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24943-2024</t>
        </is>
      </c>
      <c r="B90" s="1" t="n">
        <v>45461.62585648148</v>
      </c>
      <c r="C90" s="1" t="n">
        <v>46012</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46012</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46012</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46012</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61646-2025</t>
        </is>
      </c>
      <c r="B94" s="1" t="n">
        <v>46002</v>
      </c>
      <c r="C94" s="1" t="n">
        <v>46012</v>
      </c>
      <c r="D94" t="inlineStr">
        <is>
          <t>STOCKHOLMS LÄN</t>
        </is>
      </c>
      <c r="E94" t="inlineStr">
        <is>
          <t>VALLENTUNA</t>
        </is>
      </c>
      <c r="G94" t="n">
        <v>3.7</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46012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54460-2025</t>
        </is>
      </c>
      <c r="B96" s="1" t="n">
        <v>45965.56219907408</v>
      </c>
      <c r="C96" s="1" t="n">
        <v>46012</v>
      </c>
      <c r="D96" t="inlineStr">
        <is>
          <t>STOCKHOLMS LÄN</t>
        </is>
      </c>
      <c r="E96" t="inlineStr">
        <is>
          <t>VALLENTUNA</t>
        </is>
      </c>
      <c r="G96" t="n">
        <v>22.9</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46012</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46012</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47140-2024</t>
        </is>
      </c>
      <c r="B99" s="1" t="n">
        <v>45586.58753472222</v>
      </c>
      <c r="C99" s="1" t="n">
        <v>46012</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46012</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46012</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46012</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46012</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11950-2025</t>
        </is>
      </c>
      <c r="B104" s="1" t="n">
        <v>45728.55622685186</v>
      </c>
      <c r="C104" s="1" t="n">
        <v>46012</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68938-2020</t>
        </is>
      </c>
      <c r="B105" s="1" t="n">
        <v>44187</v>
      </c>
      <c r="C105" s="1" t="n">
        <v>46012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14489-2024</t>
        </is>
      </c>
      <c r="B106" s="1" t="n">
        <v>45394.58053240741</v>
      </c>
      <c r="C106" s="1" t="n">
        <v>46012</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46012</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46012</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46012</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46012</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61742-2022</t>
        </is>
      </c>
      <c r="B111" s="1" t="n">
        <v>44917</v>
      </c>
      <c r="C111" s="1" t="n">
        <v>46012</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46012</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46012</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46012</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46012</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45000.41373842592</v>
      </c>
      <c r="C116" s="1" t="n">
        <v>46012</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46012</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46012</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46012</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46012</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15300-2023</t>
        </is>
      </c>
      <c r="B121" s="1" t="n">
        <v>45019</v>
      </c>
      <c r="C121" s="1" t="n">
        <v>46012</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46012</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46012</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29704-2023</t>
        </is>
      </c>
      <c r="B124" s="1" t="n">
        <v>45107</v>
      </c>
      <c r="C124" s="1" t="n">
        <v>46012</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21765-2023</t>
        </is>
      </c>
      <c r="B125" s="1" t="n">
        <v>45064</v>
      </c>
      <c r="C125" s="1" t="n">
        <v>46012</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46012</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46012</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46012</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46012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46012</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46012</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46012</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46012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46012</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17340-2025</t>
        </is>
      </c>
      <c r="B135" s="1" t="n">
        <v>45756</v>
      </c>
      <c r="C135" s="1" t="n">
        <v>46012</v>
      </c>
      <c r="D135" t="inlineStr">
        <is>
          <t>STOCKHOLMS LÄN</t>
        </is>
      </c>
      <c r="E135" t="inlineStr">
        <is>
          <t>VALLENTUNA</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46012</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46012</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46012</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46012</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46012</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46012</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c r="A142" t="inlineStr">
        <is>
          <t>A 23009-2024</t>
        </is>
      </c>
      <c r="B142" s="1" t="n">
        <v>45450.34506944445</v>
      </c>
      <c r="C142" s="1" t="n">
        <v>46012</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2025-12-21T10:37:35Z</dcterms:created>
  <dcterms:modified xmlns:dcterms="http://purl.org/dc/terms/" xmlns:xsi="http://www.w3.org/2001/XMLSchema-instance" xsi:type="dcterms:W3CDTF">2025-12-21T10:37:35Z</dcterms:modified>
</cp:coreProperties>
</file>