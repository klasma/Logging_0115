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46045</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46045</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46045</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46045</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46045</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46045</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46045</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46045</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62402-2022</t>
        </is>
      </c>
      <c r="B23" s="1" t="n">
        <v>44923</v>
      </c>
      <c r="C23" s="1" t="n">
        <v>46045</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754-2024</t>
        </is>
      </c>
      <c r="B24" s="1" t="n">
        <v>45300</v>
      </c>
      <c r="C24" s="1" t="n">
        <v>46045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46045</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46045</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8817-2025</t>
        </is>
      </c>
      <c r="B27" s="1" t="n">
        <v>45712.70987268518</v>
      </c>
      <c r="C27" s="1" t="n">
        <v>46045</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46045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46045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34460-2023</t>
        </is>
      </c>
      <c r="B30" s="1" t="n">
        <v>45139</v>
      </c>
      <c r="C30" s="1" t="n">
        <v>46045</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22830-2024</t>
        </is>
      </c>
      <c r="B31" s="1" t="n">
        <v>45448.56583333333</v>
      </c>
      <c r="C31" s="1" t="n">
        <v>46045</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46045</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21439-2025</t>
        </is>
      </c>
      <c r="B33" s="1" t="n">
        <v>45782.52939814814</v>
      </c>
      <c r="C33" s="1" t="n">
        <v>46045</v>
      </c>
      <c r="D33" t="inlineStr">
        <is>
          <t>STOCKHOLMS LÄN</t>
        </is>
      </c>
      <c r="E33" t="inlineStr">
        <is>
          <t>VALLENTUNA</t>
        </is>
      </c>
      <c r="G33" t="n">
        <v>2.1</v>
      </c>
      <c r="H33" t="n">
        <v>0</v>
      </c>
      <c r="I33" t="n">
        <v>1</v>
      </c>
      <c r="J33" t="n">
        <v>0</v>
      </c>
      <c r="K33" t="n">
        <v>0</v>
      </c>
      <c r="L33" t="n">
        <v>0</v>
      </c>
      <c r="M33" t="n">
        <v>0</v>
      </c>
      <c r="N33" t="n">
        <v>0</v>
      </c>
      <c r="O33" t="n">
        <v>0</v>
      </c>
      <c r="P33" t="n">
        <v>0</v>
      </c>
      <c r="Q33" t="n">
        <v>1</v>
      </c>
      <c r="R33" s="2" t="inlineStr">
        <is>
          <t>Mindre märgborre</t>
        </is>
      </c>
      <c r="S33">
        <f>HYPERLINK("https://klasma.github.io/Logging_0115/artfynd/A 21439-2025 artfynd.xlsx", "A 21439-2025")</f>
        <v/>
      </c>
      <c r="T33">
        <f>HYPERLINK("https://klasma.github.io/Logging_0115/kartor/A 21439-2025 karta.png", "A 21439-2025")</f>
        <v/>
      </c>
      <c r="V33">
        <f>HYPERLINK("https://klasma.github.io/Logging_0115/klagomål/A 21439-2025 FSC-klagomål.docx", "A 21439-2025")</f>
        <v/>
      </c>
      <c r="W33">
        <f>HYPERLINK("https://klasma.github.io/Logging_0115/klagomålsmail/A 21439-2025 FSC-klagomål mail.docx", "A 21439-2025")</f>
        <v/>
      </c>
      <c r="X33">
        <f>HYPERLINK("https://klasma.github.io/Logging_0115/tillsyn/A 21439-2025 tillsynsbegäran.docx", "A 21439-2025")</f>
        <v/>
      </c>
      <c r="Y33">
        <f>HYPERLINK("https://klasma.github.io/Logging_0115/tillsynsmail/A 21439-2025 tillsynsbegäran mail.docx", "A 21439-2025")</f>
        <v/>
      </c>
    </row>
    <row r="34" ht="15" customHeight="1">
      <c r="A34" t="inlineStr">
        <is>
          <t>A 22936-2025</t>
        </is>
      </c>
      <c r="B34" s="1" t="n">
        <v>45790.45738425926</v>
      </c>
      <c r="C34" s="1" t="n">
        <v>46045</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54481-2025</t>
        </is>
      </c>
      <c r="B35" s="1" t="n">
        <v>45965.58837962963</v>
      </c>
      <c r="C35" s="1" t="n">
        <v>46045</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63539-2025</t>
        </is>
      </c>
      <c r="B36" s="1" t="n">
        <v>46013.58824074074</v>
      </c>
      <c r="C36" s="1" t="n">
        <v>46045</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46045</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21-2022</t>
        </is>
      </c>
      <c r="B38" s="1" t="n">
        <v>44560</v>
      </c>
      <c r="C38" s="1" t="n">
        <v>46045</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46045</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46045</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20612-2021</t>
        </is>
      </c>
      <c r="B41" s="1" t="n">
        <v>44315</v>
      </c>
      <c r="C41" s="1" t="n">
        <v>46045</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46045</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46045</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46045</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46045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46045</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46045</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46045</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42624-2021</t>
        </is>
      </c>
      <c r="B57" s="1" t="n">
        <v>44428</v>
      </c>
      <c r="C57" s="1" t="n">
        <v>46045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46045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46045</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46045</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6593-2021</t>
        </is>
      </c>
      <c r="B62" s="1" t="n">
        <v>44236</v>
      </c>
      <c r="C62" s="1" t="n">
        <v>46045</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46045</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46045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24068-2024</t>
        </is>
      </c>
      <c r="B65" s="1" t="n">
        <v>45456</v>
      </c>
      <c r="C65" s="1" t="n">
        <v>46045</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3078-2023</t>
        </is>
      </c>
      <c r="B66" s="1" t="n">
        <v>44946.41527777778</v>
      </c>
      <c r="C66" s="1" t="n">
        <v>46045</v>
      </c>
      <c r="D66" t="inlineStr">
        <is>
          <t>STOCKHOLMS LÄN</t>
        </is>
      </c>
      <c r="E66" t="inlineStr">
        <is>
          <t>VALLENTUNA</t>
        </is>
      </c>
      <c r="G66" t="n">
        <v>3.9</v>
      </c>
      <c r="H66" t="n">
        <v>0</v>
      </c>
      <c r="I66" t="n">
        <v>0</v>
      </c>
      <c r="J66" t="n">
        <v>0</v>
      </c>
      <c r="K66" t="n">
        <v>0</v>
      </c>
      <c r="L66" t="n">
        <v>0</v>
      </c>
      <c r="M66" t="n">
        <v>0</v>
      </c>
      <c r="N66" t="n">
        <v>0</v>
      </c>
      <c r="O66" t="n">
        <v>0</v>
      </c>
      <c r="P66" t="n">
        <v>0</v>
      </c>
      <c r="Q66" t="n">
        <v>0</v>
      </c>
      <c r="R66" s="2" t="inlineStr"/>
    </row>
    <row r="67" ht="15" customHeight="1">
      <c r="A67" t="inlineStr">
        <is>
          <t>A 34441-2023</t>
        </is>
      </c>
      <c r="B67" s="1" t="n">
        <v>45139</v>
      </c>
      <c r="C67" s="1" t="n">
        <v>46045</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34445-2023</t>
        </is>
      </c>
      <c r="B68" s="1" t="n">
        <v>45139</v>
      </c>
      <c r="C68" s="1" t="n">
        <v>46045</v>
      </c>
      <c r="D68" t="inlineStr">
        <is>
          <t>STOCKHOLMS LÄN</t>
        </is>
      </c>
      <c r="E68" t="inlineStr">
        <is>
          <t>VALLENTUNA</t>
        </is>
      </c>
      <c r="G68" t="n">
        <v>0.9</v>
      </c>
      <c r="H68" t="n">
        <v>0</v>
      </c>
      <c r="I68" t="n">
        <v>0</v>
      </c>
      <c r="J68" t="n">
        <v>0</v>
      </c>
      <c r="K68" t="n">
        <v>0</v>
      </c>
      <c r="L68" t="n">
        <v>0</v>
      </c>
      <c r="M68" t="n">
        <v>0</v>
      </c>
      <c r="N68" t="n">
        <v>0</v>
      </c>
      <c r="O68" t="n">
        <v>0</v>
      </c>
      <c r="P68" t="n">
        <v>0</v>
      </c>
      <c r="Q68" t="n">
        <v>0</v>
      </c>
      <c r="R68" s="2" t="inlineStr"/>
    </row>
    <row r="69" ht="15" customHeight="1">
      <c r="A69" t="inlineStr">
        <is>
          <t>A 23986-2023</t>
        </is>
      </c>
      <c r="B69" s="1" t="n">
        <v>45078</v>
      </c>
      <c r="C69" s="1" t="n">
        <v>46045</v>
      </c>
      <c r="D69" t="inlineStr">
        <is>
          <t>STOCKHOLMS LÄN</t>
        </is>
      </c>
      <c r="E69" t="inlineStr">
        <is>
          <t>VALLENTUNA</t>
        </is>
      </c>
      <c r="F69" t="inlineStr">
        <is>
          <t>Kyrkan</t>
        </is>
      </c>
      <c r="G69" t="n">
        <v>5.7</v>
      </c>
      <c r="H69" t="n">
        <v>0</v>
      </c>
      <c r="I69" t="n">
        <v>0</v>
      </c>
      <c r="J69" t="n">
        <v>0</v>
      </c>
      <c r="K69" t="n">
        <v>0</v>
      </c>
      <c r="L69" t="n">
        <v>0</v>
      </c>
      <c r="M69" t="n">
        <v>0</v>
      </c>
      <c r="N69" t="n">
        <v>0</v>
      </c>
      <c r="O69" t="n">
        <v>0</v>
      </c>
      <c r="P69" t="n">
        <v>0</v>
      </c>
      <c r="Q69" t="n">
        <v>0</v>
      </c>
      <c r="R69" s="2" t="inlineStr"/>
    </row>
    <row r="70" ht="15" customHeight="1">
      <c r="A70" t="inlineStr">
        <is>
          <t>A 15300-2023</t>
        </is>
      </c>
      <c r="B70" s="1" t="n">
        <v>45019</v>
      </c>
      <c r="C70" s="1" t="n">
        <v>46045</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46045</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8077-2022</t>
        </is>
      </c>
      <c r="B72" s="1" t="n">
        <v>44609</v>
      </c>
      <c r="C72" s="1" t="n">
        <v>46045</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13836-2022</t>
        </is>
      </c>
      <c r="B73" s="1" t="n">
        <v>44649</v>
      </c>
      <c r="C73" s="1" t="n">
        <v>46045</v>
      </c>
      <c r="D73" t="inlineStr">
        <is>
          <t>STOCKHOLMS LÄN</t>
        </is>
      </c>
      <c r="E73" t="inlineStr">
        <is>
          <t>VALLENTUNA</t>
        </is>
      </c>
      <c r="G73" t="n">
        <v>3.5</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46045</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29704-2023</t>
        </is>
      </c>
      <c r="B75" s="1" t="n">
        <v>45107</v>
      </c>
      <c r="C75" s="1" t="n">
        <v>46045</v>
      </c>
      <c r="D75" t="inlineStr">
        <is>
          <t>STOCKHOLMS LÄN</t>
        </is>
      </c>
      <c r="E75" t="inlineStr">
        <is>
          <t>VALLENTUNA</t>
        </is>
      </c>
      <c r="G75" t="n">
        <v>3.7</v>
      </c>
      <c r="H75" t="n">
        <v>0</v>
      </c>
      <c r="I75" t="n">
        <v>0</v>
      </c>
      <c r="J75" t="n">
        <v>0</v>
      </c>
      <c r="K75" t="n">
        <v>0</v>
      </c>
      <c r="L75" t="n">
        <v>0</v>
      </c>
      <c r="M75" t="n">
        <v>0</v>
      </c>
      <c r="N75" t="n">
        <v>0</v>
      </c>
      <c r="O75" t="n">
        <v>0</v>
      </c>
      <c r="P75" t="n">
        <v>0</v>
      </c>
      <c r="Q75" t="n">
        <v>0</v>
      </c>
      <c r="R75" s="2" t="inlineStr"/>
    </row>
    <row r="76" ht="15" customHeight="1">
      <c r="A76" t="inlineStr">
        <is>
          <t>A 21765-2023</t>
        </is>
      </c>
      <c r="B76" s="1" t="n">
        <v>45064</v>
      </c>
      <c r="C76" s="1" t="n">
        <v>46045</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46045</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45496-2023</t>
        </is>
      </c>
      <c r="B78" s="1" t="n">
        <v>45194</v>
      </c>
      <c r="C78" s="1" t="n">
        <v>46045</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45499-2023</t>
        </is>
      </c>
      <c r="B79" s="1" t="n">
        <v>45194</v>
      </c>
      <c r="C79" s="1" t="n">
        <v>46045</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46045</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41206-2025</t>
        </is>
      </c>
      <c r="B81" s="1" t="n">
        <v>45898</v>
      </c>
      <c r="C81" s="1" t="n">
        <v>46045</v>
      </c>
      <c r="D81" t="inlineStr">
        <is>
          <t>STOCKHOLMS LÄN</t>
        </is>
      </c>
      <c r="E81" t="inlineStr">
        <is>
          <t>VALLENTUNA</t>
        </is>
      </c>
      <c r="G81" t="n">
        <v>10</v>
      </c>
      <c r="H81" t="n">
        <v>0</v>
      </c>
      <c r="I81" t="n">
        <v>0</v>
      </c>
      <c r="J81" t="n">
        <v>0</v>
      </c>
      <c r="K81" t="n">
        <v>0</v>
      </c>
      <c r="L81" t="n">
        <v>0</v>
      </c>
      <c r="M81" t="n">
        <v>0</v>
      </c>
      <c r="N81" t="n">
        <v>0</v>
      </c>
      <c r="O81" t="n">
        <v>0</v>
      </c>
      <c r="P81" t="n">
        <v>0</v>
      </c>
      <c r="Q81" t="n">
        <v>0</v>
      </c>
      <c r="R81" s="2" t="inlineStr"/>
    </row>
    <row r="82" ht="15" customHeight="1">
      <c r="A82" t="inlineStr">
        <is>
          <t>A 14782-2024</t>
        </is>
      </c>
      <c r="B82" s="1" t="n">
        <v>45397.74266203704</v>
      </c>
      <c r="C82" s="1" t="n">
        <v>46045</v>
      </c>
      <c r="D82" t="inlineStr">
        <is>
          <t>STOCKHOLMS LÄN</t>
        </is>
      </c>
      <c r="E82" t="inlineStr">
        <is>
          <t>VALLENTUNA</t>
        </is>
      </c>
      <c r="G82" t="n">
        <v>3.1</v>
      </c>
      <c r="H82" t="n">
        <v>0</v>
      </c>
      <c r="I82" t="n">
        <v>0</v>
      </c>
      <c r="J82" t="n">
        <v>0</v>
      </c>
      <c r="K82" t="n">
        <v>0</v>
      </c>
      <c r="L82" t="n">
        <v>0</v>
      </c>
      <c r="M82" t="n">
        <v>0</v>
      </c>
      <c r="N82" t="n">
        <v>0</v>
      </c>
      <c r="O82" t="n">
        <v>0</v>
      </c>
      <c r="P82" t="n">
        <v>0</v>
      </c>
      <c r="Q82" t="n">
        <v>0</v>
      </c>
      <c r="R82" s="2" t="inlineStr"/>
    </row>
    <row r="83" ht="15" customHeight="1">
      <c r="A83" t="inlineStr">
        <is>
          <t>A 1385-2024</t>
        </is>
      </c>
      <c r="B83" s="1" t="n">
        <v>45303</v>
      </c>
      <c r="C83" s="1" t="n">
        <v>46045</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14775-2024</t>
        </is>
      </c>
      <c r="B84" s="1" t="n">
        <v>45397.73675925926</v>
      </c>
      <c r="C84" s="1" t="n">
        <v>46045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735-2024</t>
        </is>
      </c>
      <c r="B85" s="1" t="n">
        <v>45300</v>
      </c>
      <c r="C85" s="1" t="n">
        <v>46045</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17411-2023</t>
        </is>
      </c>
      <c r="B86" s="1" t="n">
        <v>45035.82512731481</v>
      </c>
      <c r="C86" s="1" t="n">
        <v>46045</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48068-2021</t>
        </is>
      </c>
      <c r="B87" s="1" t="n">
        <v>44449.42270833333</v>
      </c>
      <c r="C87" s="1" t="n">
        <v>46045</v>
      </c>
      <c r="D87" t="inlineStr">
        <is>
          <t>STOCKHOLMS LÄN</t>
        </is>
      </c>
      <c r="E87" t="inlineStr">
        <is>
          <t>VALLENTUNA</t>
        </is>
      </c>
      <c r="G87" t="n">
        <v>1.3</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46045</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15268-2023</t>
        </is>
      </c>
      <c r="B89" s="1" t="n">
        <v>45019.41045138889</v>
      </c>
      <c r="C89" s="1" t="n">
        <v>46045</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60818-2023</t>
        </is>
      </c>
      <c r="B90" s="1" t="n">
        <v>45259</v>
      </c>
      <c r="C90" s="1" t="n">
        <v>46045</v>
      </c>
      <c r="D90" t="inlineStr">
        <is>
          <t>STOCKHOLMS LÄN</t>
        </is>
      </c>
      <c r="E90" t="inlineStr">
        <is>
          <t>VALLENTUNA</t>
        </is>
      </c>
      <c r="G90" t="n">
        <v>9.4</v>
      </c>
      <c r="H90" t="n">
        <v>0</v>
      </c>
      <c r="I90" t="n">
        <v>0</v>
      </c>
      <c r="J90" t="n">
        <v>0</v>
      </c>
      <c r="K90" t="n">
        <v>0</v>
      </c>
      <c r="L90" t="n">
        <v>0</v>
      </c>
      <c r="M90" t="n">
        <v>0</v>
      </c>
      <c r="N90" t="n">
        <v>0</v>
      </c>
      <c r="O90" t="n">
        <v>0</v>
      </c>
      <c r="P90" t="n">
        <v>0</v>
      </c>
      <c r="Q90" t="n">
        <v>0</v>
      </c>
      <c r="R90" s="2" t="inlineStr"/>
    </row>
    <row r="91" ht="15" customHeight="1">
      <c r="A91" t="inlineStr">
        <is>
          <t>A 44988-2025</t>
        </is>
      </c>
      <c r="B91" s="1" t="n">
        <v>45918.65505787037</v>
      </c>
      <c r="C91" s="1" t="n">
        <v>46045</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38102-2024</t>
        </is>
      </c>
      <c r="B92" s="1" t="n">
        <v>45545.36349537037</v>
      </c>
      <c r="C92" s="1" t="n">
        <v>46045</v>
      </c>
      <c r="D92" t="inlineStr">
        <is>
          <t>STOCKHOLMS LÄN</t>
        </is>
      </c>
      <c r="E92" t="inlineStr">
        <is>
          <t>VALLENTUNA</t>
        </is>
      </c>
      <c r="G92" t="n">
        <v>3.2</v>
      </c>
      <c r="H92" t="n">
        <v>0</v>
      </c>
      <c r="I92" t="n">
        <v>0</v>
      </c>
      <c r="J92" t="n">
        <v>0</v>
      </c>
      <c r="K92" t="n">
        <v>0</v>
      </c>
      <c r="L92" t="n">
        <v>0</v>
      </c>
      <c r="M92" t="n">
        <v>0</v>
      </c>
      <c r="N92" t="n">
        <v>0</v>
      </c>
      <c r="O92" t="n">
        <v>0</v>
      </c>
      <c r="P92" t="n">
        <v>0</v>
      </c>
      <c r="Q92" t="n">
        <v>0</v>
      </c>
      <c r="R92" s="2" t="inlineStr"/>
    </row>
    <row r="93" ht="15" customHeight="1">
      <c r="A93" t="inlineStr">
        <is>
          <t>A 17340-2025</t>
        </is>
      </c>
      <c r="B93" s="1" t="n">
        <v>45756</v>
      </c>
      <c r="C93" s="1" t="n">
        <v>46045</v>
      </c>
      <c r="D93" t="inlineStr">
        <is>
          <t>STOCKHOLMS LÄN</t>
        </is>
      </c>
      <c r="E93" t="inlineStr">
        <is>
          <t>VALLENTUNA</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20791-2025</t>
        </is>
      </c>
      <c r="B94" s="1" t="n">
        <v>45776.62738425926</v>
      </c>
      <c r="C94" s="1" t="n">
        <v>46045</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46045</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7264-2022</t>
        </is>
      </c>
      <c r="B96" s="1" t="n">
        <v>44606</v>
      </c>
      <c r="C96" s="1" t="n">
        <v>46045</v>
      </c>
      <c r="D96" t="inlineStr">
        <is>
          <t>STOCKHOLMS LÄN</t>
        </is>
      </c>
      <c r="E96" t="inlineStr">
        <is>
          <t>VALLENTUNA</t>
        </is>
      </c>
      <c r="G96" t="n">
        <v>2.4</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46045</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12621-2024</t>
        </is>
      </c>
      <c r="B98" s="1" t="n">
        <v>45383.6325</v>
      </c>
      <c r="C98" s="1" t="n">
        <v>46045</v>
      </c>
      <c r="D98" t="inlineStr">
        <is>
          <t>STOCKHOLMS LÄN</t>
        </is>
      </c>
      <c r="E98" t="inlineStr">
        <is>
          <t>VALLENTUNA</t>
        </is>
      </c>
      <c r="G98" t="n">
        <v>4.4</v>
      </c>
      <c r="H98" t="n">
        <v>0</v>
      </c>
      <c r="I98" t="n">
        <v>0</v>
      </c>
      <c r="J98" t="n">
        <v>0</v>
      </c>
      <c r="K98" t="n">
        <v>0</v>
      </c>
      <c r="L98" t="n">
        <v>0</v>
      </c>
      <c r="M98" t="n">
        <v>0</v>
      </c>
      <c r="N98" t="n">
        <v>0</v>
      </c>
      <c r="O98" t="n">
        <v>0</v>
      </c>
      <c r="P98" t="n">
        <v>0</v>
      </c>
      <c r="Q98" t="n">
        <v>0</v>
      </c>
      <c r="R98" s="2" t="inlineStr"/>
    </row>
    <row r="99" ht="15" customHeight="1">
      <c r="A99" t="inlineStr">
        <is>
          <t>A 19503-2023</t>
        </is>
      </c>
      <c r="B99" s="1" t="n">
        <v>45050.47333333334</v>
      </c>
      <c r="C99" s="1" t="n">
        <v>46045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48014-2025</t>
        </is>
      </c>
      <c r="B100" s="1" t="n">
        <v>45932.64520833334</v>
      </c>
      <c r="C100" s="1" t="n">
        <v>46045</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48038-2025</t>
        </is>
      </c>
      <c r="B101" s="1" t="n">
        <v>45932.66008101852</v>
      </c>
      <c r="C101" s="1" t="n">
        <v>46045</v>
      </c>
      <c r="D101" t="inlineStr">
        <is>
          <t>STOCKHOLMS LÄN</t>
        </is>
      </c>
      <c r="E101" t="inlineStr">
        <is>
          <t>VALLENTUNA</t>
        </is>
      </c>
      <c r="G101" t="n">
        <v>0.5</v>
      </c>
      <c r="H101" t="n">
        <v>0</v>
      </c>
      <c r="I101" t="n">
        <v>0</v>
      </c>
      <c r="J101" t="n">
        <v>0</v>
      </c>
      <c r="K101" t="n">
        <v>0</v>
      </c>
      <c r="L101" t="n">
        <v>0</v>
      </c>
      <c r="M101" t="n">
        <v>0</v>
      </c>
      <c r="N101" t="n">
        <v>0</v>
      </c>
      <c r="O101" t="n">
        <v>0</v>
      </c>
      <c r="P101" t="n">
        <v>0</v>
      </c>
      <c r="Q101" t="n">
        <v>0</v>
      </c>
      <c r="R101" s="2" t="inlineStr"/>
    </row>
    <row r="102" ht="15" customHeight="1">
      <c r="A102" t="inlineStr">
        <is>
          <t>A 46381-2023</t>
        </is>
      </c>
      <c r="B102" s="1" t="n">
        <v>45193</v>
      </c>
      <c r="C102" s="1" t="n">
        <v>46045</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61027-2023</t>
        </is>
      </c>
      <c r="B103" s="1" t="n">
        <v>45261</v>
      </c>
      <c r="C103" s="1" t="n">
        <v>46045</v>
      </c>
      <c r="D103" t="inlineStr">
        <is>
          <t>STOCKHOLMS LÄN</t>
        </is>
      </c>
      <c r="E103" t="inlineStr">
        <is>
          <t>VALLENTUNA</t>
        </is>
      </c>
      <c r="G103" t="n">
        <v>7.1</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46045</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46045</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23009-2024</t>
        </is>
      </c>
      <c r="B106" s="1" t="n">
        <v>45450.34506944445</v>
      </c>
      <c r="C106" s="1" t="n">
        <v>46045</v>
      </c>
      <c r="D106" t="inlineStr">
        <is>
          <t>STOCKHOLMS LÄN</t>
        </is>
      </c>
      <c r="E106" t="inlineStr">
        <is>
          <t>VALLENTUNA</t>
        </is>
      </c>
      <c r="G106" t="n">
        <v>1.4</v>
      </c>
      <c r="H106" t="n">
        <v>0</v>
      </c>
      <c r="I106" t="n">
        <v>0</v>
      </c>
      <c r="J106" t="n">
        <v>0</v>
      </c>
      <c r="K106" t="n">
        <v>0</v>
      </c>
      <c r="L106" t="n">
        <v>0</v>
      </c>
      <c r="M106" t="n">
        <v>0</v>
      </c>
      <c r="N106" t="n">
        <v>0</v>
      </c>
      <c r="O106" t="n">
        <v>0</v>
      </c>
      <c r="P106" t="n">
        <v>0</v>
      </c>
      <c r="Q106" t="n">
        <v>0</v>
      </c>
      <c r="R106" s="2" t="inlineStr"/>
    </row>
    <row r="107" ht="15" customHeight="1">
      <c r="A107" t="inlineStr">
        <is>
          <t>A 50784-2025</t>
        </is>
      </c>
      <c r="B107" s="1" t="n">
        <v>45946</v>
      </c>
      <c r="C107" s="1" t="n">
        <v>46045</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23923-2025</t>
        </is>
      </c>
      <c r="B108" s="1" t="n">
        <v>45795.39648148148</v>
      </c>
      <c r="C108" s="1" t="n">
        <v>46045</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21445-2023</t>
        </is>
      </c>
      <c r="B109" s="1" t="n">
        <v>45063</v>
      </c>
      <c r="C109" s="1" t="n">
        <v>46045</v>
      </c>
      <c r="D109" t="inlineStr">
        <is>
          <t>STOCKHOLMS LÄN</t>
        </is>
      </c>
      <c r="E109" t="inlineStr">
        <is>
          <t>VALLENTUNA</t>
        </is>
      </c>
      <c r="G109" t="n">
        <v>3.1</v>
      </c>
      <c r="H109" t="n">
        <v>0</v>
      </c>
      <c r="I109" t="n">
        <v>0</v>
      </c>
      <c r="J109" t="n">
        <v>0</v>
      </c>
      <c r="K109" t="n">
        <v>0</v>
      </c>
      <c r="L109" t="n">
        <v>0</v>
      </c>
      <c r="M109" t="n">
        <v>0</v>
      </c>
      <c r="N109" t="n">
        <v>0</v>
      </c>
      <c r="O109" t="n">
        <v>0</v>
      </c>
      <c r="P109" t="n">
        <v>0</v>
      </c>
      <c r="Q109" t="n">
        <v>0</v>
      </c>
      <c r="R109" s="2" t="inlineStr"/>
    </row>
    <row r="110" ht="15" customHeight="1">
      <c r="A110" t="inlineStr">
        <is>
          <t>A 22683-2023</t>
        </is>
      </c>
      <c r="B110" s="1" t="n">
        <v>45071</v>
      </c>
      <c r="C110" s="1" t="n">
        <v>46045</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25984-2025</t>
        </is>
      </c>
      <c r="B111" s="1" t="n">
        <v>45804.64016203704</v>
      </c>
      <c r="C111" s="1" t="n">
        <v>46045</v>
      </c>
      <c r="D111" t="inlineStr">
        <is>
          <t>STOCKHOLMS LÄN</t>
        </is>
      </c>
      <c r="E111" t="inlineStr">
        <is>
          <t>VALLENTUNA</t>
        </is>
      </c>
      <c r="G111" t="n">
        <v>2.5</v>
      </c>
      <c r="H111" t="n">
        <v>0</v>
      </c>
      <c r="I111" t="n">
        <v>0</v>
      </c>
      <c r="J111" t="n">
        <v>0</v>
      </c>
      <c r="K111" t="n">
        <v>0</v>
      </c>
      <c r="L111" t="n">
        <v>0</v>
      </c>
      <c r="M111" t="n">
        <v>0</v>
      </c>
      <c r="N111" t="n">
        <v>0</v>
      </c>
      <c r="O111" t="n">
        <v>0</v>
      </c>
      <c r="P111" t="n">
        <v>0</v>
      </c>
      <c r="Q111" t="n">
        <v>0</v>
      </c>
      <c r="R111" s="2" t="inlineStr"/>
    </row>
    <row r="112" ht="15" customHeight="1">
      <c r="A112" t="inlineStr">
        <is>
          <t>A 27868-2025</t>
        </is>
      </c>
      <c r="B112" s="1" t="n">
        <v>45817</v>
      </c>
      <c r="C112" s="1" t="n">
        <v>46045</v>
      </c>
      <c r="D112" t="inlineStr">
        <is>
          <t>STOCKHOLMS LÄN</t>
        </is>
      </c>
      <c r="E112" t="inlineStr">
        <is>
          <t>VALLENTUNA</t>
        </is>
      </c>
      <c r="G112" t="n">
        <v>2.1</v>
      </c>
      <c r="H112" t="n">
        <v>0</v>
      </c>
      <c r="I112" t="n">
        <v>0</v>
      </c>
      <c r="J112" t="n">
        <v>0</v>
      </c>
      <c r="K112" t="n">
        <v>0</v>
      </c>
      <c r="L112" t="n">
        <v>0</v>
      </c>
      <c r="M112" t="n">
        <v>0</v>
      </c>
      <c r="N112" t="n">
        <v>0</v>
      </c>
      <c r="O112" t="n">
        <v>0</v>
      </c>
      <c r="P112" t="n">
        <v>0</v>
      </c>
      <c r="Q112" t="n">
        <v>0</v>
      </c>
      <c r="R112" s="2" t="inlineStr"/>
    </row>
    <row r="113" ht="15" customHeight="1">
      <c r="A113" t="inlineStr">
        <is>
          <t>A 24943-2024</t>
        </is>
      </c>
      <c r="B113" s="1" t="n">
        <v>45461.62585648148</v>
      </c>
      <c r="C113" s="1" t="n">
        <v>46045</v>
      </c>
      <c r="D113" t="inlineStr">
        <is>
          <t>STOCKHOLMS LÄN</t>
        </is>
      </c>
      <c r="E113" t="inlineStr">
        <is>
          <t>VALLENTUNA</t>
        </is>
      </c>
      <c r="G113" t="n">
        <v>2</v>
      </c>
      <c r="H113" t="n">
        <v>0</v>
      </c>
      <c r="I113" t="n">
        <v>0</v>
      </c>
      <c r="J113" t="n">
        <v>0</v>
      </c>
      <c r="K113" t="n">
        <v>0</v>
      </c>
      <c r="L113" t="n">
        <v>0</v>
      </c>
      <c r="M113" t="n">
        <v>0</v>
      </c>
      <c r="N113" t="n">
        <v>0</v>
      </c>
      <c r="O113" t="n">
        <v>0</v>
      </c>
      <c r="P113" t="n">
        <v>0</v>
      </c>
      <c r="Q113" t="n">
        <v>0</v>
      </c>
      <c r="R113" s="2" t="inlineStr"/>
    </row>
    <row r="114" ht="15" customHeight="1">
      <c r="A114" t="inlineStr">
        <is>
          <t>A 5910-2022</t>
        </is>
      </c>
      <c r="B114" s="1" t="n">
        <v>44597</v>
      </c>
      <c r="C114" s="1" t="n">
        <v>46045</v>
      </c>
      <c r="D114" t="inlineStr">
        <is>
          <t>STOCKHOLMS LÄN</t>
        </is>
      </c>
      <c r="E114" t="inlineStr">
        <is>
          <t>VALLENTUNA</t>
        </is>
      </c>
      <c r="G114" t="n">
        <v>0.6</v>
      </c>
      <c r="H114" t="n">
        <v>0</v>
      </c>
      <c r="I114" t="n">
        <v>0</v>
      </c>
      <c r="J114" t="n">
        <v>0</v>
      </c>
      <c r="K114" t="n">
        <v>0</v>
      </c>
      <c r="L114" t="n">
        <v>0</v>
      </c>
      <c r="M114" t="n">
        <v>0</v>
      </c>
      <c r="N114" t="n">
        <v>0</v>
      </c>
      <c r="O114" t="n">
        <v>0</v>
      </c>
      <c r="P114" t="n">
        <v>0</v>
      </c>
      <c r="Q114" t="n">
        <v>0</v>
      </c>
      <c r="R114" s="2" t="inlineStr"/>
    </row>
    <row r="115" ht="15" customHeight="1">
      <c r="A115" t="inlineStr">
        <is>
          <t>A 54466-2025</t>
        </is>
      </c>
      <c r="B115" s="1" t="n">
        <v>45965.56984953704</v>
      </c>
      <c r="C115" s="1" t="n">
        <v>46045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54460-2025</t>
        </is>
      </c>
      <c r="B116" s="1" t="n">
        <v>45965.56219907408</v>
      </c>
      <c r="C116" s="1" t="n">
        <v>46045</v>
      </c>
      <c r="D116" t="inlineStr">
        <is>
          <t>STOCKHOLMS LÄN</t>
        </is>
      </c>
      <c r="E116" t="inlineStr">
        <is>
          <t>VALLENTUNA</t>
        </is>
      </c>
      <c r="G116" t="n">
        <v>22.9</v>
      </c>
      <c r="H116" t="n">
        <v>0</v>
      </c>
      <c r="I116" t="n">
        <v>0</v>
      </c>
      <c r="J116" t="n">
        <v>0</v>
      </c>
      <c r="K116" t="n">
        <v>0</v>
      </c>
      <c r="L116" t="n">
        <v>0</v>
      </c>
      <c r="M116" t="n">
        <v>0</v>
      </c>
      <c r="N116" t="n">
        <v>0</v>
      </c>
      <c r="O116" t="n">
        <v>0</v>
      </c>
      <c r="P116" t="n">
        <v>0</v>
      </c>
      <c r="Q116" t="n">
        <v>0</v>
      </c>
      <c r="R116" s="2" t="inlineStr"/>
    </row>
    <row r="117" ht="15" customHeight="1">
      <c r="A117" t="inlineStr">
        <is>
          <t>A 26390-2023</t>
        </is>
      </c>
      <c r="B117" s="1" t="n">
        <v>45086</v>
      </c>
      <c r="C117" s="1" t="n">
        <v>46045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30902-2025</t>
        </is>
      </c>
      <c r="B118" s="1" t="n">
        <v>45832.36104166666</v>
      </c>
      <c r="C118" s="1" t="n">
        <v>46045</v>
      </c>
      <c r="D118" t="inlineStr">
        <is>
          <t>STOCKHOLMS LÄN</t>
        </is>
      </c>
      <c r="E118" t="inlineStr">
        <is>
          <t>VALLENTUNA</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46045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28431-2025</t>
        </is>
      </c>
      <c r="B120" s="1" t="n">
        <v>45819.38072916667</v>
      </c>
      <c r="C120" s="1" t="n">
        <v>46045</v>
      </c>
      <c r="D120" t="inlineStr">
        <is>
          <t>STOCKHOLMS LÄN</t>
        </is>
      </c>
      <c r="E120" t="inlineStr">
        <is>
          <t>VALLENTUNA</t>
        </is>
      </c>
      <c r="G120" t="n">
        <v>1.5</v>
      </c>
      <c r="H120" t="n">
        <v>0</v>
      </c>
      <c r="I120" t="n">
        <v>0</v>
      </c>
      <c r="J120" t="n">
        <v>0</v>
      </c>
      <c r="K120" t="n">
        <v>0</v>
      </c>
      <c r="L120" t="n">
        <v>0</v>
      </c>
      <c r="M120" t="n">
        <v>0</v>
      </c>
      <c r="N120" t="n">
        <v>0</v>
      </c>
      <c r="O120" t="n">
        <v>0</v>
      </c>
      <c r="P120" t="n">
        <v>0</v>
      </c>
      <c r="Q120" t="n">
        <v>0</v>
      </c>
      <c r="R120" s="2" t="inlineStr"/>
    </row>
    <row r="121" ht="15" customHeight="1">
      <c r="A121" t="inlineStr">
        <is>
          <t>A 27870-2025</t>
        </is>
      </c>
      <c r="B121" s="1" t="n">
        <v>45817</v>
      </c>
      <c r="C121" s="1" t="n">
        <v>46045</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46045</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12609-2024</t>
        </is>
      </c>
      <c r="B123" s="1" t="n">
        <v>45382.8109375</v>
      </c>
      <c r="C123" s="1" t="n">
        <v>46045</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61646-2025</t>
        </is>
      </c>
      <c r="B124" s="1" t="n">
        <v>46002</v>
      </c>
      <c r="C124" s="1" t="n">
        <v>46045</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47140-2024</t>
        </is>
      </c>
      <c r="B125" s="1" t="n">
        <v>45586.58753472222</v>
      </c>
      <c r="C125" s="1" t="n">
        <v>46045</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44346-2021</t>
        </is>
      </c>
      <c r="B126" s="1" t="n">
        <v>44434</v>
      </c>
      <c r="C126" s="1" t="n">
        <v>46045</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8565-2025</t>
        </is>
      </c>
      <c r="B127" s="1" t="n">
        <v>45709</v>
      </c>
      <c r="C127" s="1" t="n">
        <v>46045</v>
      </c>
      <c r="D127" t="inlineStr">
        <is>
          <t>STOCKHOLMS LÄN</t>
        </is>
      </c>
      <c r="E127" t="inlineStr">
        <is>
          <t>VALLENTUNA</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46045</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4803-2024</t>
        </is>
      </c>
      <c r="B129" s="1" t="n">
        <v>45328</v>
      </c>
      <c r="C129" s="1" t="n">
        <v>46045</v>
      </c>
      <c r="D129" t="inlineStr">
        <is>
          <t>STOCKHOLMS LÄN</t>
        </is>
      </c>
      <c r="E129" t="inlineStr">
        <is>
          <t>VALLENTUNA</t>
        </is>
      </c>
      <c r="G129" t="n">
        <v>4.6</v>
      </c>
      <c r="H129" t="n">
        <v>0</v>
      </c>
      <c r="I129" t="n">
        <v>0</v>
      </c>
      <c r="J129" t="n">
        <v>0</v>
      </c>
      <c r="K129" t="n">
        <v>0</v>
      </c>
      <c r="L129" t="n">
        <v>0</v>
      </c>
      <c r="M129" t="n">
        <v>0</v>
      </c>
      <c r="N129" t="n">
        <v>0</v>
      </c>
      <c r="O129" t="n">
        <v>0</v>
      </c>
      <c r="P129" t="n">
        <v>0</v>
      </c>
      <c r="Q129" t="n">
        <v>0</v>
      </c>
      <c r="R129" s="2" t="inlineStr"/>
    </row>
    <row r="130" ht="15" customHeight="1">
      <c r="A130" t="inlineStr">
        <is>
          <t>A 52542-2023</t>
        </is>
      </c>
      <c r="B130" s="1" t="n">
        <v>45225</v>
      </c>
      <c r="C130" s="1" t="n">
        <v>46045</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46045</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46045</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52562-2023</t>
        </is>
      </c>
      <c r="B133" s="1" t="n">
        <v>45225</v>
      </c>
      <c r="C133" s="1" t="n">
        <v>46045</v>
      </c>
      <c r="D133" t="inlineStr">
        <is>
          <t>STOCKHOLMS LÄN</t>
        </is>
      </c>
      <c r="E133" t="inlineStr">
        <is>
          <t>VALLENTUNA</t>
        </is>
      </c>
      <c r="G133" t="n">
        <v>3.4</v>
      </c>
      <c r="H133" t="n">
        <v>0</v>
      </c>
      <c r="I133" t="n">
        <v>0</v>
      </c>
      <c r="J133" t="n">
        <v>0</v>
      </c>
      <c r="K133" t="n">
        <v>0</v>
      </c>
      <c r="L133" t="n">
        <v>0</v>
      </c>
      <c r="M133" t="n">
        <v>0</v>
      </c>
      <c r="N133" t="n">
        <v>0</v>
      </c>
      <c r="O133" t="n">
        <v>0</v>
      </c>
      <c r="P133" t="n">
        <v>0</v>
      </c>
      <c r="Q133" t="n">
        <v>0</v>
      </c>
      <c r="R133" s="2" t="inlineStr"/>
    </row>
    <row r="134" ht="15" customHeight="1">
      <c r="A134" t="inlineStr">
        <is>
          <t>A 4804-2024</t>
        </is>
      </c>
      <c r="B134" s="1" t="n">
        <v>45328</v>
      </c>
      <c r="C134" s="1" t="n">
        <v>46045</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23013-2024</t>
        </is>
      </c>
      <c r="B135" s="1" t="n">
        <v>45450.35116898148</v>
      </c>
      <c r="C135" s="1" t="n">
        <v>46045</v>
      </c>
      <c r="D135" t="inlineStr">
        <is>
          <t>STOCKHOLMS LÄN</t>
        </is>
      </c>
      <c r="E135" t="inlineStr">
        <is>
          <t>VALLENTUNA</t>
        </is>
      </c>
      <c r="G135" t="n">
        <v>0.4</v>
      </c>
      <c r="H135" t="n">
        <v>0</v>
      </c>
      <c r="I135" t="n">
        <v>0</v>
      </c>
      <c r="J135" t="n">
        <v>0</v>
      </c>
      <c r="K135" t="n">
        <v>0</v>
      </c>
      <c r="L135" t="n">
        <v>0</v>
      </c>
      <c r="M135" t="n">
        <v>0</v>
      </c>
      <c r="N135" t="n">
        <v>0</v>
      </c>
      <c r="O135" t="n">
        <v>0</v>
      </c>
      <c r="P135" t="n">
        <v>0</v>
      </c>
      <c r="Q135" t="n">
        <v>0</v>
      </c>
      <c r="R135" s="2" t="inlineStr"/>
    </row>
    <row r="136" ht="15" customHeight="1">
      <c r="A136" t="inlineStr">
        <is>
          <t>A 2318-2024</t>
        </is>
      </c>
      <c r="B136" s="1" t="n">
        <v>45310</v>
      </c>
      <c r="C136" s="1" t="n">
        <v>46045</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46045</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46045</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46045</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12234-2022</t>
        </is>
      </c>
      <c r="B140" s="1" t="n">
        <v>44637</v>
      </c>
      <c r="C140" s="1" t="n">
        <v>46045</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21614-2022</t>
        </is>
      </c>
      <c r="B141" s="1" t="n">
        <v>44706</v>
      </c>
      <c r="C141" s="1" t="n">
        <v>46045</v>
      </c>
      <c r="D141" t="inlineStr">
        <is>
          <t>STOCKHOLMS LÄN</t>
        </is>
      </c>
      <c r="E141" t="inlineStr">
        <is>
          <t>VALLENTUNA</t>
        </is>
      </c>
      <c r="G141" t="n">
        <v>4</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45000.41373842592</v>
      </c>
      <c r="C142" s="1" t="n">
        <v>46045</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c r="A143" t="inlineStr">
        <is>
          <t>A 8787-2024</t>
        </is>
      </c>
      <c r="B143" s="1" t="n">
        <v>45356</v>
      </c>
      <c r="C143" s="1" t="n">
        <v>46045</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2026-01-23T10:55:53Z</dcterms:created>
  <dcterms:modified xmlns:dcterms="http://purl.org/dc/terms/" xmlns:xsi="http://www.w3.org/2001/XMLSchema-instance" xsi:type="dcterms:W3CDTF">2026-01-23T10:55:54Z</dcterms:modified>
</cp:coreProperties>
</file>