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45933</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45933</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45933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45933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45933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45933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45933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45933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45933</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45933</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42612-2025</t>
        </is>
      </c>
      <c r="B12" s="1" t="n">
        <v>45905.70087962963</v>
      </c>
      <c r="C12" s="1" t="n">
        <v>45933</v>
      </c>
      <c r="D12" t="inlineStr">
        <is>
          <t>STOCKHOLMS LÄN</t>
        </is>
      </c>
      <c r="E12" t="inlineStr">
        <is>
          <t>VALLENTUNA</t>
        </is>
      </c>
      <c r="G12" t="n">
        <v>12.7</v>
      </c>
      <c r="H12" t="n">
        <v>3</v>
      </c>
      <c r="I12" t="n">
        <v>0</v>
      </c>
      <c r="J12" t="n">
        <v>2</v>
      </c>
      <c r="K12" t="n">
        <v>0</v>
      </c>
      <c r="L12" t="n">
        <v>0</v>
      </c>
      <c r="M12" t="n">
        <v>0</v>
      </c>
      <c r="N12" t="n">
        <v>0</v>
      </c>
      <c r="O12" t="n">
        <v>2</v>
      </c>
      <c r="P12" t="n">
        <v>0</v>
      </c>
      <c r="Q12" t="n">
        <v>3</v>
      </c>
      <c r="R12" s="2" t="inlineStr">
        <is>
          <t>Nordfladdermus
Sydfladdermus
Större brunfladdermus</t>
        </is>
      </c>
      <c r="S12">
        <f>HYPERLINK("https://klasma.github.io/Logging_0115/artfynd/A 42612-2025 artfynd.xlsx", "A 42612-2025")</f>
        <v/>
      </c>
      <c r="T12">
        <f>HYPERLINK("https://klasma.github.io/Logging_0115/kartor/A 42612-2025 karta.png", "A 42612-2025")</f>
        <v/>
      </c>
      <c r="V12">
        <f>HYPERLINK("https://klasma.github.io/Logging_0115/klagomål/A 42612-2025 FSC-klagomål.docx", "A 42612-2025")</f>
        <v/>
      </c>
      <c r="W12">
        <f>HYPERLINK("https://klasma.github.io/Logging_0115/klagomålsmail/A 42612-2025 FSC-klagomål mail.docx", "A 42612-2025")</f>
        <v/>
      </c>
      <c r="X12">
        <f>HYPERLINK("https://klasma.github.io/Logging_0115/tillsyn/A 42612-2025 tillsynsbegäran.docx", "A 42612-2025")</f>
        <v/>
      </c>
      <c r="Y12">
        <f>HYPERLINK("https://klasma.github.io/Logging_0115/tillsynsmail/A 42612-2025 tillsynsbegäran mail.docx", "A 42612-2025")</f>
        <v/>
      </c>
    </row>
    <row r="13" ht="15" customHeight="1">
      <c r="A13" t="inlineStr">
        <is>
          <t>A 37456-2023</t>
        </is>
      </c>
      <c r="B13" s="1" t="n">
        <v>45156</v>
      </c>
      <c r="C13" s="1" t="n">
        <v>45933</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60-2022</t>
        </is>
      </c>
      <c r="B14" s="1" t="n">
        <v>44560</v>
      </c>
      <c r="C14" s="1" t="n">
        <v>45933</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9445-2022</t>
        </is>
      </c>
      <c r="B15" s="1" t="n">
        <v>44616</v>
      </c>
      <c r="C15" s="1" t="n">
        <v>45933</v>
      </c>
      <c r="D15" t="inlineStr">
        <is>
          <t>STOCKHOLMS LÄN</t>
        </is>
      </c>
      <c r="E15" t="inlineStr">
        <is>
          <t>VALLENTUNA</t>
        </is>
      </c>
      <c r="G15" t="n">
        <v>10.8</v>
      </c>
      <c r="H15" t="n">
        <v>1</v>
      </c>
      <c r="I15" t="n">
        <v>1</v>
      </c>
      <c r="J15" t="n">
        <v>0</v>
      </c>
      <c r="K15" t="n">
        <v>0</v>
      </c>
      <c r="L15" t="n">
        <v>0</v>
      </c>
      <c r="M15" t="n">
        <v>0</v>
      </c>
      <c r="N15" t="n">
        <v>0</v>
      </c>
      <c r="O15" t="n">
        <v>0</v>
      </c>
      <c r="P15" t="n">
        <v>0</v>
      </c>
      <c r="Q15" t="n">
        <v>2</v>
      </c>
      <c r="R15" s="2" t="inlineStr">
        <is>
          <t>Grönpyrola
Blåsippa</t>
        </is>
      </c>
      <c r="S15">
        <f>HYPERLINK("https://klasma.github.io/Logging_0115/artfynd/A 9445-2022 artfynd.xlsx", "A 9445-2022")</f>
        <v/>
      </c>
      <c r="T15">
        <f>HYPERLINK("https://klasma.github.io/Logging_0115/kartor/A 9445-2022 karta.png", "A 9445-2022")</f>
        <v/>
      </c>
      <c r="V15">
        <f>HYPERLINK("https://klasma.github.io/Logging_0115/klagomål/A 9445-2022 FSC-klagomål.docx", "A 9445-2022")</f>
        <v/>
      </c>
      <c r="W15">
        <f>HYPERLINK("https://klasma.github.io/Logging_0115/klagomålsmail/A 9445-2022 FSC-klagomål mail.docx", "A 9445-2022")</f>
        <v/>
      </c>
      <c r="X15">
        <f>HYPERLINK("https://klasma.github.io/Logging_0115/tillsyn/A 9445-2022 tillsynsbegäran.docx", "A 9445-2022")</f>
        <v/>
      </c>
      <c r="Y15">
        <f>HYPERLINK("https://klasma.github.io/Logging_0115/tillsynsmail/A 9445-2022 tillsynsbegäran mail.docx", "A 9445-2022")</f>
        <v/>
      </c>
    </row>
    <row r="16" ht="15" customHeight="1">
      <c r="A16" t="inlineStr">
        <is>
          <t>A 70608-2021</t>
        </is>
      </c>
      <c r="B16" s="1" t="n">
        <v>44536</v>
      </c>
      <c r="C16" s="1" t="n">
        <v>45933</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754-2024</t>
        </is>
      </c>
      <c r="B17" s="1" t="n">
        <v>45300</v>
      </c>
      <c r="C17" s="1" t="n">
        <v>45933</v>
      </c>
      <c r="D17" t="inlineStr">
        <is>
          <t>STOCKHOLMS LÄN</t>
        </is>
      </c>
      <c r="E17" t="inlineStr">
        <is>
          <t>VALLENTUNA</t>
        </is>
      </c>
      <c r="G17" t="n">
        <v>2.5</v>
      </c>
      <c r="H17" t="n">
        <v>1</v>
      </c>
      <c r="I17" t="n">
        <v>1</v>
      </c>
      <c r="J17" t="n">
        <v>0</v>
      </c>
      <c r="K17" t="n">
        <v>0</v>
      </c>
      <c r="L17" t="n">
        <v>0</v>
      </c>
      <c r="M17" t="n">
        <v>0</v>
      </c>
      <c r="N17" t="n">
        <v>0</v>
      </c>
      <c r="O17" t="n">
        <v>0</v>
      </c>
      <c r="P17" t="n">
        <v>0</v>
      </c>
      <c r="Q17" t="n">
        <v>2</v>
      </c>
      <c r="R17" s="2" t="inlineStr">
        <is>
          <t>Vågbandad barkbock
Grönsiska</t>
        </is>
      </c>
      <c r="S17">
        <f>HYPERLINK("https://klasma.github.io/Logging_0115/artfynd/A 754-2024 artfynd.xlsx", "A 754-2024")</f>
        <v/>
      </c>
      <c r="T17">
        <f>HYPERLINK("https://klasma.github.io/Logging_0115/kartor/A 754-2024 karta.png", "A 754-2024")</f>
        <v/>
      </c>
      <c r="V17">
        <f>HYPERLINK("https://klasma.github.io/Logging_0115/klagomål/A 754-2024 FSC-klagomål.docx", "A 754-2024")</f>
        <v/>
      </c>
      <c r="W17">
        <f>HYPERLINK("https://klasma.github.io/Logging_0115/klagomålsmail/A 754-2024 FSC-klagomål mail.docx", "A 754-2024")</f>
        <v/>
      </c>
      <c r="X17">
        <f>HYPERLINK("https://klasma.github.io/Logging_0115/tillsyn/A 754-2024 tillsynsbegäran.docx", "A 754-2024")</f>
        <v/>
      </c>
      <c r="Y17">
        <f>HYPERLINK("https://klasma.github.io/Logging_0115/tillsynsmail/A 754-2024 tillsynsbegäran mail.docx", "A 754-2024")</f>
        <v/>
      </c>
      <c r="Z17">
        <f>HYPERLINK("https://klasma.github.io/Logging_0115/fåglar/A 754-2024 prioriterade fågelarter.docx", "A 754-2024")</f>
        <v/>
      </c>
    </row>
    <row r="18" ht="15" customHeight="1">
      <c r="A18" t="inlineStr">
        <is>
          <t>A 46-2022</t>
        </is>
      </c>
      <c r="B18" s="1" t="n">
        <v>44560</v>
      </c>
      <c r="C18" s="1" t="n">
        <v>45933</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45933</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45933</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22830-2024</t>
        </is>
      </c>
      <c r="B21" s="1" t="n">
        <v>45448.56583333333</v>
      </c>
      <c r="C21" s="1" t="n">
        <v>45933</v>
      </c>
      <c r="D21" t="inlineStr">
        <is>
          <t>STOCKHOLMS LÄN</t>
        </is>
      </c>
      <c r="E21" t="inlineStr">
        <is>
          <t>VALLENTUNA</t>
        </is>
      </c>
      <c r="G21" t="n">
        <v>0.3</v>
      </c>
      <c r="H21" t="n">
        <v>0</v>
      </c>
      <c r="I21" t="n">
        <v>0</v>
      </c>
      <c r="J21" t="n">
        <v>1</v>
      </c>
      <c r="K21" t="n">
        <v>0</v>
      </c>
      <c r="L21" t="n">
        <v>0</v>
      </c>
      <c r="M21" t="n">
        <v>0</v>
      </c>
      <c r="N21" t="n">
        <v>0</v>
      </c>
      <c r="O21" t="n">
        <v>1</v>
      </c>
      <c r="P21" t="n">
        <v>0</v>
      </c>
      <c r="Q21" t="n">
        <v>1</v>
      </c>
      <c r="R21" s="2" t="inlineStr">
        <is>
          <t>Tallticka</t>
        </is>
      </c>
      <c r="S21">
        <f>HYPERLINK("https://klasma.github.io/Logging_0115/artfynd/A 22830-2024 artfynd.xlsx", "A 22830-2024")</f>
        <v/>
      </c>
      <c r="T21">
        <f>HYPERLINK("https://klasma.github.io/Logging_0115/kartor/A 22830-2024 karta.png", "A 22830-2024")</f>
        <v/>
      </c>
      <c r="V21">
        <f>HYPERLINK("https://klasma.github.io/Logging_0115/klagomål/A 22830-2024 FSC-klagomål.docx", "A 22830-2024")</f>
        <v/>
      </c>
      <c r="W21">
        <f>HYPERLINK("https://klasma.github.io/Logging_0115/klagomålsmail/A 22830-2024 FSC-klagomål mail.docx", "A 22830-2024")</f>
        <v/>
      </c>
      <c r="X21">
        <f>HYPERLINK("https://klasma.github.io/Logging_0115/tillsyn/A 22830-2024 tillsynsbegäran.docx", "A 22830-2024")</f>
        <v/>
      </c>
      <c r="Y21">
        <f>HYPERLINK("https://klasma.github.io/Logging_0115/tillsynsmail/A 22830-2024 tillsynsbegäran mail.docx", "A 22830-2024")</f>
        <v/>
      </c>
    </row>
    <row r="22" ht="15" customHeight="1">
      <c r="A22" t="inlineStr">
        <is>
          <t>A 8817-2025</t>
        </is>
      </c>
      <c r="B22" s="1" t="n">
        <v>45712.70987268518</v>
      </c>
      <c r="C22" s="1" t="n">
        <v>45933</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21-2022</t>
        </is>
      </c>
      <c r="B23" s="1" t="n">
        <v>44560</v>
      </c>
      <c r="C23" s="1" t="n">
        <v>45933</v>
      </c>
      <c r="D23" t="inlineStr">
        <is>
          <t>STOCKHOLMS LÄN</t>
        </is>
      </c>
      <c r="E23" t="inlineStr">
        <is>
          <t>VALLENTUNA</t>
        </is>
      </c>
      <c r="F23" t="inlineStr">
        <is>
          <t>Övriga Aktiebolag</t>
        </is>
      </c>
      <c r="G23" t="n">
        <v>3.5</v>
      </c>
      <c r="H23" t="n">
        <v>1</v>
      </c>
      <c r="I23" t="n">
        <v>0</v>
      </c>
      <c r="J23" t="n">
        <v>0</v>
      </c>
      <c r="K23" t="n">
        <v>0</v>
      </c>
      <c r="L23" t="n">
        <v>0</v>
      </c>
      <c r="M23" t="n">
        <v>0</v>
      </c>
      <c r="N23" t="n">
        <v>0</v>
      </c>
      <c r="O23" t="n">
        <v>0</v>
      </c>
      <c r="P23" t="n">
        <v>0</v>
      </c>
      <c r="Q23" t="n">
        <v>1</v>
      </c>
      <c r="R23" s="2" t="inlineStr">
        <is>
          <t>Nattviol</t>
        </is>
      </c>
      <c r="S23">
        <f>HYPERLINK("https://klasma.github.io/Logging_0115/artfynd/A 21-2022 artfynd.xlsx", "A 21-2022")</f>
        <v/>
      </c>
      <c r="T23">
        <f>HYPERLINK("https://klasma.github.io/Logging_0115/kartor/A 21-2022 karta.png", "A 21-2022")</f>
        <v/>
      </c>
      <c r="V23">
        <f>HYPERLINK("https://klasma.github.io/Logging_0115/klagomål/A 21-2022 FSC-klagomål.docx", "A 21-2022")</f>
        <v/>
      </c>
      <c r="W23">
        <f>HYPERLINK("https://klasma.github.io/Logging_0115/klagomålsmail/A 21-2022 FSC-klagomål mail.docx", "A 21-2022")</f>
        <v/>
      </c>
      <c r="X23">
        <f>HYPERLINK("https://klasma.github.io/Logging_0115/tillsyn/A 21-2022 tillsynsbegäran.docx", "A 21-2022")</f>
        <v/>
      </c>
      <c r="Y23">
        <f>HYPERLINK("https://klasma.github.io/Logging_0115/tillsynsmail/A 21-2022 tillsynsbegäran mail.docx", "A 21-2022")</f>
        <v/>
      </c>
    </row>
    <row r="24" ht="15" customHeight="1">
      <c r="A24" t="inlineStr">
        <is>
          <t>A 14508-2024</t>
        </is>
      </c>
      <c r="B24" s="1" t="n">
        <v>45394.61583333334</v>
      </c>
      <c r="C24" s="1" t="n">
        <v>45933</v>
      </c>
      <c r="D24" t="inlineStr">
        <is>
          <t>STOCKHOLMS LÄN</t>
        </is>
      </c>
      <c r="E24" t="inlineStr">
        <is>
          <t>VALLENTUNA</t>
        </is>
      </c>
      <c r="G24" t="n">
        <v>1.7</v>
      </c>
      <c r="H24" t="n">
        <v>1</v>
      </c>
      <c r="I24" t="n">
        <v>0</v>
      </c>
      <c r="J24" t="n">
        <v>1</v>
      </c>
      <c r="K24" t="n">
        <v>0</v>
      </c>
      <c r="L24" t="n">
        <v>0</v>
      </c>
      <c r="M24" t="n">
        <v>0</v>
      </c>
      <c r="N24" t="n">
        <v>0</v>
      </c>
      <c r="O24" t="n">
        <v>1</v>
      </c>
      <c r="P24" t="n">
        <v>0</v>
      </c>
      <c r="Q24" t="n">
        <v>1</v>
      </c>
      <c r="R24" s="2" t="inlineStr">
        <is>
          <t>Mindre hackspett</t>
        </is>
      </c>
      <c r="S24">
        <f>HYPERLINK("https://klasma.github.io/Logging_0115/artfynd/A 14508-2024 artfynd.xlsx", "A 14508-2024")</f>
        <v/>
      </c>
      <c r="T24">
        <f>HYPERLINK("https://klasma.github.io/Logging_0115/kartor/A 14508-2024 karta.png", "A 14508-2024")</f>
        <v/>
      </c>
      <c r="V24">
        <f>HYPERLINK("https://klasma.github.io/Logging_0115/klagomål/A 14508-2024 FSC-klagomål.docx", "A 14508-2024")</f>
        <v/>
      </c>
      <c r="W24">
        <f>HYPERLINK("https://klasma.github.io/Logging_0115/klagomålsmail/A 14508-2024 FSC-klagomål mail.docx", "A 14508-2024")</f>
        <v/>
      </c>
      <c r="X24">
        <f>HYPERLINK("https://klasma.github.io/Logging_0115/tillsyn/A 14508-2024 tillsynsbegäran.docx", "A 14508-2024")</f>
        <v/>
      </c>
      <c r="Y24">
        <f>HYPERLINK("https://klasma.github.io/Logging_0115/tillsynsmail/A 14508-2024 tillsynsbegäran mail.docx", "A 14508-2024")</f>
        <v/>
      </c>
      <c r="Z24">
        <f>HYPERLINK("https://klasma.github.io/Logging_0115/fåglar/A 14508-2024 prioriterade fågelarter.docx", "A 14508-2024")</f>
        <v/>
      </c>
    </row>
    <row r="25" ht="15" customHeight="1">
      <c r="A25" t="inlineStr">
        <is>
          <t>A 17348-2025</t>
        </is>
      </c>
      <c r="B25" s="1" t="n">
        <v>45756</v>
      </c>
      <c r="C25" s="1" t="n">
        <v>45933</v>
      </c>
      <c r="D25" t="inlineStr">
        <is>
          <t>STOCKHOLMS LÄN</t>
        </is>
      </c>
      <c r="E25" t="inlineStr">
        <is>
          <t>VALLENTUNA</t>
        </is>
      </c>
      <c r="F25" t="inlineStr">
        <is>
          <t>Övriga Aktiebolag</t>
        </is>
      </c>
      <c r="G25" t="n">
        <v>2.2</v>
      </c>
      <c r="H25" t="n">
        <v>0</v>
      </c>
      <c r="I25" t="n">
        <v>1</v>
      </c>
      <c r="J25" t="n">
        <v>0</v>
      </c>
      <c r="K25" t="n">
        <v>0</v>
      </c>
      <c r="L25" t="n">
        <v>0</v>
      </c>
      <c r="M25" t="n">
        <v>0</v>
      </c>
      <c r="N25" t="n">
        <v>0</v>
      </c>
      <c r="O25" t="n">
        <v>0</v>
      </c>
      <c r="P25" t="n">
        <v>0</v>
      </c>
      <c r="Q25" t="n">
        <v>1</v>
      </c>
      <c r="R25" s="2" t="inlineStr">
        <is>
          <t>Björksplintborre</t>
        </is>
      </c>
      <c r="S25">
        <f>HYPERLINK("https://klasma.github.io/Logging_0115/artfynd/A 17348-2025 artfynd.xlsx", "A 17348-2025")</f>
        <v/>
      </c>
      <c r="T25">
        <f>HYPERLINK("https://klasma.github.io/Logging_0115/kartor/A 17348-2025 karta.png", "A 17348-2025")</f>
        <v/>
      </c>
      <c r="V25">
        <f>HYPERLINK("https://klasma.github.io/Logging_0115/klagomål/A 17348-2025 FSC-klagomål.docx", "A 17348-2025")</f>
        <v/>
      </c>
      <c r="W25">
        <f>HYPERLINK("https://klasma.github.io/Logging_0115/klagomålsmail/A 17348-2025 FSC-klagomål mail.docx", "A 17348-2025")</f>
        <v/>
      </c>
      <c r="X25">
        <f>HYPERLINK("https://klasma.github.io/Logging_0115/tillsyn/A 17348-2025 tillsynsbegäran.docx", "A 17348-2025")</f>
        <v/>
      </c>
      <c r="Y25">
        <f>HYPERLINK("https://klasma.github.io/Logging_0115/tillsynsmail/A 17348-2025 tillsynsbegäran mail.docx", "A 17348-2025")</f>
        <v/>
      </c>
    </row>
    <row r="26" ht="15" customHeight="1">
      <c r="A26" t="inlineStr">
        <is>
          <t>A 17341-2025</t>
        </is>
      </c>
      <c r="B26" s="1" t="n">
        <v>45756</v>
      </c>
      <c r="C26" s="1" t="n">
        <v>45933</v>
      </c>
      <c r="D26" t="inlineStr">
        <is>
          <t>STOCKHOLMS LÄN</t>
        </is>
      </c>
      <c r="E26" t="inlineStr">
        <is>
          <t>VALLENTUNA</t>
        </is>
      </c>
      <c r="F26" t="inlineStr">
        <is>
          <t>Övriga Aktiebolag</t>
        </is>
      </c>
      <c r="G26" t="n">
        <v>5.2</v>
      </c>
      <c r="H26" t="n">
        <v>0</v>
      </c>
      <c r="I26" t="n">
        <v>1</v>
      </c>
      <c r="J26" t="n">
        <v>0</v>
      </c>
      <c r="K26" t="n">
        <v>0</v>
      </c>
      <c r="L26" t="n">
        <v>0</v>
      </c>
      <c r="M26" t="n">
        <v>0</v>
      </c>
      <c r="N26" t="n">
        <v>0</v>
      </c>
      <c r="O26" t="n">
        <v>0</v>
      </c>
      <c r="P26" t="n">
        <v>0</v>
      </c>
      <c r="Q26" t="n">
        <v>1</v>
      </c>
      <c r="R26" s="2" t="inlineStr">
        <is>
          <t>Björksplintborre</t>
        </is>
      </c>
      <c r="S26">
        <f>HYPERLINK("https://klasma.github.io/Logging_0115/artfynd/A 17341-2025 artfynd.xlsx", "A 17341-2025")</f>
        <v/>
      </c>
      <c r="T26">
        <f>HYPERLINK("https://klasma.github.io/Logging_0115/kartor/A 17341-2025 karta.png", "A 17341-2025")</f>
        <v/>
      </c>
      <c r="V26">
        <f>HYPERLINK("https://klasma.github.io/Logging_0115/klagomål/A 17341-2025 FSC-klagomål.docx", "A 17341-2025")</f>
        <v/>
      </c>
      <c r="W26">
        <f>HYPERLINK("https://klasma.github.io/Logging_0115/klagomålsmail/A 17341-2025 FSC-klagomål mail.docx", "A 17341-2025")</f>
        <v/>
      </c>
      <c r="X26">
        <f>HYPERLINK("https://klasma.github.io/Logging_0115/tillsyn/A 17341-2025 tillsynsbegäran.docx", "A 17341-2025")</f>
        <v/>
      </c>
      <c r="Y26">
        <f>HYPERLINK("https://klasma.github.io/Logging_0115/tillsynsmail/A 17341-2025 tillsynsbegäran mail.docx", "A 17341-2025")</f>
        <v/>
      </c>
    </row>
    <row r="27" ht="15" customHeight="1">
      <c r="A27" t="inlineStr">
        <is>
          <t>A 7890-2023</t>
        </is>
      </c>
      <c r="B27" s="1" t="n">
        <v>44973</v>
      </c>
      <c r="C27" s="1" t="n">
        <v>45933</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27870-2025</t>
        </is>
      </c>
      <c r="B28" s="1" t="n">
        <v>45817</v>
      </c>
      <c r="C28" s="1" t="n">
        <v>45933</v>
      </c>
      <c r="D28" t="inlineStr">
        <is>
          <t>STOCKHOLMS LÄN</t>
        </is>
      </c>
      <c r="E28" t="inlineStr">
        <is>
          <t>VALLENTUNA</t>
        </is>
      </c>
      <c r="G28" t="n">
        <v>5</v>
      </c>
      <c r="H28" t="n">
        <v>0</v>
      </c>
      <c r="I28" t="n">
        <v>0</v>
      </c>
      <c r="J28" t="n">
        <v>1</v>
      </c>
      <c r="K28" t="n">
        <v>0</v>
      </c>
      <c r="L28" t="n">
        <v>0</v>
      </c>
      <c r="M28" t="n">
        <v>0</v>
      </c>
      <c r="N28" t="n">
        <v>0</v>
      </c>
      <c r="O28" t="n">
        <v>1</v>
      </c>
      <c r="P28" t="n">
        <v>0</v>
      </c>
      <c r="Q28" t="n">
        <v>1</v>
      </c>
      <c r="R28" s="2" t="inlineStr">
        <is>
          <t>Bronspraktbagge</t>
        </is>
      </c>
      <c r="S28">
        <f>HYPERLINK("https://klasma.github.io/Logging_0115/artfynd/A 27870-2025 artfynd.xlsx", "A 27870-2025")</f>
        <v/>
      </c>
      <c r="T28">
        <f>HYPERLINK("https://klasma.github.io/Logging_0115/kartor/A 27870-2025 karta.png", "A 27870-2025")</f>
        <v/>
      </c>
      <c r="V28">
        <f>HYPERLINK("https://klasma.github.io/Logging_0115/klagomål/A 27870-2025 FSC-klagomål.docx", "A 27870-2025")</f>
        <v/>
      </c>
      <c r="W28">
        <f>HYPERLINK("https://klasma.github.io/Logging_0115/klagomålsmail/A 27870-2025 FSC-klagomål mail.docx", "A 27870-2025")</f>
        <v/>
      </c>
      <c r="X28">
        <f>HYPERLINK("https://klasma.github.io/Logging_0115/tillsyn/A 27870-2025 tillsynsbegäran.docx", "A 27870-2025")</f>
        <v/>
      </c>
      <c r="Y28">
        <f>HYPERLINK("https://klasma.github.io/Logging_0115/tillsynsmail/A 27870-2025 tillsynsbegäran mail.docx", "A 27870-2025")</f>
        <v/>
      </c>
    </row>
    <row r="29" ht="15" customHeight="1">
      <c r="A29" t="inlineStr">
        <is>
          <t>A 21439-2025</t>
        </is>
      </c>
      <c r="B29" s="1" t="n">
        <v>45782.52939814814</v>
      </c>
      <c r="C29" s="1" t="n">
        <v>45933</v>
      </c>
      <c r="D29" t="inlineStr">
        <is>
          <t>STOCKHOLMS LÄN</t>
        </is>
      </c>
      <c r="E29" t="inlineStr">
        <is>
          <t>VALLENTUNA</t>
        </is>
      </c>
      <c r="G29" t="n">
        <v>2.1</v>
      </c>
      <c r="H29" t="n">
        <v>0</v>
      </c>
      <c r="I29" t="n">
        <v>1</v>
      </c>
      <c r="J29" t="n">
        <v>0</v>
      </c>
      <c r="K29" t="n">
        <v>0</v>
      </c>
      <c r="L29" t="n">
        <v>0</v>
      </c>
      <c r="M29" t="n">
        <v>0</v>
      </c>
      <c r="N29" t="n">
        <v>0</v>
      </c>
      <c r="O29" t="n">
        <v>0</v>
      </c>
      <c r="P29" t="n">
        <v>0</v>
      </c>
      <c r="Q29" t="n">
        <v>1</v>
      </c>
      <c r="R29" s="2" t="inlineStr">
        <is>
          <t>Mindre märgborre</t>
        </is>
      </c>
      <c r="S29">
        <f>HYPERLINK("https://klasma.github.io/Logging_0115/artfynd/A 21439-2025 artfynd.xlsx", "A 21439-2025")</f>
        <v/>
      </c>
      <c r="T29">
        <f>HYPERLINK("https://klasma.github.io/Logging_0115/kartor/A 21439-2025 karta.png", "A 21439-2025")</f>
        <v/>
      </c>
      <c r="V29">
        <f>HYPERLINK("https://klasma.github.io/Logging_0115/klagomål/A 21439-2025 FSC-klagomål.docx", "A 21439-2025")</f>
        <v/>
      </c>
      <c r="W29">
        <f>HYPERLINK("https://klasma.github.io/Logging_0115/klagomålsmail/A 21439-2025 FSC-klagomål mail.docx", "A 21439-2025")</f>
        <v/>
      </c>
      <c r="X29">
        <f>HYPERLINK("https://klasma.github.io/Logging_0115/tillsyn/A 21439-2025 tillsynsbegäran.docx", "A 21439-2025")</f>
        <v/>
      </c>
      <c r="Y29">
        <f>HYPERLINK("https://klasma.github.io/Logging_0115/tillsynsmail/A 21439-2025 tillsynsbegäran mail.docx", "A 21439-2025")</f>
        <v/>
      </c>
    </row>
    <row r="30" ht="15" customHeight="1">
      <c r="A30" t="inlineStr">
        <is>
          <t>A 22936-2025</t>
        </is>
      </c>
      <c r="B30" s="1" t="n">
        <v>45790.45738425926</v>
      </c>
      <c r="C30" s="1" t="n">
        <v>45933</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20612-2021</t>
        </is>
      </c>
      <c r="B31" s="1" t="n">
        <v>44315</v>
      </c>
      <c r="C31" s="1" t="n">
        <v>45933</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45933</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45933</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45933</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45933</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65804-2020</t>
        </is>
      </c>
      <c r="B36" s="1" t="n">
        <v>44172</v>
      </c>
      <c r="C36" s="1" t="n">
        <v>45933</v>
      </c>
      <c r="D36" t="inlineStr">
        <is>
          <t>STOCKHOLMS LÄN</t>
        </is>
      </c>
      <c r="E36" t="inlineStr">
        <is>
          <t>VALLENTUNA</t>
        </is>
      </c>
      <c r="G36" t="n">
        <v>2.9</v>
      </c>
      <c r="H36" t="n">
        <v>0</v>
      </c>
      <c r="I36" t="n">
        <v>0</v>
      </c>
      <c r="J36" t="n">
        <v>0</v>
      </c>
      <c r="K36" t="n">
        <v>0</v>
      </c>
      <c r="L36" t="n">
        <v>0</v>
      </c>
      <c r="M36" t="n">
        <v>0</v>
      </c>
      <c r="N36" t="n">
        <v>0</v>
      </c>
      <c r="O36" t="n">
        <v>0</v>
      </c>
      <c r="P36" t="n">
        <v>0</v>
      </c>
      <c r="Q36" t="n">
        <v>0</v>
      </c>
      <c r="R36" s="2" t="inlineStr"/>
    </row>
    <row r="37" ht="15" customHeight="1">
      <c r="A37" t="inlineStr">
        <is>
          <t>A 178-2022</t>
        </is>
      </c>
      <c r="B37" s="1" t="n">
        <v>44560</v>
      </c>
      <c r="C37" s="1" t="n">
        <v>45933</v>
      </c>
      <c r="D37" t="inlineStr">
        <is>
          <t>STOCKHOLMS LÄN</t>
        </is>
      </c>
      <c r="E37" t="inlineStr">
        <is>
          <t>VALLENTUNA</t>
        </is>
      </c>
      <c r="F37" t="inlineStr">
        <is>
          <t>Övriga Aktiebolag</t>
        </is>
      </c>
      <c r="G37" t="n">
        <v>1.5</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45933</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45933</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2867-2022</t>
        </is>
      </c>
      <c r="B40" s="1" t="n">
        <v>44581</v>
      </c>
      <c r="C40" s="1" t="n">
        <v>45933</v>
      </c>
      <c r="D40" t="inlineStr">
        <is>
          <t>STOCKHOLMS LÄN</t>
        </is>
      </c>
      <c r="E40" t="inlineStr">
        <is>
          <t>VALLENTUNA</t>
        </is>
      </c>
      <c r="G40" t="n">
        <v>1.6</v>
      </c>
      <c r="H40" t="n">
        <v>0</v>
      </c>
      <c r="I40" t="n">
        <v>0</v>
      </c>
      <c r="J40" t="n">
        <v>0</v>
      </c>
      <c r="K40" t="n">
        <v>0</v>
      </c>
      <c r="L40" t="n">
        <v>0</v>
      </c>
      <c r="M40" t="n">
        <v>0</v>
      </c>
      <c r="N40" t="n">
        <v>0</v>
      </c>
      <c r="O40" t="n">
        <v>0</v>
      </c>
      <c r="P40" t="n">
        <v>0</v>
      </c>
      <c r="Q40" t="n">
        <v>0</v>
      </c>
      <c r="R40" s="2" t="inlineStr"/>
    </row>
    <row r="41" ht="15" customHeight="1">
      <c r="A41" t="inlineStr">
        <is>
          <t>A 14430-2021</t>
        </is>
      </c>
      <c r="B41" s="1" t="n">
        <v>44279.4665625</v>
      </c>
      <c r="C41" s="1" t="n">
        <v>45933</v>
      </c>
      <c r="D41" t="inlineStr">
        <is>
          <t>STOCKHOLMS LÄN</t>
        </is>
      </c>
      <c r="E41" t="inlineStr">
        <is>
          <t>VALLENTUNA</t>
        </is>
      </c>
      <c r="G41" t="n">
        <v>1.1</v>
      </c>
      <c r="H41" t="n">
        <v>0</v>
      </c>
      <c r="I41" t="n">
        <v>0</v>
      </c>
      <c r="J41" t="n">
        <v>0</v>
      </c>
      <c r="K41" t="n">
        <v>0</v>
      </c>
      <c r="L41" t="n">
        <v>0</v>
      </c>
      <c r="M41" t="n">
        <v>0</v>
      </c>
      <c r="N41" t="n">
        <v>0</v>
      </c>
      <c r="O41" t="n">
        <v>0</v>
      </c>
      <c r="P41" t="n">
        <v>0</v>
      </c>
      <c r="Q41" t="n">
        <v>0</v>
      </c>
      <c r="R41" s="2" t="inlineStr"/>
    </row>
    <row r="42" ht="15" customHeight="1">
      <c r="A42" t="inlineStr">
        <is>
          <t>A 14443-2021</t>
        </is>
      </c>
      <c r="B42" s="1" t="n">
        <v>44279</v>
      </c>
      <c r="C42" s="1" t="n">
        <v>45933</v>
      </c>
      <c r="D42" t="inlineStr">
        <is>
          <t>STOCKHOLMS LÄN</t>
        </is>
      </c>
      <c r="E42" t="inlineStr">
        <is>
          <t>VALLENTUNA</t>
        </is>
      </c>
      <c r="G42" t="n">
        <v>3.5</v>
      </c>
      <c r="H42" t="n">
        <v>0</v>
      </c>
      <c r="I42" t="n">
        <v>0</v>
      </c>
      <c r="J42" t="n">
        <v>0</v>
      </c>
      <c r="K42" t="n">
        <v>0</v>
      </c>
      <c r="L42" t="n">
        <v>0</v>
      </c>
      <c r="M42" t="n">
        <v>0</v>
      </c>
      <c r="N42" t="n">
        <v>0</v>
      </c>
      <c r="O42" t="n">
        <v>0</v>
      </c>
      <c r="P42" t="n">
        <v>0</v>
      </c>
      <c r="Q42" t="n">
        <v>0</v>
      </c>
      <c r="R42" s="2" t="inlineStr"/>
    </row>
    <row r="43" ht="15" customHeight="1">
      <c r="A43" t="inlineStr">
        <is>
          <t>A 14447-2021</t>
        </is>
      </c>
      <c r="B43" s="1" t="n">
        <v>44279</v>
      </c>
      <c r="C43" s="1" t="n">
        <v>45933</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52377-2021</t>
        </is>
      </c>
      <c r="B44" s="1" t="n">
        <v>44465</v>
      </c>
      <c r="C44" s="1" t="n">
        <v>45933</v>
      </c>
      <c r="D44" t="inlineStr">
        <is>
          <t>STOCKHOLMS LÄN</t>
        </is>
      </c>
      <c r="E44" t="inlineStr">
        <is>
          <t>VALLENTUNA</t>
        </is>
      </c>
      <c r="G44" t="n">
        <v>1.4</v>
      </c>
      <c r="H44" t="n">
        <v>0</v>
      </c>
      <c r="I44" t="n">
        <v>0</v>
      </c>
      <c r="J44" t="n">
        <v>0</v>
      </c>
      <c r="K44" t="n">
        <v>0</v>
      </c>
      <c r="L44" t="n">
        <v>0</v>
      </c>
      <c r="M44" t="n">
        <v>0</v>
      </c>
      <c r="N44" t="n">
        <v>0</v>
      </c>
      <c r="O44" t="n">
        <v>0</v>
      </c>
      <c r="P44" t="n">
        <v>0</v>
      </c>
      <c r="Q44" t="n">
        <v>0</v>
      </c>
      <c r="R44" s="2" t="inlineStr"/>
    </row>
    <row r="45" ht="15" customHeight="1">
      <c r="A45" t="inlineStr">
        <is>
          <t>A 37657-2021</t>
        </is>
      </c>
      <c r="B45" s="1" t="n">
        <v>44400</v>
      </c>
      <c r="C45" s="1" t="n">
        <v>45933</v>
      </c>
      <c r="D45" t="inlineStr">
        <is>
          <t>STOCKHOLMS LÄN</t>
        </is>
      </c>
      <c r="E45" t="inlineStr">
        <is>
          <t>VALLENTUNA</t>
        </is>
      </c>
      <c r="G45" t="n">
        <v>2.9</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45933</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45933</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7085-2022</t>
        </is>
      </c>
      <c r="B48" s="1" t="n">
        <v>44603</v>
      </c>
      <c r="C48" s="1" t="n">
        <v>45933</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48078-2021</t>
        </is>
      </c>
      <c r="B49" s="1" t="n">
        <v>44449.42578703703</v>
      </c>
      <c r="C49" s="1" t="n">
        <v>45933</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46924-2021</t>
        </is>
      </c>
      <c r="B50" s="1" t="n">
        <v>44446</v>
      </c>
      <c r="C50" s="1" t="n">
        <v>45933</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42624-2021</t>
        </is>
      </c>
      <c r="B51" s="1" t="n">
        <v>44428</v>
      </c>
      <c r="C51" s="1" t="n">
        <v>45933</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14480-2024</t>
        </is>
      </c>
      <c r="B52" s="1" t="n">
        <v>45394.56777777777</v>
      </c>
      <c r="C52" s="1" t="n">
        <v>45933</v>
      </c>
      <c r="D52" t="inlineStr">
        <is>
          <t>STOCKHOLMS LÄN</t>
        </is>
      </c>
      <c r="E52" t="inlineStr">
        <is>
          <t>VALLENTUNA</t>
        </is>
      </c>
      <c r="G52" t="n">
        <v>1.8</v>
      </c>
      <c r="H52" t="n">
        <v>0</v>
      </c>
      <c r="I52" t="n">
        <v>0</v>
      </c>
      <c r="J52" t="n">
        <v>0</v>
      </c>
      <c r="K52" t="n">
        <v>0</v>
      </c>
      <c r="L52" t="n">
        <v>0</v>
      </c>
      <c r="M52" t="n">
        <v>0</v>
      </c>
      <c r="N52" t="n">
        <v>0</v>
      </c>
      <c r="O52" t="n">
        <v>0</v>
      </c>
      <c r="P52" t="n">
        <v>0</v>
      </c>
      <c r="Q52" t="n">
        <v>0</v>
      </c>
      <c r="R52" s="2" t="inlineStr"/>
    </row>
    <row r="53" ht="15" customHeight="1">
      <c r="A53" t="inlineStr">
        <is>
          <t>A 24707-2023</t>
        </is>
      </c>
      <c r="B53" s="1" t="n">
        <v>45084</v>
      </c>
      <c r="C53" s="1" t="n">
        <v>45933</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12609-2024</t>
        </is>
      </c>
      <c r="B54" s="1" t="n">
        <v>45382.8109375</v>
      </c>
      <c r="C54" s="1" t="n">
        <v>45933</v>
      </c>
      <c r="D54" t="inlineStr">
        <is>
          <t>STOCKHOLMS LÄN</t>
        </is>
      </c>
      <c r="E54" t="inlineStr">
        <is>
          <t>VALLENTUNA</t>
        </is>
      </c>
      <c r="G54" t="n">
        <v>0.9</v>
      </c>
      <c r="H54" t="n">
        <v>0</v>
      </c>
      <c r="I54" t="n">
        <v>0</v>
      </c>
      <c r="J54" t="n">
        <v>0</v>
      </c>
      <c r="K54" t="n">
        <v>0</v>
      </c>
      <c r="L54" t="n">
        <v>0</v>
      </c>
      <c r="M54" t="n">
        <v>0</v>
      </c>
      <c r="N54" t="n">
        <v>0</v>
      </c>
      <c r="O54" t="n">
        <v>0</v>
      </c>
      <c r="P54" t="n">
        <v>0</v>
      </c>
      <c r="Q54" t="n">
        <v>0</v>
      </c>
      <c r="R54" s="2" t="inlineStr"/>
    </row>
    <row r="55" ht="15" customHeight="1">
      <c r="A55" t="inlineStr">
        <is>
          <t>A 47140-2024</t>
        </is>
      </c>
      <c r="B55" s="1" t="n">
        <v>45586.58753472222</v>
      </c>
      <c r="C55" s="1" t="n">
        <v>45933</v>
      </c>
      <c r="D55" t="inlineStr">
        <is>
          <t>STOCKHOLMS LÄN</t>
        </is>
      </c>
      <c r="E55" t="inlineStr">
        <is>
          <t>VALLENTUNA</t>
        </is>
      </c>
      <c r="G55" t="n">
        <v>1</v>
      </c>
      <c r="H55" t="n">
        <v>0</v>
      </c>
      <c r="I55" t="n">
        <v>0</v>
      </c>
      <c r="J55" t="n">
        <v>0</v>
      </c>
      <c r="K55" t="n">
        <v>0</v>
      </c>
      <c r="L55" t="n">
        <v>0</v>
      </c>
      <c r="M55" t="n">
        <v>0</v>
      </c>
      <c r="N55" t="n">
        <v>0</v>
      </c>
      <c r="O55" t="n">
        <v>0</v>
      </c>
      <c r="P55" t="n">
        <v>0</v>
      </c>
      <c r="Q55" t="n">
        <v>0</v>
      </c>
      <c r="R55" s="2" t="inlineStr"/>
    </row>
    <row r="56" ht="15" customHeight="1">
      <c r="A56" t="inlineStr">
        <is>
          <t>A 30913-2021</t>
        </is>
      </c>
      <c r="B56" s="1" t="n">
        <v>44365</v>
      </c>
      <c r="C56" s="1" t="n">
        <v>45933</v>
      </c>
      <c r="D56" t="inlineStr">
        <is>
          <t>STOCKHOLMS LÄN</t>
        </is>
      </c>
      <c r="E56" t="inlineStr">
        <is>
          <t>VALLENTUNA</t>
        </is>
      </c>
      <c r="F56" t="inlineStr">
        <is>
          <t>Övriga Aktiebolag</t>
        </is>
      </c>
      <c r="G56" t="n">
        <v>3.3</v>
      </c>
      <c r="H56" t="n">
        <v>0</v>
      </c>
      <c r="I56" t="n">
        <v>0</v>
      </c>
      <c r="J56" t="n">
        <v>0</v>
      </c>
      <c r="K56" t="n">
        <v>0</v>
      </c>
      <c r="L56" t="n">
        <v>0</v>
      </c>
      <c r="M56" t="n">
        <v>0</v>
      </c>
      <c r="N56" t="n">
        <v>0</v>
      </c>
      <c r="O56" t="n">
        <v>0</v>
      </c>
      <c r="P56" t="n">
        <v>0</v>
      </c>
      <c r="Q56" t="n">
        <v>0</v>
      </c>
      <c r="R56" s="2" t="inlineStr"/>
    </row>
    <row r="57" ht="15" customHeight="1">
      <c r="A57" t="inlineStr">
        <is>
          <t>A 8565-2025</t>
        </is>
      </c>
      <c r="B57" s="1" t="n">
        <v>45709</v>
      </c>
      <c r="C57" s="1" t="n">
        <v>45933</v>
      </c>
      <c r="D57" t="inlineStr">
        <is>
          <t>STOCKHOLMS LÄN</t>
        </is>
      </c>
      <c r="E57" t="inlineStr">
        <is>
          <t>VALLENTUNA</t>
        </is>
      </c>
      <c r="F57" t="inlineStr">
        <is>
          <t>Kommuner</t>
        </is>
      </c>
      <c r="G57" t="n">
        <v>4.2</v>
      </c>
      <c r="H57" t="n">
        <v>0</v>
      </c>
      <c r="I57" t="n">
        <v>0</v>
      </c>
      <c r="J57" t="n">
        <v>0</v>
      </c>
      <c r="K57" t="n">
        <v>0</v>
      </c>
      <c r="L57" t="n">
        <v>0</v>
      </c>
      <c r="M57" t="n">
        <v>0</v>
      </c>
      <c r="N57" t="n">
        <v>0</v>
      </c>
      <c r="O57" t="n">
        <v>0</v>
      </c>
      <c r="P57" t="n">
        <v>0</v>
      </c>
      <c r="Q57" t="n">
        <v>0</v>
      </c>
      <c r="R57" s="2" t="inlineStr"/>
    </row>
    <row r="58" ht="15" customHeight="1">
      <c r="A58" t="inlineStr">
        <is>
          <t>A 9063-2024</t>
        </is>
      </c>
      <c r="B58" s="1" t="n">
        <v>45357.72652777778</v>
      </c>
      <c r="C58" s="1" t="n">
        <v>45933</v>
      </c>
      <c r="D58" t="inlineStr">
        <is>
          <t>STOCKHOLMS LÄN</t>
        </is>
      </c>
      <c r="E58" t="inlineStr">
        <is>
          <t>VALLENTUNA</t>
        </is>
      </c>
      <c r="G58" t="n">
        <v>4.1</v>
      </c>
      <c r="H58" t="n">
        <v>0</v>
      </c>
      <c r="I58" t="n">
        <v>0</v>
      </c>
      <c r="J58" t="n">
        <v>0</v>
      </c>
      <c r="K58" t="n">
        <v>0</v>
      </c>
      <c r="L58" t="n">
        <v>0</v>
      </c>
      <c r="M58" t="n">
        <v>0</v>
      </c>
      <c r="N58" t="n">
        <v>0</v>
      </c>
      <c r="O58" t="n">
        <v>0</v>
      </c>
      <c r="P58" t="n">
        <v>0</v>
      </c>
      <c r="Q58" t="n">
        <v>0</v>
      </c>
      <c r="R58" s="2" t="inlineStr"/>
    </row>
    <row r="59" ht="15" customHeight="1">
      <c r="A59" t="inlineStr">
        <is>
          <t>A 48068-2021</t>
        </is>
      </c>
      <c r="B59" s="1" t="n">
        <v>44449.42270833333</v>
      </c>
      <c r="C59" s="1" t="n">
        <v>45933</v>
      </c>
      <c r="D59" t="inlineStr">
        <is>
          <t>STOCKHOLMS LÄN</t>
        </is>
      </c>
      <c r="E59" t="inlineStr">
        <is>
          <t>VALLENTUNA</t>
        </is>
      </c>
      <c r="G59" t="n">
        <v>1.3</v>
      </c>
      <c r="H59" t="n">
        <v>0</v>
      </c>
      <c r="I59" t="n">
        <v>0</v>
      </c>
      <c r="J59" t="n">
        <v>0</v>
      </c>
      <c r="K59" t="n">
        <v>0</v>
      </c>
      <c r="L59" t="n">
        <v>0</v>
      </c>
      <c r="M59" t="n">
        <v>0</v>
      </c>
      <c r="N59" t="n">
        <v>0</v>
      </c>
      <c r="O59" t="n">
        <v>0</v>
      </c>
      <c r="P59" t="n">
        <v>0</v>
      </c>
      <c r="Q59" t="n">
        <v>0</v>
      </c>
      <c r="R59" s="2" t="inlineStr"/>
    </row>
    <row r="60" ht="15" customHeight="1">
      <c r="A60" t="inlineStr">
        <is>
          <t>A 49530-2023</t>
        </is>
      </c>
      <c r="B60" s="1" t="n">
        <v>45205</v>
      </c>
      <c r="C60" s="1" t="n">
        <v>45933</v>
      </c>
      <c r="D60" t="inlineStr">
        <is>
          <t>STOCKHOLMS LÄN</t>
        </is>
      </c>
      <c r="E60" t="inlineStr">
        <is>
          <t>VALLENTUNA</t>
        </is>
      </c>
      <c r="G60" t="n">
        <v>1.2</v>
      </c>
      <c r="H60" t="n">
        <v>0</v>
      </c>
      <c r="I60" t="n">
        <v>0</v>
      </c>
      <c r="J60" t="n">
        <v>0</v>
      </c>
      <c r="K60" t="n">
        <v>0</v>
      </c>
      <c r="L60" t="n">
        <v>0</v>
      </c>
      <c r="M60" t="n">
        <v>0</v>
      </c>
      <c r="N60" t="n">
        <v>0</v>
      </c>
      <c r="O60" t="n">
        <v>0</v>
      </c>
      <c r="P60" t="n">
        <v>0</v>
      </c>
      <c r="Q60" t="n">
        <v>0</v>
      </c>
      <c r="R60" s="2" t="inlineStr"/>
    </row>
    <row r="61" ht="15" customHeight="1">
      <c r="A61" t="inlineStr">
        <is>
          <t>A 3937-2022</t>
        </is>
      </c>
      <c r="B61" s="1" t="n">
        <v>44587</v>
      </c>
      <c r="C61" s="1" t="n">
        <v>45933</v>
      </c>
      <c r="D61" t="inlineStr">
        <is>
          <t>STOCKHOLMS LÄN</t>
        </is>
      </c>
      <c r="E61" t="inlineStr">
        <is>
          <t>VALLENTUNA</t>
        </is>
      </c>
      <c r="G61" t="n">
        <v>6.6</v>
      </c>
      <c r="H61" t="n">
        <v>0</v>
      </c>
      <c r="I61" t="n">
        <v>0</v>
      </c>
      <c r="J61" t="n">
        <v>0</v>
      </c>
      <c r="K61" t="n">
        <v>0</v>
      </c>
      <c r="L61" t="n">
        <v>0</v>
      </c>
      <c r="M61" t="n">
        <v>0</v>
      </c>
      <c r="N61" t="n">
        <v>0</v>
      </c>
      <c r="O61" t="n">
        <v>0</v>
      </c>
      <c r="P61" t="n">
        <v>0</v>
      </c>
      <c r="Q61" t="n">
        <v>0</v>
      </c>
      <c r="R61" s="2" t="inlineStr"/>
    </row>
    <row r="62" ht="15" customHeight="1">
      <c r="A62" t="inlineStr">
        <is>
          <t>A 4803-2024</t>
        </is>
      </c>
      <c r="B62" s="1" t="n">
        <v>45328</v>
      </c>
      <c r="C62" s="1" t="n">
        <v>45933</v>
      </c>
      <c r="D62" t="inlineStr">
        <is>
          <t>STOCKHOLMS LÄN</t>
        </is>
      </c>
      <c r="E62" t="inlineStr">
        <is>
          <t>VALLENTUNA</t>
        </is>
      </c>
      <c r="G62" t="n">
        <v>4.6</v>
      </c>
      <c r="H62" t="n">
        <v>0</v>
      </c>
      <c r="I62" t="n">
        <v>0</v>
      </c>
      <c r="J62" t="n">
        <v>0</v>
      </c>
      <c r="K62" t="n">
        <v>0</v>
      </c>
      <c r="L62" t="n">
        <v>0</v>
      </c>
      <c r="M62" t="n">
        <v>0</v>
      </c>
      <c r="N62" t="n">
        <v>0</v>
      </c>
      <c r="O62" t="n">
        <v>0</v>
      </c>
      <c r="P62" t="n">
        <v>0</v>
      </c>
      <c r="Q62" t="n">
        <v>0</v>
      </c>
      <c r="R62" s="2" t="inlineStr"/>
    </row>
    <row r="63" ht="15" customHeight="1">
      <c r="A63" t="inlineStr">
        <is>
          <t>A 24994-2021</t>
        </is>
      </c>
      <c r="B63" s="1" t="n">
        <v>44341</v>
      </c>
      <c r="C63" s="1" t="n">
        <v>45933</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60818-2023</t>
        </is>
      </c>
      <c r="B64" s="1" t="n">
        <v>45259</v>
      </c>
      <c r="C64" s="1" t="n">
        <v>45933</v>
      </c>
      <c r="D64" t="inlineStr">
        <is>
          <t>STOCKHOLMS LÄN</t>
        </is>
      </c>
      <c r="E64" t="inlineStr">
        <is>
          <t>VALLENTUNA</t>
        </is>
      </c>
      <c r="G64" t="n">
        <v>9.4</v>
      </c>
      <c r="H64" t="n">
        <v>0</v>
      </c>
      <c r="I64" t="n">
        <v>0</v>
      </c>
      <c r="J64" t="n">
        <v>0</v>
      </c>
      <c r="K64" t="n">
        <v>0</v>
      </c>
      <c r="L64" t="n">
        <v>0</v>
      </c>
      <c r="M64" t="n">
        <v>0</v>
      </c>
      <c r="N64" t="n">
        <v>0</v>
      </c>
      <c r="O64" t="n">
        <v>0</v>
      </c>
      <c r="P64" t="n">
        <v>0</v>
      </c>
      <c r="Q64" t="n">
        <v>0</v>
      </c>
      <c r="R64" s="2" t="inlineStr"/>
    </row>
    <row r="65" ht="15" customHeight="1">
      <c r="A65" t="inlineStr">
        <is>
          <t>A 52542-2023</t>
        </is>
      </c>
      <c r="B65" s="1" t="n">
        <v>45225</v>
      </c>
      <c r="C65" s="1" t="n">
        <v>45933</v>
      </c>
      <c r="D65" t="inlineStr">
        <is>
          <t>STOCKHOLMS LÄN</t>
        </is>
      </c>
      <c r="E65" t="inlineStr">
        <is>
          <t>VALLENTUNA</t>
        </is>
      </c>
      <c r="G65" t="n">
        <v>3.8</v>
      </c>
      <c r="H65" t="n">
        <v>0</v>
      </c>
      <c r="I65" t="n">
        <v>0</v>
      </c>
      <c r="J65" t="n">
        <v>0</v>
      </c>
      <c r="K65" t="n">
        <v>0</v>
      </c>
      <c r="L65" t="n">
        <v>0</v>
      </c>
      <c r="M65" t="n">
        <v>0</v>
      </c>
      <c r="N65" t="n">
        <v>0</v>
      </c>
      <c r="O65" t="n">
        <v>0</v>
      </c>
      <c r="P65" t="n">
        <v>0</v>
      </c>
      <c r="Q65" t="n">
        <v>0</v>
      </c>
      <c r="R65" s="2" t="inlineStr"/>
    </row>
    <row r="66" ht="15" customHeight="1">
      <c r="A66" t="inlineStr">
        <is>
          <t>A 52989-2023</t>
        </is>
      </c>
      <c r="B66" s="1" t="n">
        <v>45226</v>
      </c>
      <c r="C66" s="1" t="n">
        <v>45933</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30902-2025</t>
        </is>
      </c>
      <c r="B67" s="1" t="n">
        <v>45832.36104166666</v>
      </c>
      <c r="C67" s="1" t="n">
        <v>45933</v>
      </c>
      <c r="D67" t="inlineStr">
        <is>
          <t>STOCKHOLMS LÄN</t>
        </is>
      </c>
      <c r="E67" t="inlineStr">
        <is>
          <t>VALLENTUNA</t>
        </is>
      </c>
      <c r="G67" t="n">
        <v>8.199999999999999</v>
      </c>
      <c r="H67" t="n">
        <v>0</v>
      </c>
      <c r="I67" t="n">
        <v>0</v>
      </c>
      <c r="J67" t="n">
        <v>0</v>
      </c>
      <c r="K67" t="n">
        <v>0</v>
      </c>
      <c r="L67" t="n">
        <v>0</v>
      </c>
      <c r="M67" t="n">
        <v>0</v>
      </c>
      <c r="N67" t="n">
        <v>0</v>
      </c>
      <c r="O67" t="n">
        <v>0</v>
      </c>
      <c r="P67" t="n">
        <v>0</v>
      </c>
      <c r="Q67" t="n">
        <v>0</v>
      </c>
      <c r="R67" s="2" t="inlineStr"/>
    </row>
    <row r="68" ht="15" customHeight="1">
      <c r="A68" t="inlineStr">
        <is>
          <t>A 21612-2021</t>
        </is>
      </c>
      <c r="B68" s="1" t="n">
        <v>44321</v>
      </c>
      <c r="C68" s="1" t="n">
        <v>45933</v>
      </c>
      <c r="D68" t="inlineStr">
        <is>
          <t>STOCKHOLMS LÄN</t>
        </is>
      </c>
      <c r="E68" t="inlineStr">
        <is>
          <t>VALLENTUNA</t>
        </is>
      </c>
      <c r="G68" t="n">
        <v>1.4</v>
      </c>
      <c r="H68" t="n">
        <v>0</v>
      </c>
      <c r="I68" t="n">
        <v>0</v>
      </c>
      <c r="J68" t="n">
        <v>0</v>
      </c>
      <c r="K68" t="n">
        <v>0</v>
      </c>
      <c r="L68" t="n">
        <v>0</v>
      </c>
      <c r="M68" t="n">
        <v>0</v>
      </c>
      <c r="N68" t="n">
        <v>0</v>
      </c>
      <c r="O68" t="n">
        <v>0</v>
      </c>
      <c r="P68" t="n">
        <v>0</v>
      </c>
      <c r="Q68" t="n">
        <v>0</v>
      </c>
      <c r="R68" s="2" t="inlineStr"/>
    </row>
    <row r="69" ht="15" customHeight="1">
      <c r="A69" t="inlineStr">
        <is>
          <t>A 3078-2023</t>
        </is>
      </c>
      <c r="B69" s="1" t="n">
        <v>44946.41527777778</v>
      </c>
      <c r="C69" s="1" t="n">
        <v>45933</v>
      </c>
      <c r="D69" t="inlineStr">
        <is>
          <t>STOCKHOLMS LÄN</t>
        </is>
      </c>
      <c r="E69" t="inlineStr">
        <is>
          <t>VALLENTUNA</t>
        </is>
      </c>
      <c r="G69" t="n">
        <v>3.9</v>
      </c>
      <c r="H69" t="n">
        <v>0</v>
      </c>
      <c r="I69" t="n">
        <v>0</v>
      </c>
      <c r="J69" t="n">
        <v>0</v>
      </c>
      <c r="K69" t="n">
        <v>0</v>
      </c>
      <c r="L69" t="n">
        <v>0</v>
      </c>
      <c r="M69" t="n">
        <v>0</v>
      </c>
      <c r="N69" t="n">
        <v>0</v>
      </c>
      <c r="O69" t="n">
        <v>0</v>
      </c>
      <c r="P69" t="n">
        <v>0</v>
      </c>
      <c r="Q69" t="n">
        <v>0</v>
      </c>
      <c r="R69" s="2" t="inlineStr"/>
    </row>
    <row r="70" ht="15" customHeight="1">
      <c r="A70" t="inlineStr">
        <is>
          <t>A 7264-2022</t>
        </is>
      </c>
      <c r="B70" s="1" t="n">
        <v>44606</v>
      </c>
      <c r="C70" s="1" t="n">
        <v>45933</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60795-2023</t>
        </is>
      </c>
      <c r="B71" s="1" t="n">
        <v>45260</v>
      </c>
      <c r="C71" s="1" t="n">
        <v>45933</v>
      </c>
      <c r="D71" t="inlineStr">
        <is>
          <t>STOCKHOLMS LÄN</t>
        </is>
      </c>
      <c r="E71" t="inlineStr">
        <is>
          <t>VALLENTUNA</t>
        </is>
      </c>
      <c r="G71" t="n">
        <v>2.2</v>
      </c>
      <c r="H71" t="n">
        <v>0</v>
      </c>
      <c r="I71" t="n">
        <v>0</v>
      </c>
      <c r="J71" t="n">
        <v>0</v>
      </c>
      <c r="K71" t="n">
        <v>0</v>
      </c>
      <c r="L71" t="n">
        <v>0</v>
      </c>
      <c r="M71" t="n">
        <v>0</v>
      </c>
      <c r="N71" t="n">
        <v>0</v>
      </c>
      <c r="O71" t="n">
        <v>0</v>
      </c>
      <c r="P71" t="n">
        <v>0</v>
      </c>
      <c r="Q71" t="n">
        <v>0</v>
      </c>
      <c r="R71" s="2" t="inlineStr"/>
    </row>
    <row r="72" ht="15" customHeight="1">
      <c r="A72" t="inlineStr">
        <is>
          <t>A 68935-2020</t>
        </is>
      </c>
      <c r="B72" s="1" t="n">
        <v>44187</v>
      </c>
      <c r="C72" s="1" t="n">
        <v>45933</v>
      </c>
      <c r="D72" t="inlineStr">
        <is>
          <t>STOCKHOLMS LÄN</t>
        </is>
      </c>
      <c r="E72" t="inlineStr">
        <is>
          <t>VALLENTUNA</t>
        </is>
      </c>
      <c r="G72" t="n">
        <v>7.8</v>
      </c>
      <c r="H72" t="n">
        <v>0</v>
      </c>
      <c r="I72" t="n">
        <v>0</v>
      </c>
      <c r="J72" t="n">
        <v>0</v>
      </c>
      <c r="K72" t="n">
        <v>0</v>
      </c>
      <c r="L72" t="n">
        <v>0</v>
      </c>
      <c r="M72" t="n">
        <v>0</v>
      </c>
      <c r="N72" t="n">
        <v>0</v>
      </c>
      <c r="O72" t="n">
        <v>0</v>
      </c>
      <c r="P72" t="n">
        <v>0</v>
      </c>
      <c r="Q72" t="n">
        <v>0</v>
      </c>
      <c r="R72" s="2" t="inlineStr"/>
    </row>
    <row r="73" ht="15" customHeight="1">
      <c r="A73" t="inlineStr">
        <is>
          <t>A 28431-2025</t>
        </is>
      </c>
      <c r="B73" s="1" t="n">
        <v>45819.38072916667</v>
      </c>
      <c r="C73" s="1" t="n">
        <v>45933</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19356-2025</t>
        </is>
      </c>
      <c r="B74" s="1" t="n">
        <v>45769.62061342593</v>
      </c>
      <c r="C74" s="1" t="n">
        <v>45933</v>
      </c>
      <c r="D74" t="inlineStr">
        <is>
          <t>STOCKHOLMS LÄN</t>
        </is>
      </c>
      <c r="E74" t="inlineStr">
        <is>
          <t>VALLENTUNA</t>
        </is>
      </c>
      <c r="F74" t="inlineStr">
        <is>
          <t>Övriga Aktiebolag</t>
        </is>
      </c>
      <c r="G74" t="n">
        <v>1.6</v>
      </c>
      <c r="H74" t="n">
        <v>0</v>
      </c>
      <c r="I74" t="n">
        <v>0</v>
      </c>
      <c r="J74" t="n">
        <v>0</v>
      </c>
      <c r="K74" t="n">
        <v>0</v>
      </c>
      <c r="L74" t="n">
        <v>0</v>
      </c>
      <c r="M74" t="n">
        <v>0</v>
      </c>
      <c r="N74" t="n">
        <v>0</v>
      </c>
      <c r="O74" t="n">
        <v>0</v>
      </c>
      <c r="P74" t="n">
        <v>0</v>
      </c>
      <c r="Q74" t="n">
        <v>0</v>
      </c>
      <c r="R74" s="2" t="inlineStr"/>
    </row>
    <row r="75" ht="15" customHeight="1">
      <c r="A75" t="inlineStr">
        <is>
          <t>A 12562-2023</t>
        </is>
      </c>
      <c r="B75" s="1" t="n">
        <v>45000</v>
      </c>
      <c r="C75" s="1" t="n">
        <v>45933</v>
      </c>
      <c r="D75" t="inlineStr">
        <is>
          <t>STOCKHOLMS LÄN</t>
        </is>
      </c>
      <c r="E75" t="inlineStr">
        <is>
          <t>VALLENTUNA</t>
        </is>
      </c>
      <c r="G75" t="n">
        <v>2.1</v>
      </c>
      <c r="H75" t="n">
        <v>0</v>
      </c>
      <c r="I75" t="n">
        <v>0</v>
      </c>
      <c r="J75" t="n">
        <v>0</v>
      </c>
      <c r="K75" t="n">
        <v>0</v>
      </c>
      <c r="L75" t="n">
        <v>0</v>
      </c>
      <c r="M75" t="n">
        <v>0</v>
      </c>
      <c r="N75" t="n">
        <v>0</v>
      </c>
      <c r="O75" t="n">
        <v>0</v>
      </c>
      <c r="P75" t="n">
        <v>0</v>
      </c>
      <c r="Q75" t="n">
        <v>0</v>
      </c>
      <c r="R75" s="2" t="inlineStr"/>
    </row>
    <row r="76" ht="15" customHeight="1">
      <c r="A76" t="inlineStr">
        <is>
          <t>A 61655-2020</t>
        </is>
      </c>
      <c r="B76" s="1" t="n">
        <v>44158</v>
      </c>
      <c r="C76" s="1" t="n">
        <v>45933</v>
      </c>
      <c r="D76" t="inlineStr">
        <is>
          <t>STOCKHOLMS LÄN</t>
        </is>
      </c>
      <c r="E76" t="inlineStr">
        <is>
          <t>VALLENTUNA</t>
        </is>
      </c>
      <c r="G76" t="n">
        <v>1.6</v>
      </c>
      <c r="H76" t="n">
        <v>0</v>
      </c>
      <c r="I76" t="n">
        <v>0</v>
      </c>
      <c r="J76" t="n">
        <v>0</v>
      </c>
      <c r="K76" t="n">
        <v>0</v>
      </c>
      <c r="L76" t="n">
        <v>0</v>
      </c>
      <c r="M76" t="n">
        <v>0</v>
      </c>
      <c r="N76" t="n">
        <v>0</v>
      </c>
      <c r="O76" t="n">
        <v>0</v>
      </c>
      <c r="P76" t="n">
        <v>0</v>
      </c>
      <c r="Q76" t="n">
        <v>0</v>
      </c>
      <c r="R76" s="2" t="inlineStr"/>
    </row>
    <row r="77" ht="15" customHeight="1">
      <c r="A77" t="inlineStr">
        <is>
          <t>A 11950-2025</t>
        </is>
      </c>
      <c r="B77" s="1" t="n">
        <v>45728.55622685186</v>
      </c>
      <c r="C77" s="1" t="n">
        <v>45933</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45933</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14489-2024</t>
        </is>
      </c>
      <c r="B79" s="1" t="n">
        <v>45394.58053240741</v>
      </c>
      <c r="C79" s="1" t="n">
        <v>45933</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45933</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41206-2025</t>
        </is>
      </c>
      <c r="B81" s="1" t="n">
        <v>45898</v>
      </c>
      <c r="C81" s="1" t="n">
        <v>45933</v>
      </c>
      <c r="D81" t="inlineStr">
        <is>
          <t>STOCKHOLMS LÄN</t>
        </is>
      </c>
      <c r="E81" t="inlineStr">
        <is>
          <t>VALLENTUNA</t>
        </is>
      </c>
      <c r="G81" t="n">
        <v>10</v>
      </c>
      <c r="H81" t="n">
        <v>0</v>
      </c>
      <c r="I81" t="n">
        <v>0</v>
      </c>
      <c r="J81" t="n">
        <v>0</v>
      </c>
      <c r="K81" t="n">
        <v>0</v>
      </c>
      <c r="L81" t="n">
        <v>0</v>
      </c>
      <c r="M81" t="n">
        <v>0</v>
      </c>
      <c r="N81" t="n">
        <v>0</v>
      </c>
      <c r="O81" t="n">
        <v>0</v>
      </c>
      <c r="P81" t="n">
        <v>0</v>
      </c>
      <c r="Q81" t="n">
        <v>0</v>
      </c>
      <c r="R81" s="2" t="inlineStr"/>
    </row>
    <row r="82" ht="15" customHeight="1">
      <c r="A82" t="inlineStr">
        <is>
          <t>A 24068-2024</t>
        </is>
      </c>
      <c r="B82" s="1" t="n">
        <v>45456</v>
      </c>
      <c r="C82" s="1" t="n">
        <v>45933</v>
      </c>
      <c r="D82" t="inlineStr">
        <is>
          <t>STOCKHOLMS LÄN</t>
        </is>
      </c>
      <c r="E82" t="inlineStr">
        <is>
          <t>VALLENTUNA</t>
        </is>
      </c>
      <c r="G82" t="n">
        <v>7.4</v>
      </c>
      <c r="H82" t="n">
        <v>0</v>
      </c>
      <c r="I82" t="n">
        <v>0</v>
      </c>
      <c r="J82" t="n">
        <v>0</v>
      </c>
      <c r="K82" t="n">
        <v>0</v>
      </c>
      <c r="L82" t="n">
        <v>0</v>
      </c>
      <c r="M82" t="n">
        <v>0</v>
      </c>
      <c r="N82" t="n">
        <v>0</v>
      </c>
      <c r="O82" t="n">
        <v>0</v>
      </c>
      <c r="P82" t="n">
        <v>0</v>
      </c>
      <c r="Q82" t="n">
        <v>0</v>
      </c>
      <c r="R82" s="2" t="inlineStr"/>
    </row>
    <row r="83" ht="15" customHeight="1">
      <c r="A83" t="inlineStr">
        <is>
          <t>A 52562-2023</t>
        </is>
      </c>
      <c r="B83" s="1" t="n">
        <v>45225</v>
      </c>
      <c r="C83" s="1" t="n">
        <v>45933</v>
      </c>
      <c r="D83" t="inlineStr">
        <is>
          <t>STOCKHOLMS LÄN</t>
        </is>
      </c>
      <c r="E83" t="inlineStr">
        <is>
          <t>VALLENTUNA</t>
        </is>
      </c>
      <c r="G83" t="n">
        <v>3.4</v>
      </c>
      <c r="H83" t="n">
        <v>0</v>
      </c>
      <c r="I83" t="n">
        <v>0</v>
      </c>
      <c r="J83" t="n">
        <v>0</v>
      </c>
      <c r="K83" t="n">
        <v>0</v>
      </c>
      <c r="L83" t="n">
        <v>0</v>
      </c>
      <c r="M83" t="n">
        <v>0</v>
      </c>
      <c r="N83" t="n">
        <v>0</v>
      </c>
      <c r="O83" t="n">
        <v>0</v>
      </c>
      <c r="P83" t="n">
        <v>0</v>
      </c>
      <c r="Q83" t="n">
        <v>0</v>
      </c>
      <c r="R83" s="2" t="inlineStr"/>
    </row>
    <row r="84" ht="15" customHeight="1">
      <c r="A84" t="inlineStr">
        <is>
          <t>A 42613-2025</t>
        </is>
      </c>
      <c r="B84" s="1" t="n">
        <v>45905.70616898148</v>
      </c>
      <c r="C84" s="1" t="n">
        <v>45933</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61442-2024</t>
        </is>
      </c>
      <c r="B85" s="1" t="n">
        <v>45646.47003472222</v>
      </c>
      <c r="C85" s="1" t="n">
        <v>45933</v>
      </c>
      <c r="D85" t="inlineStr">
        <is>
          <t>STOCKHOLMS LÄN</t>
        </is>
      </c>
      <c r="E85" t="inlineStr">
        <is>
          <t>VALLENTUNA</t>
        </is>
      </c>
      <c r="G85" t="n">
        <v>4.6</v>
      </c>
      <c r="H85" t="n">
        <v>0</v>
      </c>
      <c r="I85" t="n">
        <v>0</v>
      </c>
      <c r="J85" t="n">
        <v>0</v>
      </c>
      <c r="K85" t="n">
        <v>0</v>
      </c>
      <c r="L85" t="n">
        <v>0</v>
      </c>
      <c r="M85" t="n">
        <v>0</v>
      </c>
      <c r="N85" t="n">
        <v>0</v>
      </c>
      <c r="O85" t="n">
        <v>0</v>
      </c>
      <c r="P85" t="n">
        <v>0</v>
      </c>
      <c r="Q85" t="n">
        <v>0</v>
      </c>
      <c r="R85" s="2" t="inlineStr"/>
    </row>
    <row r="86" ht="15" customHeight="1">
      <c r="A86" t="inlineStr">
        <is>
          <t>A 4804-2024</t>
        </is>
      </c>
      <c r="B86" s="1" t="n">
        <v>45328</v>
      </c>
      <c r="C86" s="1" t="n">
        <v>45933</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44988-2025</t>
        </is>
      </c>
      <c r="B87" s="1" t="n">
        <v>45918.65505787037</v>
      </c>
      <c r="C87" s="1" t="n">
        <v>45933</v>
      </c>
      <c r="D87" t="inlineStr">
        <is>
          <t>STOCKHOLMS LÄN</t>
        </is>
      </c>
      <c r="E87" t="inlineStr">
        <is>
          <t>VALLENTUNA</t>
        </is>
      </c>
      <c r="G87" t="n">
        <v>1</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45933</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23013-2024</t>
        </is>
      </c>
      <c r="B89" s="1" t="n">
        <v>45450.35116898148</v>
      </c>
      <c r="C89" s="1" t="n">
        <v>45933</v>
      </c>
      <c r="D89" t="inlineStr">
        <is>
          <t>STOCKHOLMS LÄN</t>
        </is>
      </c>
      <c r="E89" t="inlineStr">
        <is>
          <t>VALLENTUNA</t>
        </is>
      </c>
      <c r="G89" t="n">
        <v>0.4</v>
      </c>
      <c r="H89" t="n">
        <v>0</v>
      </c>
      <c r="I89" t="n">
        <v>0</v>
      </c>
      <c r="J89" t="n">
        <v>0</v>
      </c>
      <c r="K89" t="n">
        <v>0</v>
      </c>
      <c r="L89" t="n">
        <v>0</v>
      </c>
      <c r="M89" t="n">
        <v>0</v>
      </c>
      <c r="N89" t="n">
        <v>0</v>
      </c>
      <c r="O89" t="n">
        <v>0</v>
      </c>
      <c r="P89" t="n">
        <v>0</v>
      </c>
      <c r="Q89" t="n">
        <v>0</v>
      </c>
      <c r="R89" s="2" t="inlineStr"/>
    </row>
    <row r="90" ht="15" customHeight="1">
      <c r="A90" t="inlineStr">
        <is>
          <t>A 2318-2024</t>
        </is>
      </c>
      <c r="B90" s="1" t="n">
        <v>45310</v>
      </c>
      <c r="C90" s="1" t="n">
        <v>45933</v>
      </c>
      <c r="D90" t="inlineStr">
        <is>
          <t>STOCKHOLMS LÄN</t>
        </is>
      </c>
      <c r="E90" t="inlineStr">
        <is>
          <t>VALLENTUNA</t>
        </is>
      </c>
      <c r="G90" t="n">
        <v>2.2</v>
      </c>
      <c r="H90" t="n">
        <v>0</v>
      </c>
      <c r="I90" t="n">
        <v>0</v>
      </c>
      <c r="J90" t="n">
        <v>0</v>
      </c>
      <c r="K90" t="n">
        <v>0</v>
      </c>
      <c r="L90" t="n">
        <v>0</v>
      </c>
      <c r="M90" t="n">
        <v>0</v>
      </c>
      <c r="N90" t="n">
        <v>0</v>
      </c>
      <c r="O90" t="n">
        <v>0</v>
      </c>
      <c r="P90" t="n">
        <v>0</v>
      </c>
      <c r="Q90" t="n">
        <v>0</v>
      </c>
      <c r="R90" s="2" t="inlineStr"/>
    </row>
    <row r="91" ht="15" customHeight="1">
      <c r="A91" t="inlineStr">
        <is>
          <t>A 48014-2025</t>
        </is>
      </c>
      <c r="B91" s="1" t="n">
        <v>45932.64520833334</v>
      </c>
      <c r="C91" s="1" t="n">
        <v>45933</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48040-2025</t>
        </is>
      </c>
      <c r="B92" s="1" t="n">
        <v>45932.6628125</v>
      </c>
      <c r="C92" s="1" t="n">
        <v>45933</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48038-2025</t>
        </is>
      </c>
      <c r="B93" s="1" t="n">
        <v>45932.66008101852</v>
      </c>
      <c r="C93" s="1" t="n">
        <v>45933</v>
      </c>
      <c r="D93" t="inlineStr">
        <is>
          <t>STOCKHOLMS LÄN</t>
        </is>
      </c>
      <c r="E93" t="inlineStr">
        <is>
          <t>VALLENTUNA</t>
        </is>
      </c>
      <c r="G93" t="n">
        <v>0.5</v>
      </c>
      <c r="H93" t="n">
        <v>0</v>
      </c>
      <c r="I93" t="n">
        <v>0</v>
      </c>
      <c r="J93" t="n">
        <v>0</v>
      </c>
      <c r="K93" t="n">
        <v>0</v>
      </c>
      <c r="L93" t="n">
        <v>0</v>
      </c>
      <c r="M93" t="n">
        <v>0</v>
      </c>
      <c r="N93" t="n">
        <v>0</v>
      </c>
      <c r="O93" t="n">
        <v>0</v>
      </c>
      <c r="P93" t="n">
        <v>0</v>
      </c>
      <c r="Q93" t="n">
        <v>0</v>
      </c>
      <c r="R93" s="2" t="inlineStr"/>
    </row>
    <row r="94" ht="15" customHeight="1">
      <c r="A94" t="inlineStr">
        <is>
          <t>A 48717-2024</t>
        </is>
      </c>
      <c r="B94" s="1" t="n">
        <v>45593</v>
      </c>
      <c r="C94" s="1" t="n">
        <v>45933</v>
      </c>
      <c r="D94" t="inlineStr">
        <is>
          <t>STOCKHOLMS LÄN</t>
        </is>
      </c>
      <c r="E94" t="inlineStr">
        <is>
          <t>VALLENTUNA</t>
        </is>
      </c>
      <c r="G94" t="n">
        <v>6.2</v>
      </c>
      <c r="H94" t="n">
        <v>0</v>
      </c>
      <c r="I94" t="n">
        <v>0</v>
      </c>
      <c r="J94" t="n">
        <v>0</v>
      </c>
      <c r="K94" t="n">
        <v>0</v>
      </c>
      <c r="L94" t="n">
        <v>0</v>
      </c>
      <c r="M94" t="n">
        <v>0</v>
      </c>
      <c r="N94" t="n">
        <v>0</v>
      </c>
      <c r="O94" t="n">
        <v>0</v>
      </c>
      <c r="P94" t="n">
        <v>0</v>
      </c>
      <c r="Q94" t="n">
        <v>0</v>
      </c>
      <c r="R94" s="2" t="inlineStr"/>
    </row>
    <row r="95" ht="15" customHeight="1">
      <c r="A95" t="inlineStr">
        <is>
          <t>A 19503-2023</t>
        </is>
      </c>
      <c r="B95" s="1" t="n">
        <v>45050.47333333334</v>
      </c>
      <c r="C95" s="1" t="n">
        <v>45933</v>
      </c>
      <c r="D95" t="inlineStr">
        <is>
          <t>STOCKHOLMS LÄN</t>
        </is>
      </c>
      <c r="E95" t="inlineStr">
        <is>
          <t>VALLENTUNA</t>
        </is>
      </c>
      <c r="G95" t="n">
        <v>0.7</v>
      </c>
      <c r="H95" t="n">
        <v>0</v>
      </c>
      <c r="I95" t="n">
        <v>0</v>
      </c>
      <c r="J95" t="n">
        <v>0</v>
      </c>
      <c r="K95" t="n">
        <v>0</v>
      </c>
      <c r="L95" t="n">
        <v>0</v>
      </c>
      <c r="M95" t="n">
        <v>0</v>
      </c>
      <c r="N95" t="n">
        <v>0</v>
      </c>
      <c r="O95" t="n">
        <v>0</v>
      </c>
      <c r="P95" t="n">
        <v>0</v>
      </c>
      <c r="Q95" t="n">
        <v>0</v>
      </c>
      <c r="R95" s="2" t="inlineStr"/>
    </row>
    <row r="96" ht="15" customHeight="1">
      <c r="A96" t="inlineStr">
        <is>
          <t>A 44346-2021</t>
        </is>
      </c>
      <c r="B96" s="1" t="n">
        <v>44434</v>
      </c>
      <c r="C96" s="1" t="n">
        <v>45933</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21445-2023</t>
        </is>
      </c>
      <c r="B97" s="1" t="n">
        <v>45063</v>
      </c>
      <c r="C97" s="1" t="n">
        <v>45933</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22683-2023</t>
        </is>
      </c>
      <c r="B98" s="1" t="n">
        <v>45071</v>
      </c>
      <c r="C98" s="1" t="n">
        <v>45933</v>
      </c>
      <c r="D98" t="inlineStr">
        <is>
          <t>STOCKHOLMS LÄN</t>
        </is>
      </c>
      <c r="E98" t="inlineStr">
        <is>
          <t>VALLENTUNA</t>
        </is>
      </c>
      <c r="G98" t="n">
        <v>1.2</v>
      </c>
      <c r="H98" t="n">
        <v>0</v>
      </c>
      <c r="I98" t="n">
        <v>0</v>
      </c>
      <c r="J98" t="n">
        <v>0</v>
      </c>
      <c r="K98" t="n">
        <v>0</v>
      </c>
      <c r="L98" t="n">
        <v>0</v>
      </c>
      <c r="M98" t="n">
        <v>0</v>
      </c>
      <c r="N98" t="n">
        <v>0</v>
      </c>
      <c r="O98" t="n">
        <v>0</v>
      </c>
      <c r="P98" t="n">
        <v>0</v>
      </c>
      <c r="Q98" t="n">
        <v>0</v>
      </c>
      <c r="R98" s="2" t="inlineStr"/>
    </row>
    <row r="99" ht="15" customHeight="1">
      <c r="A99" t="inlineStr">
        <is>
          <t>A 61742-2022</t>
        </is>
      </c>
      <c r="B99" s="1" t="n">
        <v>44917</v>
      </c>
      <c r="C99" s="1" t="n">
        <v>45933</v>
      </c>
      <c r="D99" t="inlineStr">
        <is>
          <t>STOCKHOLMS LÄN</t>
        </is>
      </c>
      <c r="E99" t="inlineStr">
        <is>
          <t>VALLENTUNA</t>
        </is>
      </c>
      <c r="G99" t="n">
        <v>0.5</v>
      </c>
      <c r="H99" t="n">
        <v>0</v>
      </c>
      <c r="I99" t="n">
        <v>0</v>
      </c>
      <c r="J99" t="n">
        <v>0</v>
      </c>
      <c r="K99" t="n">
        <v>0</v>
      </c>
      <c r="L99" t="n">
        <v>0</v>
      </c>
      <c r="M99" t="n">
        <v>0</v>
      </c>
      <c r="N99" t="n">
        <v>0</v>
      </c>
      <c r="O99" t="n">
        <v>0</v>
      </c>
      <c r="P99" t="n">
        <v>0</v>
      </c>
      <c r="Q99" t="n">
        <v>0</v>
      </c>
      <c r="R99" s="2" t="inlineStr"/>
    </row>
    <row r="100" ht="15" customHeight="1">
      <c r="A100" t="inlineStr">
        <is>
          <t>A 24943-2024</t>
        </is>
      </c>
      <c r="B100" s="1" t="n">
        <v>45461.62585648148</v>
      </c>
      <c r="C100" s="1" t="n">
        <v>45933</v>
      </c>
      <c r="D100" t="inlineStr">
        <is>
          <t>STOCKHOLMS LÄN</t>
        </is>
      </c>
      <c r="E100" t="inlineStr">
        <is>
          <t>VALLENTUNA</t>
        </is>
      </c>
      <c r="G100" t="n">
        <v>2</v>
      </c>
      <c r="H100" t="n">
        <v>0</v>
      </c>
      <c r="I100" t="n">
        <v>0</v>
      </c>
      <c r="J100" t="n">
        <v>0</v>
      </c>
      <c r="K100" t="n">
        <v>0</v>
      </c>
      <c r="L100" t="n">
        <v>0</v>
      </c>
      <c r="M100" t="n">
        <v>0</v>
      </c>
      <c r="N100" t="n">
        <v>0</v>
      </c>
      <c r="O100" t="n">
        <v>0</v>
      </c>
      <c r="P100" t="n">
        <v>0</v>
      </c>
      <c r="Q100" t="n">
        <v>0</v>
      </c>
      <c r="R100" s="2" t="inlineStr"/>
    </row>
    <row r="101" ht="15" customHeight="1">
      <c r="A101" t="inlineStr">
        <is>
          <t>A 5910-2022</t>
        </is>
      </c>
      <c r="B101" s="1" t="n">
        <v>44597</v>
      </c>
      <c r="C101" s="1" t="n">
        <v>45933</v>
      </c>
      <c r="D101" t="inlineStr">
        <is>
          <t>STOCKHOLMS LÄN</t>
        </is>
      </c>
      <c r="E101" t="inlineStr">
        <is>
          <t>VALLENTUNA</t>
        </is>
      </c>
      <c r="G101" t="n">
        <v>0.6</v>
      </c>
      <c r="H101" t="n">
        <v>0</v>
      </c>
      <c r="I101" t="n">
        <v>0</v>
      </c>
      <c r="J101" t="n">
        <v>0</v>
      </c>
      <c r="K101" t="n">
        <v>0</v>
      </c>
      <c r="L101" t="n">
        <v>0</v>
      </c>
      <c r="M101" t="n">
        <v>0</v>
      </c>
      <c r="N101" t="n">
        <v>0</v>
      </c>
      <c r="O101" t="n">
        <v>0</v>
      </c>
      <c r="P101" t="n">
        <v>0</v>
      </c>
      <c r="Q101" t="n">
        <v>0</v>
      </c>
      <c r="R101" s="2" t="inlineStr"/>
    </row>
    <row r="102" ht="15" customHeight="1">
      <c r="A102" t="inlineStr">
        <is>
          <t>A 3698-2022</t>
        </is>
      </c>
      <c r="B102" s="1" t="n">
        <v>44586</v>
      </c>
      <c r="C102" s="1" t="n">
        <v>45933</v>
      </c>
      <c r="D102" t="inlineStr">
        <is>
          <t>STOCKHOLMS LÄN</t>
        </is>
      </c>
      <c r="E102" t="inlineStr">
        <is>
          <t>VALLENTUNA</t>
        </is>
      </c>
      <c r="G102" t="n">
        <v>2.9</v>
      </c>
      <c r="H102" t="n">
        <v>0</v>
      </c>
      <c r="I102" t="n">
        <v>0</v>
      </c>
      <c r="J102" t="n">
        <v>0</v>
      </c>
      <c r="K102" t="n">
        <v>0</v>
      </c>
      <c r="L102" t="n">
        <v>0</v>
      </c>
      <c r="M102" t="n">
        <v>0</v>
      </c>
      <c r="N102" t="n">
        <v>0</v>
      </c>
      <c r="O102" t="n">
        <v>0</v>
      </c>
      <c r="P102" t="n">
        <v>0</v>
      </c>
      <c r="Q102" t="n">
        <v>0</v>
      </c>
      <c r="R102" s="2" t="inlineStr"/>
    </row>
    <row r="103" ht="15" customHeight="1">
      <c r="A103" t="inlineStr">
        <is>
          <t>A 17342-2025</t>
        </is>
      </c>
      <c r="B103" s="1" t="n">
        <v>45756</v>
      </c>
      <c r="C103" s="1" t="n">
        <v>45933</v>
      </c>
      <c r="D103" t="inlineStr">
        <is>
          <t>STOCKHOLMS LÄN</t>
        </is>
      </c>
      <c r="E103" t="inlineStr">
        <is>
          <t>VALLENTUNA</t>
        </is>
      </c>
      <c r="F103" t="inlineStr">
        <is>
          <t>Övriga Aktiebolag</t>
        </is>
      </c>
      <c r="G103" t="n">
        <v>3.9</v>
      </c>
      <c r="H103" t="n">
        <v>0</v>
      </c>
      <c r="I103" t="n">
        <v>0</v>
      </c>
      <c r="J103" t="n">
        <v>0</v>
      </c>
      <c r="K103" t="n">
        <v>0</v>
      </c>
      <c r="L103" t="n">
        <v>0</v>
      </c>
      <c r="M103" t="n">
        <v>0</v>
      </c>
      <c r="N103" t="n">
        <v>0</v>
      </c>
      <c r="O103" t="n">
        <v>0</v>
      </c>
      <c r="P103" t="n">
        <v>0</v>
      </c>
      <c r="Q103" t="n">
        <v>0</v>
      </c>
      <c r="R103" s="2" t="inlineStr"/>
    </row>
    <row r="104" ht="15" customHeight="1">
      <c r="A104" t="inlineStr">
        <is>
          <t>A 60997-2022</t>
        </is>
      </c>
      <c r="B104" s="1" t="n">
        <v>44914.70746527778</v>
      </c>
      <c r="C104" s="1" t="n">
        <v>45933</v>
      </c>
      <c r="D104" t="inlineStr">
        <is>
          <t>STOCKHOLMS LÄN</t>
        </is>
      </c>
      <c r="E104" t="inlineStr">
        <is>
          <t>VALLENTUNA</t>
        </is>
      </c>
      <c r="G104" t="n">
        <v>1.8</v>
      </c>
      <c r="H104" t="n">
        <v>0</v>
      </c>
      <c r="I104" t="n">
        <v>0</v>
      </c>
      <c r="J104" t="n">
        <v>0</v>
      </c>
      <c r="K104" t="n">
        <v>0</v>
      </c>
      <c r="L104" t="n">
        <v>0</v>
      </c>
      <c r="M104" t="n">
        <v>0</v>
      </c>
      <c r="N104" t="n">
        <v>0</v>
      </c>
      <c r="O104" t="n">
        <v>0</v>
      </c>
      <c r="P104" t="n">
        <v>0</v>
      </c>
      <c r="Q104" t="n">
        <v>0</v>
      </c>
      <c r="R104" s="2" t="inlineStr"/>
    </row>
    <row r="105" ht="15" customHeight="1">
      <c r="A105" t="inlineStr">
        <is>
          <t>A 26390-2023</t>
        </is>
      </c>
      <c r="B105" s="1" t="n">
        <v>45086</v>
      </c>
      <c r="C105" s="1" t="n">
        <v>45933</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34458-2023</t>
        </is>
      </c>
      <c r="B106" s="1" t="n">
        <v>45139</v>
      </c>
      <c r="C106" s="1" t="n">
        <v>45933</v>
      </c>
      <c r="D106" t="inlineStr">
        <is>
          <t>STOCKHOLMS LÄN</t>
        </is>
      </c>
      <c r="E106" t="inlineStr">
        <is>
          <t>VALLENTUNA</t>
        </is>
      </c>
      <c r="G106" t="n">
        <v>2.5</v>
      </c>
      <c r="H106" t="n">
        <v>0</v>
      </c>
      <c r="I106" t="n">
        <v>0</v>
      </c>
      <c r="J106" t="n">
        <v>0</v>
      </c>
      <c r="K106" t="n">
        <v>0</v>
      </c>
      <c r="L106" t="n">
        <v>0</v>
      </c>
      <c r="M106" t="n">
        <v>0</v>
      </c>
      <c r="N106" t="n">
        <v>0</v>
      </c>
      <c r="O106" t="n">
        <v>0</v>
      </c>
      <c r="P106" t="n">
        <v>0</v>
      </c>
      <c r="Q106" t="n">
        <v>0</v>
      </c>
      <c r="R106" s="2" t="inlineStr"/>
    </row>
    <row r="107" ht="15" customHeight="1">
      <c r="A107" t="inlineStr">
        <is>
          <t>A 12234-2022</t>
        </is>
      </c>
      <c r="B107" s="1" t="n">
        <v>44637</v>
      </c>
      <c r="C107" s="1" t="n">
        <v>45933</v>
      </c>
      <c r="D107" t="inlineStr">
        <is>
          <t>STOCKHOLMS LÄN</t>
        </is>
      </c>
      <c r="E107" t="inlineStr">
        <is>
          <t>VALLENTUNA</t>
        </is>
      </c>
      <c r="G107" t="n">
        <v>2.4</v>
      </c>
      <c r="H107" t="n">
        <v>0</v>
      </c>
      <c r="I107" t="n">
        <v>0</v>
      </c>
      <c r="J107" t="n">
        <v>0</v>
      </c>
      <c r="K107" t="n">
        <v>0</v>
      </c>
      <c r="L107" t="n">
        <v>0</v>
      </c>
      <c r="M107" t="n">
        <v>0</v>
      </c>
      <c r="N107" t="n">
        <v>0</v>
      </c>
      <c r="O107" t="n">
        <v>0</v>
      </c>
      <c r="P107" t="n">
        <v>0</v>
      </c>
      <c r="Q107" t="n">
        <v>0</v>
      </c>
      <c r="R107" s="2" t="inlineStr"/>
    </row>
    <row r="108" ht="15" customHeight="1">
      <c r="A108" t="inlineStr">
        <is>
          <t>A 21614-2022</t>
        </is>
      </c>
      <c r="B108" s="1" t="n">
        <v>44706</v>
      </c>
      <c r="C108" s="1" t="n">
        <v>45933</v>
      </c>
      <c r="D108" t="inlineStr">
        <is>
          <t>STOCKHOLMS LÄN</t>
        </is>
      </c>
      <c r="E108" t="inlineStr">
        <is>
          <t>VALLENTUNA</t>
        </is>
      </c>
      <c r="G108" t="n">
        <v>4</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45000.41373842592</v>
      </c>
      <c r="C109" s="1" t="n">
        <v>45933</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8787-2024</t>
        </is>
      </c>
      <c r="B110" s="1" t="n">
        <v>45356</v>
      </c>
      <c r="C110" s="1" t="n">
        <v>45933</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34441-2023</t>
        </is>
      </c>
      <c r="B111" s="1" t="n">
        <v>45139</v>
      </c>
      <c r="C111" s="1" t="n">
        <v>45933</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34445-2023</t>
        </is>
      </c>
      <c r="B112" s="1" t="n">
        <v>45139</v>
      </c>
      <c r="C112" s="1" t="n">
        <v>45933</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34460-2023</t>
        </is>
      </c>
      <c r="B113" s="1" t="n">
        <v>45139</v>
      </c>
      <c r="C113" s="1" t="n">
        <v>45933</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23986-2023</t>
        </is>
      </c>
      <c r="B114" s="1" t="n">
        <v>45078</v>
      </c>
      <c r="C114" s="1" t="n">
        <v>45933</v>
      </c>
      <c r="D114" t="inlineStr">
        <is>
          <t>STOCKHOLMS LÄN</t>
        </is>
      </c>
      <c r="E114" t="inlineStr">
        <is>
          <t>VALLENTUNA</t>
        </is>
      </c>
      <c r="F114" t="inlineStr">
        <is>
          <t>Kyrkan</t>
        </is>
      </c>
      <c r="G114" t="n">
        <v>5.7</v>
      </c>
      <c r="H114" t="n">
        <v>0</v>
      </c>
      <c r="I114" t="n">
        <v>0</v>
      </c>
      <c r="J114" t="n">
        <v>0</v>
      </c>
      <c r="K114" t="n">
        <v>0</v>
      </c>
      <c r="L114" t="n">
        <v>0</v>
      </c>
      <c r="M114" t="n">
        <v>0</v>
      </c>
      <c r="N114" t="n">
        <v>0</v>
      </c>
      <c r="O114" t="n">
        <v>0</v>
      </c>
      <c r="P114" t="n">
        <v>0</v>
      </c>
      <c r="Q114" t="n">
        <v>0</v>
      </c>
      <c r="R114" s="2" t="inlineStr"/>
    </row>
    <row r="115" ht="15" customHeight="1">
      <c r="A115" t="inlineStr">
        <is>
          <t>A 15300-2023</t>
        </is>
      </c>
      <c r="B115" s="1" t="n">
        <v>45019</v>
      </c>
      <c r="C115" s="1" t="n">
        <v>45933</v>
      </c>
      <c r="D115" t="inlineStr">
        <is>
          <t>STOCKHOLMS LÄN</t>
        </is>
      </c>
      <c r="E115" t="inlineStr">
        <is>
          <t>VALLENTUNA</t>
        </is>
      </c>
      <c r="G115" t="n">
        <v>1.7</v>
      </c>
      <c r="H115" t="n">
        <v>0</v>
      </c>
      <c r="I115" t="n">
        <v>0</v>
      </c>
      <c r="J115" t="n">
        <v>0</v>
      </c>
      <c r="K115" t="n">
        <v>0</v>
      </c>
      <c r="L115" t="n">
        <v>0</v>
      </c>
      <c r="M115" t="n">
        <v>0</v>
      </c>
      <c r="N115" t="n">
        <v>0</v>
      </c>
      <c r="O115" t="n">
        <v>0</v>
      </c>
      <c r="P115" t="n">
        <v>0</v>
      </c>
      <c r="Q115" t="n">
        <v>0</v>
      </c>
      <c r="R115" s="2" t="inlineStr"/>
    </row>
    <row r="116" ht="15" customHeight="1">
      <c r="A116" t="inlineStr">
        <is>
          <t>A 8077-2022</t>
        </is>
      </c>
      <c r="B116" s="1" t="n">
        <v>44609</v>
      </c>
      <c r="C116" s="1" t="n">
        <v>45933</v>
      </c>
      <c r="D116" t="inlineStr">
        <is>
          <t>STOCKHOLMS LÄN</t>
        </is>
      </c>
      <c r="E116" t="inlineStr">
        <is>
          <t>VALLENTUNA</t>
        </is>
      </c>
      <c r="G116" t="n">
        <v>1.3</v>
      </c>
      <c r="H116" t="n">
        <v>0</v>
      </c>
      <c r="I116" t="n">
        <v>0</v>
      </c>
      <c r="J116" t="n">
        <v>0</v>
      </c>
      <c r="K116" t="n">
        <v>0</v>
      </c>
      <c r="L116" t="n">
        <v>0</v>
      </c>
      <c r="M116" t="n">
        <v>0</v>
      </c>
      <c r="N116" t="n">
        <v>0</v>
      </c>
      <c r="O116" t="n">
        <v>0</v>
      </c>
      <c r="P116" t="n">
        <v>0</v>
      </c>
      <c r="Q116" t="n">
        <v>0</v>
      </c>
      <c r="R116" s="2" t="inlineStr"/>
    </row>
    <row r="117" ht="15" customHeight="1">
      <c r="A117" t="inlineStr">
        <is>
          <t>A 13836-2022</t>
        </is>
      </c>
      <c r="B117" s="1" t="n">
        <v>44649</v>
      </c>
      <c r="C117" s="1" t="n">
        <v>45933</v>
      </c>
      <c r="D117" t="inlineStr">
        <is>
          <t>STOCKHOLMS LÄN</t>
        </is>
      </c>
      <c r="E117" t="inlineStr">
        <is>
          <t>VALLENTUNA</t>
        </is>
      </c>
      <c r="G117" t="n">
        <v>3.5</v>
      </c>
      <c r="H117" t="n">
        <v>0</v>
      </c>
      <c r="I117" t="n">
        <v>0</v>
      </c>
      <c r="J117" t="n">
        <v>0</v>
      </c>
      <c r="K117" t="n">
        <v>0</v>
      </c>
      <c r="L117" t="n">
        <v>0</v>
      </c>
      <c r="M117" t="n">
        <v>0</v>
      </c>
      <c r="N117" t="n">
        <v>0</v>
      </c>
      <c r="O117" t="n">
        <v>0</v>
      </c>
      <c r="P117" t="n">
        <v>0</v>
      </c>
      <c r="Q117" t="n">
        <v>0</v>
      </c>
      <c r="R117" s="2" t="inlineStr"/>
    </row>
    <row r="118" ht="15" customHeight="1">
      <c r="A118" t="inlineStr">
        <is>
          <t>A 29704-2023</t>
        </is>
      </c>
      <c r="B118" s="1" t="n">
        <v>45107</v>
      </c>
      <c r="C118" s="1" t="n">
        <v>45933</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21765-2023</t>
        </is>
      </c>
      <c r="B119" s="1" t="n">
        <v>45064</v>
      </c>
      <c r="C119" s="1" t="n">
        <v>45933</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45496-2023</t>
        </is>
      </c>
      <c r="B120" s="1" t="n">
        <v>45194</v>
      </c>
      <c r="C120" s="1" t="n">
        <v>45933</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45499-2023</t>
        </is>
      </c>
      <c r="B121" s="1" t="n">
        <v>45194</v>
      </c>
      <c r="C121" s="1" t="n">
        <v>45933</v>
      </c>
      <c r="D121" t="inlineStr">
        <is>
          <t>STOCKHOLMS LÄN</t>
        </is>
      </c>
      <c r="E121" t="inlineStr">
        <is>
          <t>VALLENTUNA</t>
        </is>
      </c>
      <c r="G121" t="n">
        <v>2.5</v>
      </c>
      <c r="H121" t="n">
        <v>0</v>
      </c>
      <c r="I121" t="n">
        <v>0</v>
      </c>
      <c r="J121" t="n">
        <v>0</v>
      </c>
      <c r="K121" t="n">
        <v>0</v>
      </c>
      <c r="L121" t="n">
        <v>0</v>
      </c>
      <c r="M121" t="n">
        <v>0</v>
      </c>
      <c r="N121" t="n">
        <v>0</v>
      </c>
      <c r="O121" t="n">
        <v>0</v>
      </c>
      <c r="P121" t="n">
        <v>0</v>
      </c>
      <c r="Q121" t="n">
        <v>0</v>
      </c>
      <c r="R121" s="2" t="inlineStr"/>
    </row>
    <row r="122" ht="15" customHeight="1">
      <c r="A122" t="inlineStr">
        <is>
          <t>A 14782-2024</t>
        </is>
      </c>
      <c r="B122" s="1" t="n">
        <v>45397.74266203704</v>
      </c>
      <c r="C122" s="1" t="n">
        <v>45933</v>
      </c>
      <c r="D122" t="inlineStr">
        <is>
          <t>STOCKHOLMS LÄN</t>
        </is>
      </c>
      <c r="E122" t="inlineStr">
        <is>
          <t>VALLENTUNA</t>
        </is>
      </c>
      <c r="G122" t="n">
        <v>3.1</v>
      </c>
      <c r="H122" t="n">
        <v>0</v>
      </c>
      <c r="I122" t="n">
        <v>0</v>
      </c>
      <c r="J122" t="n">
        <v>0</v>
      </c>
      <c r="K122" t="n">
        <v>0</v>
      </c>
      <c r="L122" t="n">
        <v>0</v>
      </c>
      <c r="M122" t="n">
        <v>0</v>
      </c>
      <c r="N122" t="n">
        <v>0</v>
      </c>
      <c r="O122" t="n">
        <v>0</v>
      </c>
      <c r="P122" t="n">
        <v>0</v>
      </c>
      <c r="Q122" t="n">
        <v>0</v>
      </c>
      <c r="R122" s="2" t="inlineStr"/>
    </row>
    <row r="123" ht="15" customHeight="1">
      <c r="A123" t="inlineStr">
        <is>
          <t>A 1385-2024</t>
        </is>
      </c>
      <c r="B123" s="1" t="n">
        <v>45303</v>
      </c>
      <c r="C123" s="1" t="n">
        <v>45933</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14775-2024</t>
        </is>
      </c>
      <c r="B124" s="1" t="n">
        <v>45397.73675925926</v>
      </c>
      <c r="C124" s="1" t="n">
        <v>45933</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735-2024</t>
        </is>
      </c>
      <c r="B125" s="1" t="n">
        <v>45300</v>
      </c>
      <c r="C125" s="1" t="n">
        <v>45933</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45933</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62402-2022</t>
        </is>
      </c>
      <c r="B127" s="1" t="n">
        <v>44923</v>
      </c>
      <c r="C127" s="1" t="n">
        <v>45933</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15268-2023</t>
        </is>
      </c>
      <c r="B128" s="1" t="n">
        <v>45019.41045138889</v>
      </c>
      <c r="C128" s="1" t="n">
        <v>45933</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38102-2024</t>
        </is>
      </c>
      <c r="B129" s="1" t="n">
        <v>45545.36349537037</v>
      </c>
      <c r="C129" s="1" t="n">
        <v>45933</v>
      </c>
      <c r="D129" t="inlineStr">
        <is>
          <t>STOCKHOLMS LÄN</t>
        </is>
      </c>
      <c r="E129" t="inlineStr">
        <is>
          <t>VALLENTUNA</t>
        </is>
      </c>
      <c r="G129" t="n">
        <v>3.2</v>
      </c>
      <c r="H129" t="n">
        <v>0</v>
      </c>
      <c r="I129" t="n">
        <v>0</v>
      </c>
      <c r="J129" t="n">
        <v>0</v>
      </c>
      <c r="K129" t="n">
        <v>0</v>
      </c>
      <c r="L129" t="n">
        <v>0</v>
      </c>
      <c r="M129" t="n">
        <v>0</v>
      </c>
      <c r="N129" t="n">
        <v>0</v>
      </c>
      <c r="O129" t="n">
        <v>0</v>
      </c>
      <c r="P129" t="n">
        <v>0</v>
      </c>
      <c r="Q129" t="n">
        <v>0</v>
      </c>
      <c r="R129" s="2" t="inlineStr"/>
    </row>
    <row r="130" ht="15" customHeight="1">
      <c r="A130" t="inlineStr">
        <is>
          <t>A 17340-2025</t>
        </is>
      </c>
      <c r="B130" s="1" t="n">
        <v>45756</v>
      </c>
      <c r="C130" s="1" t="n">
        <v>45933</v>
      </c>
      <c r="D130" t="inlineStr">
        <is>
          <t>STOCKHOLMS LÄN</t>
        </is>
      </c>
      <c r="E130" t="inlineStr">
        <is>
          <t>VALLENTUNA</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20791-2025</t>
        </is>
      </c>
      <c r="B131" s="1" t="n">
        <v>45776.62738425926</v>
      </c>
      <c r="C131" s="1" t="n">
        <v>45933</v>
      </c>
      <c r="D131" t="inlineStr">
        <is>
          <t>STOCKHOLMS LÄN</t>
        </is>
      </c>
      <c r="E131" t="inlineStr">
        <is>
          <t>VALLENTUNA</t>
        </is>
      </c>
      <c r="G131" t="n">
        <v>1.5</v>
      </c>
      <c r="H131" t="n">
        <v>0</v>
      </c>
      <c r="I131" t="n">
        <v>0</v>
      </c>
      <c r="J131" t="n">
        <v>0</v>
      </c>
      <c r="K131" t="n">
        <v>0</v>
      </c>
      <c r="L131" t="n">
        <v>0</v>
      </c>
      <c r="M131" t="n">
        <v>0</v>
      </c>
      <c r="N131" t="n">
        <v>0</v>
      </c>
      <c r="O131" t="n">
        <v>0</v>
      </c>
      <c r="P131" t="n">
        <v>0</v>
      </c>
      <c r="Q131" t="n">
        <v>0</v>
      </c>
      <c r="R131" s="2" t="inlineStr"/>
    </row>
    <row r="132" ht="15" customHeight="1">
      <c r="A132" t="inlineStr">
        <is>
          <t>A 10073-2024</t>
        </is>
      </c>
      <c r="B132" s="1" t="n">
        <v>45364.40821759259</v>
      </c>
      <c r="C132" s="1" t="n">
        <v>45933</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34452-2021</t>
        </is>
      </c>
      <c r="B133" s="1" t="n">
        <v>44381</v>
      </c>
      <c r="C133" s="1" t="n">
        <v>45933</v>
      </c>
      <c r="D133" t="inlineStr">
        <is>
          <t>STOCKHOLMS LÄN</t>
        </is>
      </c>
      <c r="E133" t="inlineStr">
        <is>
          <t>VALLENTUNA</t>
        </is>
      </c>
      <c r="G133" t="n">
        <v>14.7</v>
      </c>
      <c r="H133" t="n">
        <v>0</v>
      </c>
      <c r="I133" t="n">
        <v>0</v>
      </c>
      <c r="J133" t="n">
        <v>0</v>
      </c>
      <c r="K133" t="n">
        <v>0</v>
      </c>
      <c r="L133" t="n">
        <v>0</v>
      </c>
      <c r="M133" t="n">
        <v>0</v>
      </c>
      <c r="N133" t="n">
        <v>0</v>
      </c>
      <c r="O133" t="n">
        <v>0</v>
      </c>
      <c r="P133" t="n">
        <v>0</v>
      </c>
      <c r="Q133" t="n">
        <v>0</v>
      </c>
      <c r="R133" s="2" t="inlineStr"/>
    </row>
    <row r="134" ht="15" customHeight="1">
      <c r="A134" t="inlineStr">
        <is>
          <t>A 47204-2024</t>
        </is>
      </c>
      <c r="B134" s="1" t="n">
        <v>45586.63575231482</v>
      </c>
      <c r="C134" s="1" t="n">
        <v>45933</v>
      </c>
      <c r="D134" t="inlineStr">
        <is>
          <t>STOCKHOLMS LÄN</t>
        </is>
      </c>
      <c r="E134" t="inlineStr">
        <is>
          <t>VALLENTUNA</t>
        </is>
      </c>
      <c r="G134" t="n">
        <v>2.9</v>
      </c>
      <c r="H134" t="n">
        <v>0</v>
      </c>
      <c r="I134" t="n">
        <v>0</v>
      </c>
      <c r="J134" t="n">
        <v>0</v>
      </c>
      <c r="K134" t="n">
        <v>0</v>
      </c>
      <c r="L134" t="n">
        <v>0</v>
      </c>
      <c r="M134" t="n">
        <v>0</v>
      </c>
      <c r="N134" t="n">
        <v>0</v>
      </c>
      <c r="O134" t="n">
        <v>0</v>
      </c>
      <c r="P134" t="n">
        <v>0</v>
      </c>
      <c r="Q134" t="n">
        <v>0</v>
      </c>
      <c r="R134" s="2" t="inlineStr"/>
    </row>
    <row r="135" ht="15" customHeight="1">
      <c r="A135" t="inlineStr">
        <is>
          <t>A 12621-2024</t>
        </is>
      </c>
      <c r="B135" s="1" t="n">
        <v>45383.6325</v>
      </c>
      <c r="C135" s="1" t="n">
        <v>45933</v>
      </c>
      <c r="D135" t="inlineStr">
        <is>
          <t>STOCKHOLMS LÄN</t>
        </is>
      </c>
      <c r="E135" t="inlineStr">
        <is>
          <t>VALLENTUNA</t>
        </is>
      </c>
      <c r="G135" t="n">
        <v>4.4</v>
      </c>
      <c r="H135" t="n">
        <v>0</v>
      </c>
      <c r="I135" t="n">
        <v>0</v>
      </c>
      <c r="J135" t="n">
        <v>0</v>
      </c>
      <c r="K135" t="n">
        <v>0</v>
      </c>
      <c r="L135" t="n">
        <v>0</v>
      </c>
      <c r="M135" t="n">
        <v>0</v>
      </c>
      <c r="N135" t="n">
        <v>0</v>
      </c>
      <c r="O135" t="n">
        <v>0</v>
      </c>
      <c r="P135" t="n">
        <v>0</v>
      </c>
      <c r="Q135" t="n">
        <v>0</v>
      </c>
      <c r="R135" s="2" t="inlineStr"/>
    </row>
    <row r="136" ht="15" customHeight="1">
      <c r="A136" t="inlineStr">
        <is>
          <t>A 46381-2023</t>
        </is>
      </c>
      <c r="B136" s="1" t="n">
        <v>45193</v>
      </c>
      <c r="C136" s="1" t="n">
        <v>45933</v>
      </c>
      <c r="D136" t="inlineStr">
        <is>
          <t>STOCKHOLMS LÄN</t>
        </is>
      </c>
      <c r="E136" t="inlineStr">
        <is>
          <t>VALLENTUNA</t>
        </is>
      </c>
      <c r="G136" t="n">
        <v>2.9</v>
      </c>
      <c r="H136" t="n">
        <v>0</v>
      </c>
      <c r="I136" t="n">
        <v>0</v>
      </c>
      <c r="J136" t="n">
        <v>0</v>
      </c>
      <c r="K136" t="n">
        <v>0</v>
      </c>
      <c r="L136" t="n">
        <v>0</v>
      </c>
      <c r="M136" t="n">
        <v>0</v>
      </c>
      <c r="N136" t="n">
        <v>0</v>
      </c>
      <c r="O136" t="n">
        <v>0</v>
      </c>
      <c r="P136" t="n">
        <v>0</v>
      </c>
      <c r="Q136" t="n">
        <v>0</v>
      </c>
      <c r="R136" s="2" t="inlineStr"/>
    </row>
    <row r="137" ht="15" customHeight="1">
      <c r="A137" t="inlineStr">
        <is>
          <t>A 61027-2023</t>
        </is>
      </c>
      <c r="B137" s="1" t="n">
        <v>45261</v>
      </c>
      <c r="C137" s="1" t="n">
        <v>45933</v>
      </c>
      <c r="D137" t="inlineStr">
        <is>
          <t>STOCKHOLMS LÄN</t>
        </is>
      </c>
      <c r="E137" t="inlineStr">
        <is>
          <t>VALLENTUNA</t>
        </is>
      </c>
      <c r="G137" t="n">
        <v>7.1</v>
      </c>
      <c r="H137" t="n">
        <v>0</v>
      </c>
      <c r="I137" t="n">
        <v>0</v>
      </c>
      <c r="J137" t="n">
        <v>0</v>
      </c>
      <c r="K137" t="n">
        <v>0</v>
      </c>
      <c r="L137" t="n">
        <v>0</v>
      </c>
      <c r="M137" t="n">
        <v>0</v>
      </c>
      <c r="N137" t="n">
        <v>0</v>
      </c>
      <c r="O137" t="n">
        <v>0</v>
      </c>
      <c r="P137" t="n">
        <v>0</v>
      </c>
      <c r="Q137" t="n">
        <v>0</v>
      </c>
      <c r="R137" s="2" t="inlineStr"/>
    </row>
    <row r="138" ht="15" customHeight="1">
      <c r="A138" t="inlineStr">
        <is>
          <t>A 23009-2024</t>
        </is>
      </c>
      <c r="B138" s="1" t="n">
        <v>45450.34506944445</v>
      </c>
      <c r="C138" s="1" t="n">
        <v>45933</v>
      </c>
      <c r="D138" t="inlineStr">
        <is>
          <t>STOCKHOLMS LÄN</t>
        </is>
      </c>
      <c r="E138" t="inlineStr">
        <is>
          <t>VALLENTUNA</t>
        </is>
      </c>
      <c r="G138" t="n">
        <v>1.4</v>
      </c>
      <c r="H138" t="n">
        <v>0</v>
      </c>
      <c r="I138" t="n">
        <v>0</v>
      </c>
      <c r="J138" t="n">
        <v>0</v>
      </c>
      <c r="K138" t="n">
        <v>0</v>
      </c>
      <c r="L138" t="n">
        <v>0</v>
      </c>
      <c r="M138" t="n">
        <v>0</v>
      </c>
      <c r="N138" t="n">
        <v>0</v>
      </c>
      <c r="O138" t="n">
        <v>0</v>
      </c>
      <c r="P138" t="n">
        <v>0</v>
      </c>
      <c r="Q138" t="n">
        <v>0</v>
      </c>
      <c r="R138" s="2" t="inlineStr"/>
    </row>
    <row r="139" ht="15" customHeight="1">
      <c r="A139" t="inlineStr">
        <is>
          <t>A 23923-2025</t>
        </is>
      </c>
      <c r="B139" s="1" t="n">
        <v>45795.39648148148</v>
      </c>
      <c r="C139" s="1" t="n">
        <v>45933</v>
      </c>
      <c r="D139" t="inlineStr">
        <is>
          <t>STOCKHOLMS LÄN</t>
        </is>
      </c>
      <c r="E139" t="inlineStr">
        <is>
          <t>VALLENTUNA</t>
        </is>
      </c>
      <c r="G139" t="n">
        <v>2.3</v>
      </c>
      <c r="H139" t="n">
        <v>0</v>
      </c>
      <c r="I139" t="n">
        <v>0</v>
      </c>
      <c r="J139" t="n">
        <v>0</v>
      </c>
      <c r="K139" t="n">
        <v>0</v>
      </c>
      <c r="L139" t="n">
        <v>0</v>
      </c>
      <c r="M139" t="n">
        <v>0</v>
      </c>
      <c r="N139" t="n">
        <v>0</v>
      </c>
      <c r="O139" t="n">
        <v>0</v>
      </c>
      <c r="P139" t="n">
        <v>0</v>
      </c>
      <c r="Q139" t="n">
        <v>0</v>
      </c>
      <c r="R139" s="2" t="inlineStr"/>
    </row>
    <row r="140">
      <c r="A140" t="inlineStr">
        <is>
          <t>A 25984-2025</t>
        </is>
      </c>
      <c r="B140" s="1" t="n">
        <v>45804.64016203704</v>
      </c>
      <c r="C140" s="1" t="n">
        <v>45933</v>
      </c>
      <c r="D140" t="inlineStr">
        <is>
          <t>STOCKHOLMS LÄN</t>
        </is>
      </c>
      <c r="E140" t="inlineStr">
        <is>
          <t>VALLENTUNA</t>
        </is>
      </c>
      <c r="G140" t="n">
        <v>2.5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2025-10-03T12:32:12Z</dcterms:created>
  <dcterms:modified xmlns:dcterms="http://purl.org/dc/terms/" xmlns:xsi="http://www.w3.org/2001/XMLSchema-instance" xsi:type="dcterms:W3CDTF">2025-10-03T12:32:12Z</dcterms:modified>
</cp:coreProperties>
</file>