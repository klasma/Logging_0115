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45996</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45996</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45996</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45996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45996</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45996</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45996</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45996</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45996</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45996</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45996</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45996</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17348-2025</t>
        </is>
      </c>
      <c r="B25" s="1" t="n">
        <v>45756</v>
      </c>
      <c r="C25" s="1" t="n">
        <v>45996</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8817-2025</t>
        </is>
      </c>
      <c r="B26" s="1" t="n">
        <v>45712.70987268518</v>
      </c>
      <c r="C26" s="1" t="n">
        <v>45996</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34458-2023</t>
        </is>
      </c>
      <c r="B27" s="1" t="n">
        <v>45139</v>
      </c>
      <c r="C27" s="1" t="n">
        <v>45996</v>
      </c>
      <c r="D27" t="inlineStr">
        <is>
          <t>STOCKHOLMS LÄN</t>
        </is>
      </c>
      <c r="E27" t="inlineStr">
        <is>
          <t>VALLENTUNA</t>
        </is>
      </c>
      <c r="G27" t="n">
        <v>2.5</v>
      </c>
      <c r="H27" t="n">
        <v>0</v>
      </c>
      <c r="I27" t="n">
        <v>0</v>
      </c>
      <c r="J27" t="n">
        <v>1</v>
      </c>
      <c r="K27" t="n">
        <v>0</v>
      </c>
      <c r="L27" t="n">
        <v>0</v>
      </c>
      <c r="M27" t="n">
        <v>0</v>
      </c>
      <c r="N27" t="n">
        <v>0</v>
      </c>
      <c r="O27" t="n">
        <v>1</v>
      </c>
      <c r="P27" t="n">
        <v>0</v>
      </c>
      <c r="Q27" t="n">
        <v>1</v>
      </c>
      <c r="R27" s="2" t="inlineStr">
        <is>
          <t>Motaggsvamp</t>
        </is>
      </c>
      <c r="S27">
        <f>HYPERLINK("https://klasma.github.io/Logging_0115/artfynd/A 34458-2023 artfynd.xlsx", "A 34458-2023")</f>
        <v/>
      </c>
      <c r="T27">
        <f>HYPERLINK("https://klasma.github.io/Logging_0115/kartor/A 34458-2023 karta.png", "A 34458-2023")</f>
        <v/>
      </c>
      <c r="V27">
        <f>HYPERLINK("https://klasma.github.io/Logging_0115/klagomål/A 34458-2023 FSC-klagomål.docx", "A 34458-2023")</f>
        <v/>
      </c>
      <c r="W27">
        <f>HYPERLINK("https://klasma.github.io/Logging_0115/klagomålsmail/A 34458-2023 FSC-klagomål mail.docx", "A 34458-2023")</f>
        <v/>
      </c>
      <c r="X27">
        <f>HYPERLINK("https://klasma.github.io/Logging_0115/tillsyn/A 34458-2023 tillsynsbegäran.docx", "A 34458-2023")</f>
        <v/>
      </c>
      <c r="Y27">
        <f>HYPERLINK("https://klasma.github.io/Logging_0115/tillsynsmail/A 34458-2023 tillsynsbegäran mail.docx", "A 34458-2023")</f>
        <v/>
      </c>
    </row>
    <row r="28" ht="15" customHeight="1">
      <c r="A28" t="inlineStr">
        <is>
          <t>A 21-2022</t>
        </is>
      </c>
      <c r="B28" s="1" t="n">
        <v>44560</v>
      </c>
      <c r="C28" s="1" t="n">
        <v>45996</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7890-2023</t>
        </is>
      </c>
      <c r="B29" s="1" t="n">
        <v>44973</v>
      </c>
      <c r="C29" s="1" t="n">
        <v>45996</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45996</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17341-2025</t>
        </is>
      </c>
      <c r="B31" s="1" t="n">
        <v>45756</v>
      </c>
      <c r="C31" s="1" t="n">
        <v>45996</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54481-2025</t>
        </is>
      </c>
      <c r="B32" s="1" t="n">
        <v>45965.58837962963</v>
      </c>
      <c r="C32" s="1" t="n">
        <v>45996</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14508-2024</t>
        </is>
      </c>
      <c r="B33" s="1" t="n">
        <v>45394.61583333334</v>
      </c>
      <c r="C33" s="1" t="n">
        <v>45996</v>
      </c>
      <c r="D33" t="inlineStr">
        <is>
          <t>STOCKHOLMS LÄN</t>
        </is>
      </c>
      <c r="E33" t="inlineStr">
        <is>
          <t>VALLENTUNA</t>
        </is>
      </c>
      <c r="G33" t="n">
        <v>1.7</v>
      </c>
      <c r="H33" t="n">
        <v>1</v>
      </c>
      <c r="I33" t="n">
        <v>0</v>
      </c>
      <c r="J33" t="n">
        <v>1</v>
      </c>
      <c r="K33" t="n">
        <v>0</v>
      </c>
      <c r="L33" t="n">
        <v>0</v>
      </c>
      <c r="M33" t="n">
        <v>0</v>
      </c>
      <c r="N33" t="n">
        <v>0</v>
      </c>
      <c r="O33" t="n">
        <v>1</v>
      </c>
      <c r="P33" t="n">
        <v>0</v>
      </c>
      <c r="Q33" t="n">
        <v>1</v>
      </c>
      <c r="R33" s="2" t="inlineStr">
        <is>
          <t>Mindre hackspett</t>
        </is>
      </c>
      <c r="S33">
        <f>HYPERLINK("https://klasma.github.io/Logging_0115/artfynd/A 14508-2024 artfynd.xlsx", "A 14508-2024")</f>
        <v/>
      </c>
      <c r="T33">
        <f>HYPERLINK("https://klasma.github.io/Logging_0115/kartor/A 14508-2024 karta.png", "A 14508-2024")</f>
        <v/>
      </c>
      <c r="V33">
        <f>HYPERLINK("https://klasma.github.io/Logging_0115/klagomål/A 14508-2024 FSC-klagomål.docx", "A 14508-2024")</f>
        <v/>
      </c>
      <c r="W33">
        <f>HYPERLINK("https://klasma.github.io/Logging_0115/klagomålsmail/A 14508-2024 FSC-klagomål mail.docx", "A 14508-2024")</f>
        <v/>
      </c>
      <c r="X33">
        <f>HYPERLINK("https://klasma.github.io/Logging_0115/tillsyn/A 14508-2024 tillsynsbegäran.docx", "A 14508-2024")</f>
        <v/>
      </c>
      <c r="Y33">
        <f>HYPERLINK("https://klasma.github.io/Logging_0115/tillsynsmail/A 14508-2024 tillsynsbegäran mail.docx", "A 14508-2024")</f>
        <v/>
      </c>
      <c r="Z33">
        <f>HYPERLINK("https://klasma.github.io/Logging_0115/fåglar/A 14508-2024 prioriterade fågelarter.docx", "A 14508-2024")</f>
        <v/>
      </c>
    </row>
    <row r="34" ht="15" customHeight="1">
      <c r="A34" t="inlineStr">
        <is>
          <t>A 21439-2025</t>
        </is>
      </c>
      <c r="B34" s="1" t="n">
        <v>45782.52939814814</v>
      </c>
      <c r="C34" s="1" t="n">
        <v>45996</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34460-2023</t>
        </is>
      </c>
      <c r="B35" s="1" t="n">
        <v>45139</v>
      </c>
      <c r="C35" s="1" t="n">
        <v>45996</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22936-2025</t>
        </is>
      </c>
      <c r="B36" s="1" t="n">
        <v>45790.45738425926</v>
      </c>
      <c r="C36" s="1" t="n">
        <v>45996</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45996</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45996</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45996</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45996</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45996</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45996</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45996</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45996</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45996</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45996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45996</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14725-2022</t>
        </is>
      </c>
      <c r="B49" s="1" t="n">
        <v>44655</v>
      </c>
      <c r="C49" s="1" t="n">
        <v>45996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45996</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45996</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45996</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45996</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45996</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45996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68938-2020</t>
        </is>
      </c>
      <c r="B56" s="1" t="n">
        <v>44187</v>
      </c>
      <c r="C56" s="1" t="n">
        <v>45996</v>
      </c>
      <c r="D56" t="inlineStr">
        <is>
          <t>STOCKHOLMS LÄN</t>
        </is>
      </c>
      <c r="E56" t="inlineStr">
        <is>
          <t>VALLENTUNA</t>
        </is>
      </c>
      <c r="G56" t="n">
        <v>3</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45996</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8077-2022</t>
        </is>
      </c>
      <c r="B58" s="1" t="n">
        <v>44609</v>
      </c>
      <c r="C58" s="1" t="n">
        <v>45996</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23923-2025</t>
        </is>
      </c>
      <c r="B59" s="1" t="n">
        <v>45795.39648148148</v>
      </c>
      <c r="C59" s="1" t="n">
        <v>45996</v>
      </c>
      <c r="D59" t="inlineStr">
        <is>
          <t>STOCKHOLMS LÄN</t>
        </is>
      </c>
      <c r="E59" t="inlineStr">
        <is>
          <t>VALLENTUNA</t>
        </is>
      </c>
      <c r="G59" t="n">
        <v>2.3</v>
      </c>
      <c r="H59" t="n">
        <v>0</v>
      </c>
      <c r="I59" t="n">
        <v>0</v>
      </c>
      <c r="J59" t="n">
        <v>0</v>
      </c>
      <c r="K59" t="n">
        <v>0</v>
      </c>
      <c r="L59" t="n">
        <v>0</v>
      </c>
      <c r="M59" t="n">
        <v>0</v>
      </c>
      <c r="N59" t="n">
        <v>0</v>
      </c>
      <c r="O59" t="n">
        <v>0</v>
      </c>
      <c r="P59" t="n">
        <v>0</v>
      </c>
      <c r="Q59" t="n">
        <v>0</v>
      </c>
      <c r="R59" s="2" t="inlineStr"/>
    </row>
    <row r="60" ht="15" customHeight="1">
      <c r="A60" t="inlineStr">
        <is>
          <t>A 47140-2024</t>
        </is>
      </c>
      <c r="B60" s="1" t="n">
        <v>45586.58753472222</v>
      </c>
      <c r="C60" s="1" t="n">
        <v>45996</v>
      </c>
      <c r="D60" t="inlineStr">
        <is>
          <t>STOCKHOLMS LÄN</t>
        </is>
      </c>
      <c r="E60" t="inlineStr">
        <is>
          <t>VALLENTUNA</t>
        </is>
      </c>
      <c r="G60" t="n">
        <v>1</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45996</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45996</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48078-2021</t>
        </is>
      </c>
      <c r="B63" s="1" t="n">
        <v>44449.42578703703</v>
      </c>
      <c r="C63" s="1" t="n">
        <v>45996</v>
      </c>
      <c r="D63" t="inlineStr">
        <is>
          <t>STOCKHOLMS LÄN</t>
        </is>
      </c>
      <c r="E63" t="inlineStr">
        <is>
          <t>VALLENTUNA</t>
        </is>
      </c>
      <c r="G63" t="n">
        <v>0.7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45996</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21765-2023</t>
        </is>
      </c>
      <c r="B65" s="1" t="n">
        <v>45064</v>
      </c>
      <c r="C65" s="1" t="n">
        <v>45996</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21614-2022</t>
        </is>
      </c>
      <c r="B66" s="1" t="n">
        <v>44706</v>
      </c>
      <c r="C66" s="1" t="n">
        <v>45996</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23986-2023</t>
        </is>
      </c>
      <c r="B67" s="1" t="n">
        <v>45078</v>
      </c>
      <c r="C67" s="1" t="n">
        <v>45996</v>
      </c>
      <c r="D67" t="inlineStr">
        <is>
          <t>STOCKHOLMS LÄN</t>
        </is>
      </c>
      <c r="E67" t="inlineStr">
        <is>
          <t>VALLENTUNA</t>
        </is>
      </c>
      <c r="F67" t="inlineStr">
        <is>
          <t>Kyrkan</t>
        </is>
      </c>
      <c r="G67" t="n">
        <v>5.7</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45996</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24068-2024</t>
        </is>
      </c>
      <c r="B69" s="1" t="n">
        <v>45456</v>
      </c>
      <c r="C69" s="1" t="n">
        <v>45996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30902-2025</t>
        </is>
      </c>
      <c r="B70" s="1" t="n">
        <v>45832.36104166666</v>
      </c>
      <c r="C70" s="1" t="n">
        <v>45996</v>
      </c>
      <c r="D70" t="inlineStr">
        <is>
          <t>STOCKHOLMS LÄN</t>
        </is>
      </c>
      <c r="E70" t="inlineStr">
        <is>
          <t>VALLENTUNA</t>
        </is>
      </c>
      <c r="G70" t="n">
        <v>8.199999999999999</v>
      </c>
      <c r="H70" t="n">
        <v>0</v>
      </c>
      <c r="I70" t="n">
        <v>0</v>
      </c>
      <c r="J70" t="n">
        <v>0</v>
      </c>
      <c r="K70" t="n">
        <v>0</v>
      </c>
      <c r="L70" t="n">
        <v>0</v>
      </c>
      <c r="M70" t="n">
        <v>0</v>
      </c>
      <c r="N70" t="n">
        <v>0</v>
      </c>
      <c r="O70" t="n">
        <v>0</v>
      </c>
      <c r="P70" t="n">
        <v>0</v>
      </c>
      <c r="Q70" t="n">
        <v>0</v>
      </c>
      <c r="R70" s="2" t="inlineStr"/>
    </row>
    <row r="71" ht="15" customHeight="1">
      <c r="A71" t="inlineStr">
        <is>
          <t>A 61742-2022</t>
        </is>
      </c>
      <c r="B71" s="1" t="n">
        <v>44917</v>
      </c>
      <c r="C71" s="1" t="n">
        <v>45996</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3937-2022</t>
        </is>
      </c>
      <c r="B72" s="1" t="n">
        <v>44587</v>
      </c>
      <c r="C72" s="1" t="n">
        <v>45996</v>
      </c>
      <c r="D72" t="inlineStr">
        <is>
          <t>STOCKHOLMS LÄN</t>
        </is>
      </c>
      <c r="E72" t="inlineStr">
        <is>
          <t>VALLENTUNA</t>
        </is>
      </c>
      <c r="G72" t="n">
        <v>6.6</v>
      </c>
      <c r="H72" t="n">
        <v>0</v>
      </c>
      <c r="I72" t="n">
        <v>0</v>
      </c>
      <c r="J72" t="n">
        <v>0</v>
      </c>
      <c r="K72" t="n">
        <v>0</v>
      </c>
      <c r="L72" t="n">
        <v>0</v>
      </c>
      <c r="M72" t="n">
        <v>0</v>
      </c>
      <c r="N72" t="n">
        <v>0</v>
      </c>
      <c r="O72" t="n">
        <v>0</v>
      </c>
      <c r="P72" t="n">
        <v>0</v>
      </c>
      <c r="Q72" t="n">
        <v>0</v>
      </c>
      <c r="R72" s="2" t="inlineStr"/>
    </row>
    <row r="73" ht="15" customHeight="1">
      <c r="A73" t="inlineStr">
        <is>
          <t>A 23013-2024</t>
        </is>
      </c>
      <c r="B73" s="1" t="n">
        <v>45450.35116898148</v>
      </c>
      <c r="C73" s="1" t="n">
        <v>45996</v>
      </c>
      <c r="D73" t="inlineStr">
        <is>
          <t>STOCKHOLMS LÄN</t>
        </is>
      </c>
      <c r="E73" t="inlineStr">
        <is>
          <t>VALLENTUNA</t>
        </is>
      </c>
      <c r="G73" t="n">
        <v>0.4</v>
      </c>
      <c r="H73" t="n">
        <v>0</v>
      </c>
      <c r="I73" t="n">
        <v>0</v>
      </c>
      <c r="J73" t="n">
        <v>0</v>
      </c>
      <c r="K73" t="n">
        <v>0</v>
      </c>
      <c r="L73" t="n">
        <v>0</v>
      </c>
      <c r="M73" t="n">
        <v>0</v>
      </c>
      <c r="N73" t="n">
        <v>0</v>
      </c>
      <c r="O73" t="n">
        <v>0</v>
      </c>
      <c r="P73" t="n">
        <v>0</v>
      </c>
      <c r="Q73" t="n">
        <v>0</v>
      </c>
      <c r="R73" s="2" t="inlineStr"/>
    </row>
    <row r="74" ht="15" customHeight="1">
      <c r="A74" t="inlineStr">
        <is>
          <t>A 3078-2023</t>
        </is>
      </c>
      <c r="B74" s="1" t="n">
        <v>44946.41527777778</v>
      </c>
      <c r="C74" s="1" t="n">
        <v>45996</v>
      </c>
      <c r="D74" t="inlineStr">
        <is>
          <t>STOCKHOLMS LÄN</t>
        </is>
      </c>
      <c r="E74" t="inlineStr">
        <is>
          <t>VALLENTUNA</t>
        </is>
      </c>
      <c r="G74" t="n">
        <v>3.9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45996</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45996</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45996</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12562-2023</t>
        </is>
      </c>
      <c r="B78" s="1" t="n">
        <v>45000</v>
      </c>
      <c r="C78" s="1" t="n">
        <v>45996</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19503-2023</t>
        </is>
      </c>
      <c r="B79" s="1" t="n">
        <v>45050.47333333334</v>
      </c>
      <c r="C79" s="1" t="n">
        <v>45996</v>
      </c>
      <c r="D79" t="inlineStr">
        <is>
          <t>STOCKHOLMS LÄN</t>
        </is>
      </c>
      <c r="E79" t="inlineStr">
        <is>
          <t>VALLENTUNA</t>
        </is>
      </c>
      <c r="G79" t="n">
        <v>0.7</v>
      </c>
      <c r="H79" t="n">
        <v>0</v>
      </c>
      <c r="I79" t="n">
        <v>0</v>
      </c>
      <c r="J79" t="n">
        <v>0</v>
      </c>
      <c r="K79" t="n">
        <v>0</v>
      </c>
      <c r="L79" t="n">
        <v>0</v>
      </c>
      <c r="M79" t="n">
        <v>0</v>
      </c>
      <c r="N79" t="n">
        <v>0</v>
      </c>
      <c r="O79" t="n">
        <v>0</v>
      </c>
      <c r="P79" t="n">
        <v>0</v>
      </c>
      <c r="Q79" t="n">
        <v>0</v>
      </c>
      <c r="R79" s="2" t="inlineStr"/>
    </row>
    <row r="80" ht="15" customHeight="1">
      <c r="A80" t="inlineStr">
        <is>
          <t>A 14480-2024</t>
        </is>
      </c>
      <c r="B80" s="1" t="n">
        <v>45394.56777777777</v>
      </c>
      <c r="C80" s="1" t="n">
        <v>45996</v>
      </c>
      <c r="D80" t="inlineStr">
        <is>
          <t>STOCKHOLMS LÄN</t>
        </is>
      </c>
      <c r="E80" t="inlineStr">
        <is>
          <t>VALLENTUNA</t>
        </is>
      </c>
      <c r="G80" t="n">
        <v>1.8</v>
      </c>
      <c r="H80" t="n">
        <v>0</v>
      </c>
      <c r="I80" t="n">
        <v>0</v>
      </c>
      <c r="J80" t="n">
        <v>0</v>
      </c>
      <c r="K80" t="n">
        <v>0</v>
      </c>
      <c r="L80" t="n">
        <v>0</v>
      </c>
      <c r="M80" t="n">
        <v>0</v>
      </c>
      <c r="N80" t="n">
        <v>0</v>
      </c>
      <c r="O80" t="n">
        <v>0</v>
      </c>
      <c r="P80" t="n">
        <v>0</v>
      </c>
      <c r="Q80" t="n">
        <v>0</v>
      </c>
      <c r="R80" s="2" t="inlineStr"/>
    </row>
    <row r="81" ht="15" customHeight="1">
      <c r="A81" t="inlineStr">
        <is>
          <t>A 17340-2025</t>
        </is>
      </c>
      <c r="B81" s="1" t="n">
        <v>45756</v>
      </c>
      <c r="C81" s="1" t="n">
        <v>45996</v>
      </c>
      <c r="D81" t="inlineStr">
        <is>
          <t>STOCKHOLMS LÄN</t>
        </is>
      </c>
      <c r="E81" t="inlineStr">
        <is>
          <t>VALLENTUNA</t>
        </is>
      </c>
      <c r="F81" t="inlineStr">
        <is>
          <t>Övriga Aktiebolag</t>
        </is>
      </c>
      <c r="G81" t="n">
        <v>2.6</v>
      </c>
      <c r="H81" t="n">
        <v>0</v>
      </c>
      <c r="I81" t="n">
        <v>0</v>
      </c>
      <c r="J81" t="n">
        <v>0</v>
      </c>
      <c r="K81" t="n">
        <v>0</v>
      </c>
      <c r="L81" t="n">
        <v>0</v>
      </c>
      <c r="M81" t="n">
        <v>0</v>
      </c>
      <c r="N81" t="n">
        <v>0</v>
      </c>
      <c r="O81" t="n">
        <v>0</v>
      </c>
      <c r="P81" t="n">
        <v>0</v>
      </c>
      <c r="Q81" t="n">
        <v>0</v>
      </c>
      <c r="R81" s="2" t="inlineStr"/>
    </row>
    <row r="82" ht="15" customHeight="1">
      <c r="A82" t="inlineStr">
        <is>
          <t>A 30913-2021</t>
        </is>
      </c>
      <c r="B82" s="1" t="n">
        <v>44365</v>
      </c>
      <c r="C82" s="1" t="n">
        <v>45996</v>
      </c>
      <c r="D82" t="inlineStr">
        <is>
          <t>STOCKHOLMS LÄN</t>
        </is>
      </c>
      <c r="E82" t="inlineStr">
        <is>
          <t>VALLENTUNA</t>
        </is>
      </c>
      <c r="F82" t="inlineStr">
        <is>
          <t>Övriga Aktiebolag</t>
        </is>
      </c>
      <c r="G82" t="n">
        <v>3.3</v>
      </c>
      <c r="H82" t="n">
        <v>0</v>
      </c>
      <c r="I82" t="n">
        <v>0</v>
      </c>
      <c r="J82" t="n">
        <v>0</v>
      </c>
      <c r="K82" t="n">
        <v>0</v>
      </c>
      <c r="L82" t="n">
        <v>0</v>
      </c>
      <c r="M82" t="n">
        <v>0</v>
      </c>
      <c r="N82" t="n">
        <v>0</v>
      </c>
      <c r="O82" t="n">
        <v>0</v>
      </c>
      <c r="P82" t="n">
        <v>0</v>
      </c>
      <c r="Q82" t="n">
        <v>0</v>
      </c>
      <c r="R82" s="2" t="inlineStr"/>
    </row>
    <row r="83" ht="15" customHeight="1">
      <c r="A83" t="inlineStr">
        <is>
          <t>A 45496-2023</t>
        </is>
      </c>
      <c r="B83" s="1" t="n">
        <v>45194</v>
      </c>
      <c r="C83" s="1" t="n">
        <v>45996</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45996</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29704-2023</t>
        </is>
      </c>
      <c r="B85" s="1" t="n">
        <v>45107</v>
      </c>
      <c r="C85" s="1" t="n">
        <v>45996</v>
      </c>
      <c r="D85" t="inlineStr">
        <is>
          <t>STOCKHOLMS LÄN</t>
        </is>
      </c>
      <c r="E85" t="inlineStr">
        <is>
          <t>VALLENTUNA</t>
        </is>
      </c>
      <c r="G85" t="n">
        <v>3.7</v>
      </c>
      <c r="H85" t="n">
        <v>0</v>
      </c>
      <c r="I85" t="n">
        <v>0</v>
      </c>
      <c r="J85" t="n">
        <v>0</v>
      </c>
      <c r="K85" t="n">
        <v>0</v>
      </c>
      <c r="L85" t="n">
        <v>0</v>
      </c>
      <c r="M85" t="n">
        <v>0</v>
      </c>
      <c r="N85" t="n">
        <v>0</v>
      </c>
      <c r="O85" t="n">
        <v>0</v>
      </c>
      <c r="P85" t="n">
        <v>0</v>
      </c>
      <c r="Q85" t="n">
        <v>0</v>
      </c>
      <c r="R85" s="2" t="inlineStr"/>
    </row>
    <row r="86" ht="15" customHeight="1">
      <c r="A86" t="inlineStr">
        <is>
          <t>A 4803-2024</t>
        </is>
      </c>
      <c r="B86" s="1" t="n">
        <v>45328</v>
      </c>
      <c r="C86" s="1" t="n">
        <v>45996</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41206-2025</t>
        </is>
      </c>
      <c r="B87" s="1" t="n">
        <v>45898</v>
      </c>
      <c r="C87" s="1" t="n">
        <v>45996</v>
      </c>
      <c r="D87" t="inlineStr">
        <is>
          <t>STOCKHOLMS LÄN</t>
        </is>
      </c>
      <c r="E87" t="inlineStr">
        <is>
          <t>VALLENTUNA</t>
        </is>
      </c>
      <c r="G87" t="n">
        <v>10</v>
      </c>
      <c r="H87" t="n">
        <v>0</v>
      </c>
      <c r="I87" t="n">
        <v>0</v>
      </c>
      <c r="J87" t="n">
        <v>0</v>
      </c>
      <c r="K87" t="n">
        <v>0</v>
      </c>
      <c r="L87" t="n">
        <v>0</v>
      </c>
      <c r="M87" t="n">
        <v>0</v>
      </c>
      <c r="N87" t="n">
        <v>0</v>
      </c>
      <c r="O87" t="n">
        <v>0</v>
      </c>
      <c r="P87" t="n">
        <v>0</v>
      </c>
      <c r="Q87" t="n">
        <v>0</v>
      </c>
      <c r="R87" s="2" t="inlineStr"/>
    </row>
    <row r="88" ht="15" customHeight="1">
      <c r="A88" t="inlineStr">
        <is>
          <t>A 3698-2022</t>
        </is>
      </c>
      <c r="B88" s="1" t="n">
        <v>44586</v>
      </c>
      <c r="C88" s="1" t="n">
        <v>45996</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38102-2024</t>
        </is>
      </c>
      <c r="B89" s="1" t="n">
        <v>45545.36349537037</v>
      </c>
      <c r="C89" s="1" t="n">
        <v>45996</v>
      </c>
      <c r="D89" t="inlineStr">
        <is>
          <t>STOCKHOLMS LÄN</t>
        </is>
      </c>
      <c r="E89" t="inlineStr">
        <is>
          <t>VALLENTUNA</t>
        </is>
      </c>
      <c r="G89" t="n">
        <v>3.2</v>
      </c>
      <c r="H89" t="n">
        <v>0</v>
      </c>
      <c r="I89" t="n">
        <v>0</v>
      </c>
      <c r="J89" t="n">
        <v>0</v>
      </c>
      <c r="K89" t="n">
        <v>0</v>
      </c>
      <c r="L89" t="n">
        <v>0</v>
      </c>
      <c r="M89" t="n">
        <v>0</v>
      </c>
      <c r="N89" t="n">
        <v>0</v>
      </c>
      <c r="O89" t="n">
        <v>0</v>
      </c>
      <c r="P89" t="n">
        <v>0</v>
      </c>
      <c r="Q89" t="n">
        <v>0</v>
      </c>
      <c r="R89" s="2" t="inlineStr"/>
    </row>
    <row r="90" ht="15" customHeight="1">
      <c r="A90" t="inlineStr">
        <is>
          <t>A 12609-2024</t>
        </is>
      </c>
      <c r="B90" s="1" t="n">
        <v>45382.8109375</v>
      </c>
      <c r="C90" s="1" t="n">
        <v>45996</v>
      </c>
      <c r="D90" t="inlineStr">
        <is>
          <t>STOCKHOLMS LÄN</t>
        </is>
      </c>
      <c r="E90" t="inlineStr">
        <is>
          <t>VALLENTUNA</t>
        </is>
      </c>
      <c r="G90" t="n">
        <v>0.9</v>
      </c>
      <c r="H90" t="n">
        <v>0</v>
      </c>
      <c r="I90" t="n">
        <v>0</v>
      </c>
      <c r="J90" t="n">
        <v>0</v>
      </c>
      <c r="K90" t="n">
        <v>0</v>
      </c>
      <c r="L90" t="n">
        <v>0</v>
      </c>
      <c r="M90" t="n">
        <v>0</v>
      </c>
      <c r="N90" t="n">
        <v>0</v>
      </c>
      <c r="O90" t="n">
        <v>0</v>
      </c>
      <c r="P90" t="n">
        <v>0</v>
      </c>
      <c r="Q90" t="n">
        <v>0</v>
      </c>
      <c r="R90" s="2" t="inlineStr"/>
    </row>
    <row r="91" ht="15" customHeight="1">
      <c r="A91" t="inlineStr">
        <is>
          <t>A 12234-2022</t>
        </is>
      </c>
      <c r="B91" s="1" t="n">
        <v>44637</v>
      </c>
      <c r="C91" s="1" t="n">
        <v>45996</v>
      </c>
      <c r="D91" t="inlineStr">
        <is>
          <t>STOCKHOLMS LÄN</t>
        </is>
      </c>
      <c r="E91" t="inlineStr">
        <is>
          <t>VALLENTUNA</t>
        </is>
      </c>
      <c r="G91" t="n">
        <v>2.4</v>
      </c>
      <c r="H91" t="n">
        <v>0</v>
      </c>
      <c r="I91" t="n">
        <v>0</v>
      </c>
      <c r="J91" t="n">
        <v>0</v>
      </c>
      <c r="K91" t="n">
        <v>0</v>
      </c>
      <c r="L91" t="n">
        <v>0</v>
      </c>
      <c r="M91" t="n">
        <v>0</v>
      </c>
      <c r="N91" t="n">
        <v>0</v>
      </c>
      <c r="O91" t="n">
        <v>0</v>
      </c>
      <c r="P91" t="n">
        <v>0</v>
      </c>
      <c r="Q91" t="n">
        <v>0</v>
      </c>
      <c r="R91" s="2" t="inlineStr"/>
    </row>
    <row r="92" ht="15" customHeight="1">
      <c r="A92" t="inlineStr">
        <is>
          <t>A 13836-2022</t>
        </is>
      </c>
      <c r="B92" s="1" t="n">
        <v>44649</v>
      </c>
      <c r="C92" s="1" t="n">
        <v>45996</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44346-2021</t>
        </is>
      </c>
      <c r="B93" s="1" t="n">
        <v>44434</v>
      </c>
      <c r="C93" s="1" t="n">
        <v>45996</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24943-2024</t>
        </is>
      </c>
      <c r="B94" s="1" t="n">
        <v>45461.62585648148</v>
      </c>
      <c r="C94" s="1" t="n">
        <v>45996</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4804-2024</t>
        </is>
      </c>
      <c r="B95" s="1" t="n">
        <v>45328</v>
      </c>
      <c r="C95" s="1" t="n">
        <v>45996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45996</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22683-2023</t>
        </is>
      </c>
      <c r="B97" s="1" t="n">
        <v>45071</v>
      </c>
      <c r="C97" s="1" t="n">
        <v>45996</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17411-2023</t>
        </is>
      </c>
      <c r="B98" s="1" t="n">
        <v>45035.82512731481</v>
      </c>
      <c r="C98" s="1" t="n">
        <v>45996</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5910-2022</t>
        </is>
      </c>
      <c r="B99" s="1" t="n">
        <v>44597</v>
      </c>
      <c r="C99" s="1" t="n">
        <v>45996</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45996</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1385-2024</t>
        </is>
      </c>
      <c r="B101" s="1" t="n">
        <v>45303</v>
      </c>
      <c r="C101" s="1" t="n">
        <v>45996</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60795-2023</t>
        </is>
      </c>
      <c r="B102" s="1" t="n">
        <v>45260</v>
      </c>
      <c r="C102" s="1" t="n">
        <v>45996</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60997-2022</t>
        </is>
      </c>
      <c r="B103" s="1" t="n">
        <v>44914.70746527778</v>
      </c>
      <c r="C103" s="1" t="n">
        <v>45996</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60818-2023</t>
        </is>
      </c>
      <c r="B104" s="1" t="n">
        <v>45259</v>
      </c>
      <c r="C104" s="1" t="n">
        <v>45996</v>
      </c>
      <c r="D104" t="inlineStr">
        <is>
          <t>STOCKHOLMS LÄN</t>
        </is>
      </c>
      <c r="E104" t="inlineStr">
        <is>
          <t>VALLENTUNA</t>
        </is>
      </c>
      <c r="G104" t="n">
        <v>9.4</v>
      </c>
      <c r="H104" t="n">
        <v>0</v>
      </c>
      <c r="I104" t="n">
        <v>0</v>
      </c>
      <c r="J104" t="n">
        <v>0</v>
      </c>
      <c r="K104" t="n">
        <v>0</v>
      </c>
      <c r="L104" t="n">
        <v>0</v>
      </c>
      <c r="M104" t="n">
        <v>0</v>
      </c>
      <c r="N104" t="n">
        <v>0</v>
      </c>
      <c r="O104" t="n">
        <v>0</v>
      </c>
      <c r="P104" t="n">
        <v>0</v>
      </c>
      <c r="Q104" t="n">
        <v>0</v>
      </c>
      <c r="R104" s="2" t="inlineStr"/>
    </row>
    <row r="105" ht="15" customHeight="1">
      <c r="A105" t="inlineStr">
        <is>
          <t>A 7264-2022</t>
        </is>
      </c>
      <c r="B105" s="1" t="n">
        <v>44606</v>
      </c>
      <c r="C105" s="1" t="n">
        <v>45996</v>
      </c>
      <c r="D105" t="inlineStr">
        <is>
          <t>STOCKHOLMS LÄN</t>
        </is>
      </c>
      <c r="E105" t="inlineStr">
        <is>
          <t>VALLENTUNA</t>
        </is>
      </c>
      <c r="G105" t="n">
        <v>2.4</v>
      </c>
      <c r="H105" t="n">
        <v>0</v>
      </c>
      <c r="I105" t="n">
        <v>0</v>
      </c>
      <c r="J105" t="n">
        <v>0</v>
      </c>
      <c r="K105" t="n">
        <v>0</v>
      </c>
      <c r="L105" t="n">
        <v>0</v>
      </c>
      <c r="M105" t="n">
        <v>0</v>
      </c>
      <c r="N105" t="n">
        <v>0</v>
      </c>
      <c r="O105" t="n">
        <v>0</v>
      </c>
      <c r="P105" t="n">
        <v>0</v>
      </c>
      <c r="Q105" t="n">
        <v>0</v>
      </c>
      <c r="R105" s="2" t="inlineStr"/>
    </row>
    <row r="106" ht="15" customHeight="1">
      <c r="A106" t="inlineStr">
        <is>
          <t>A 14775-2024</t>
        </is>
      </c>
      <c r="B106" s="1" t="n">
        <v>45397.73675925926</v>
      </c>
      <c r="C106" s="1" t="n">
        <v>45996</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8565-2025</t>
        </is>
      </c>
      <c r="B107" s="1" t="n">
        <v>45709</v>
      </c>
      <c r="C107" s="1" t="n">
        <v>45996</v>
      </c>
      <c r="D107" t="inlineStr">
        <is>
          <t>STOCKHOLMS LÄN</t>
        </is>
      </c>
      <c r="E107" t="inlineStr">
        <is>
          <t>VALLENTUNA</t>
        </is>
      </c>
      <c r="F107" t="inlineStr">
        <is>
          <t>Kommuner</t>
        </is>
      </c>
      <c r="G107" t="n">
        <v>4.2</v>
      </c>
      <c r="H107" t="n">
        <v>0</v>
      </c>
      <c r="I107" t="n">
        <v>0</v>
      </c>
      <c r="J107" t="n">
        <v>0</v>
      </c>
      <c r="K107" t="n">
        <v>0</v>
      </c>
      <c r="L107" t="n">
        <v>0</v>
      </c>
      <c r="M107" t="n">
        <v>0</v>
      </c>
      <c r="N107" t="n">
        <v>0</v>
      </c>
      <c r="O107" t="n">
        <v>0</v>
      </c>
      <c r="P107" t="n">
        <v>0</v>
      </c>
      <c r="Q107" t="n">
        <v>0</v>
      </c>
      <c r="R107" s="2" t="inlineStr"/>
    </row>
    <row r="108" ht="15" customHeight="1">
      <c r="A108" t="inlineStr">
        <is>
          <t>A 44988-2025</t>
        </is>
      </c>
      <c r="B108" s="1" t="n">
        <v>45918.65505787037</v>
      </c>
      <c r="C108" s="1" t="n">
        <v>45996</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8787-2024</t>
        </is>
      </c>
      <c r="B109" s="1" t="n">
        <v>45356</v>
      </c>
      <c r="C109" s="1" t="n">
        <v>45996</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14782-2024</t>
        </is>
      </c>
      <c r="B110" s="1" t="n">
        <v>45397.74266203704</v>
      </c>
      <c r="C110" s="1" t="n">
        <v>45996</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52562-2023</t>
        </is>
      </c>
      <c r="B111" s="1" t="n">
        <v>45225</v>
      </c>
      <c r="C111" s="1" t="n">
        <v>45996</v>
      </c>
      <c r="D111" t="inlineStr">
        <is>
          <t>STOCKHOLMS LÄN</t>
        </is>
      </c>
      <c r="E111" t="inlineStr">
        <is>
          <t>VALLENTUNA</t>
        </is>
      </c>
      <c r="G111" t="n">
        <v>3.4</v>
      </c>
      <c r="H111" t="n">
        <v>0</v>
      </c>
      <c r="I111" t="n">
        <v>0</v>
      </c>
      <c r="J111" t="n">
        <v>0</v>
      </c>
      <c r="K111" t="n">
        <v>0</v>
      </c>
      <c r="L111" t="n">
        <v>0</v>
      </c>
      <c r="M111" t="n">
        <v>0</v>
      </c>
      <c r="N111" t="n">
        <v>0</v>
      </c>
      <c r="O111" t="n">
        <v>0</v>
      </c>
      <c r="P111" t="n">
        <v>0</v>
      </c>
      <c r="Q111" t="n">
        <v>0</v>
      </c>
      <c r="R111" s="2" t="inlineStr"/>
    </row>
    <row r="112" ht="15" customHeight="1">
      <c r="A112" t="inlineStr">
        <is>
          <t>A 27868-2025</t>
        </is>
      </c>
      <c r="B112" s="1" t="n">
        <v>45817</v>
      </c>
      <c r="C112" s="1" t="n">
        <v>45996</v>
      </c>
      <c r="D112" t="inlineStr">
        <is>
          <t>STOCKHOLMS LÄN</t>
        </is>
      </c>
      <c r="E112" t="inlineStr">
        <is>
          <t>VALLENTUNA</t>
        </is>
      </c>
      <c r="G112" t="n">
        <v>2.1</v>
      </c>
      <c r="H112" t="n">
        <v>0</v>
      </c>
      <c r="I112" t="n">
        <v>0</v>
      </c>
      <c r="J112" t="n">
        <v>0</v>
      </c>
      <c r="K112" t="n">
        <v>0</v>
      </c>
      <c r="L112" t="n">
        <v>0</v>
      </c>
      <c r="M112" t="n">
        <v>0</v>
      </c>
      <c r="N112" t="n">
        <v>0</v>
      </c>
      <c r="O112" t="n">
        <v>0</v>
      </c>
      <c r="P112" t="n">
        <v>0</v>
      </c>
      <c r="Q112" t="n">
        <v>0</v>
      </c>
      <c r="R112" s="2" t="inlineStr"/>
    </row>
    <row r="113" ht="15" customHeight="1">
      <c r="A113" t="inlineStr">
        <is>
          <t>A 19356-2025</t>
        </is>
      </c>
      <c r="B113" s="1" t="n">
        <v>45769.62061342593</v>
      </c>
      <c r="C113" s="1" t="n">
        <v>45996</v>
      </c>
      <c r="D113" t="inlineStr">
        <is>
          <t>STOCKHOLMS LÄN</t>
        </is>
      </c>
      <c r="E113" t="inlineStr">
        <is>
          <t>VALLENTUNA</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49530-2023</t>
        </is>
      </c>
      <c r="B114" s="1" t="n">
        <v>45205</v>
      </c>
      <c r="C114" s="1" t="n">
        <v>45996</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11950-2025</t>
        </is>
      </c>
      <c r="B115" s="1" t="n">
        <v>45728.55622685186</v>
      </c>
      <c r="C115" s="1" t="n">
        <v>45996</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52542-2023</t>
        </is>
      </c>
      <c r="B116" s="1" t="n">
        <v>45225</v>
      </c>
      <c r="C116" s="1" t="n">
        <v>45996</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54466-2025</t>
        </is>
      </c>
      <c r="B117" s="1" t="n">
        <v>45965.56984953704</v>
      </c>
      <c r="C117" s="1" t="n">
        <v>45996</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45996</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9063-2024</t>
        </is>
      </c>
      <c r="B119" s="1" t="n">
        <v>45357.72652777778</v>
      </c>
      <c r="C119" s="1" t="n">
        <v>45996</v>
      </c>
      <c r="D119" t="inlineStr">
        <is>
          <t>STOCKHOLMS LÄN</t>
        </is>
      </c>
      <c r="E119" t="inlineStr">
        <is>
          <t>VALLENTUNA</t>
        </is>
      </c>
      <c r="G119" t="n">
        <v>4.1</v>
      </c>
      <c r="H119" t="n">
        <v>0</v>
      </c>
      <c r="I119" t="n">
        <v>0</v>
      </c>
      <c r="J119" t="n">
        <v>0</v>
      </c>
      <c r="K119" t="n">
        <v>0</v>
      </c>
      <c r="L119" t="n">
        <v>0</v>
      </c>
      <c r="M119" t="n">
        <v>0</v>
      </c>
      <c r="N119" t="n">
        <v>0</v>
      </c>
      <c r="O119" t="n">
        <v>0</v>
      </c>
      <c r="P119" t="n">
        <v>0</v>
      </c>
      <c r="Q119" t="n">
        <v>0</v>
      </c>
      <c r="R119" s="2" t="inlineStr"/>
    </row>
    <row r="120" ht="15" customHeight="1">
      <c r="A120" t="inlineStr">
        <is>
          <t>A 27870-2025</t>
        </is>
      </c>
      <c r="B120" s="1" t="n">
        <v>45817</v>
      </c>
      <c r="C120" s="1" t="n">
        <v>45996</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54460-2025</t>
        </is>
      </c>
      <c r="B121" s="1" t="n">
        <v>45965.56219907408</v>
      </c>
      <c r="C121" s="1" t="n">
        <v>45996</v>
      </c>
      <c r="D121" t="inlineStr">
        <is>
          <t>STOCKHOLMS LÄN</t>
        </is>
      </c>
      <c r="E121" t="inlineStr">
        <is>
          <t>VALLENTUNA</t>
        </is>
      </c>
      <c r="G121" t="n">
        <v>22.9</v>
      </c>
      <c r="H121" t="n">
        <v>0</v>
      </c>
      <c r="I121" t="n">
        <v>0</v>
      </c>
      <c r="J121" t="n">
        <v>0</v>
      </c>
      <c r="K121" t="n">
        <v>0</v>
      </c>
      <c r="L121" t="n">
        <v>0</v>
      </c>
      <c r="M121" t="n">
        <v>0</v>
      </c>
      <c r="N121" t="n">
        <v>0</v>
      </c>
      <c r="O121" t="n">
        <v>0</v>
      </c>
      <c r="P121" t="n">
        <v>0</v>
      </c>
      <c r="Q121" t="n">
        <v>0</v>
      </c>
      <c r="R121" s="2" t="inlineStr"/>
    </row>
    <row r="122" ht="15" customHeight="1">
      <c r="A122" t="inlineStr">
        <is>
          <t>A 14489-2024</t>
        </is>
      </c>
      <c r="B122" s="1" t="n">
        <v>45394.58053240741</v>
      </c>
      <c r="C122" s="1" t="n">
        <v>45996</v>
      </c>
      <c r="D122" t="inlineStr">
        <is>
          <t>STOCKHOLMS LÄN</t>
        </is>
      </c>
      <c r="E122" t="inlineStr">
        <is>
          <t>VALLENTUNA</t>
        </is>
      </c>
      <c r="G122" t="n">
        <v>2.3</v>
      </c>
      <c r="H122" t="n">
        <v>0</v>
      </c>
      <c r="I122" t="n">
        <v>0</v>
      </c>
      <c r="J122" t="n">
        <v>0</v>
      </c>
      <c r="K122" t="n">
        <v>0</v>
      </c>
      <c r="L122" t="n">
        <v>0</v>
      </c>
      <c r="M122" t="n">
        <v>0</v>
      </c>
      <c r="N122" t="n">
        <v>0</v>
      </c>
      <c r="O122" t="n">
        <v>0</v>
      </c>
      <c r="P122" t="n">
        <v>0</v>
      </c>
      <c r="Q122" t="n">
        <v>0</v>
      </c>
      <c r="R122" s="2" t="inlineStr"/>
    </row>
    <row r="123" ht="15" customHeight="1">
      <c r="A123" t="inlineStr">
        <is>
          <t>A 15268-2023</t>
        </is>
      </c>
      <c r="B123" s="1" t="n">
        <v>45019.41045138889</v>
      </c>
      <c r="C123" s="1" t="n">
        <v>45996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61442-2024</t>
        </is>
      </c>
      <c r="B124" s="1" t="n">
        <v>45646.47003472222</v>
      </c>
      <c r="C124" s="1" t="n">
        <v>45996</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48068-2021</t>
        </is>
      </c>
      <c r="B125" s="1" t="n">
        <v>44449.42270833333</v>
      </c>
      <c r="C125" s="1" t="n">
        <v>45996</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21445-2023</t>
        </is>
      </c>
      <c r="B126" s="1" t="n">
        <v>45063</v>
      </c>
      <c r="C126" s="1" t="n">
        <v>45996</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45996</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34452-2021</t>
        </is>
      </c>
      <c r="B128" s="1" t="n">
        <v>44381</v>
      </c>
      <c r="C128" s="1" t="n">
        <v>45996</v>
      </c>
      <c r="D128" t="inlineStr">
        <is>
          <t>STOCKHOLMS LÄN</t>
        </is>
      </c>
      <c r="E128" t="inlineStr">
        <is>
          <t>VALLENTUNA</t>
        </is>
      </c>
      <c r="G128" t="n">
        <v>14.7</v>
      </c>
      <c r="H128" t="n">
        <v>0</v>
      </c>
      <c r="I128" t="n">
        <v>0</v>
      </c>
      <c r="J128" t="n">
        <v>0</v>
      </c>
      <c r="K128" t="n">
        <v>0</v>
      </c>
      <c r="L128" t="n">
        <v>0</v>
      </c>
      <c r="M128" t="n">
        <v>0</v>
      </c>
      <c r="N128" t="n">
        <v>0</v>
      </c>
      <c r="O128" t="n">
        <v>0</v>
      </c>
      <c r="P128" t="n">
        <v>0</v>
      </c>
      <c r="Q128" t="n">
        <v>0</v>
      </c>
      <c r="R128" s="2" t="inlineStr"/>
    </row>
    <row r="129" ht="15" customHeight="1">
      <c r="A129" t="inlineStr">
        <is>
          <t>A 20791-2025</t>
        </is>
      </c>
      <c r="B129" s="1" t="n">
        <v>45776.62738425926</v>
      </c>
      <c r="C129" s="1" t="n">
        <v>45996</v>
      </c>
      <c r="D129" t="inlineStr">
        <is>
          <t>STOCKHOLMS LÄN</t>
        </is>
      </c>
      <c r="E129" t="inlineStr">
        <is>
          <t>VALLENTUNA</t>
        </is>
      </c>
      <c r="G129" t="n">
        <v>1.5</v>
      </c>
      <c r="H129" t="n">
        <v>0</v>
      </c>
      <c r="I129" t="n">
        <v>0</v>
      </c>
      <c r="J129" t="n">
        <v>0</v>
      </c>
      <c r="K129" t="n">
        <v>0</v>
      </c>
      <c r="L129" t="n">
        <v>0</v>
      </c>
      <c r="M129" t="n">
        <v>0</v>
      </c>
      <c r="N129" t="n">
        <v>0</v>
      </c>
      <c r="O129" t="n">
        <v>0</v>
      </c>
      <c r="P129" t="n">
        <v>0</v>
      </c>
      <c r="Q129" t="n">
        <v>0</v>
      </c>
      <c r="R129" s="2" t="inlineStr"/>
    </row>
    <row r="130" ht="15" customHeight="1">
      <c r="A130" t="inlineStr">
        <is>
          <t>A 10073-2024</t>
        </is>
      </c>
      <c r="B130" s="1" t="n">
        <v>45364.40821759259</v>
      </c>
      <c r="C130" s="1" t="n">
        <v>45996</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12621-2024</t>
        </is>
      </c>
      <c r="B131" s="1" t="n">
        <v>45383.6325</v>
      </c>
      <c r="C131" s="1" t="n">
        <v>45996</v>
      </c>
      <c r="D131" t="inlineStr">
        <is>
          <t>STOCKHOLMS LÄN</t>
        </is>
      </c>
      <c r="E131" t="inlineStr">
        <is>
          <t>VALLENTUNA</t>
        </is>
      </c>
      <c r="G131" t="n">
        <v>4.4</v>
      </c>
      <c r="H131" t="n">
        <v>0</v>
      </c>
      <c r="I131" t="n">
        <v>0</v>
      </c>
      <c r="J131" t="n">
        <v>0</v>
      </c>
      <c r="K131" t="n">
        <v>0</v>
      </c>
      <c r="L131" t="n">
        <v>0</v>
      </c>
      <c r="M131" t="n">
        <v>0</v>
      </c>
      <c r="N131" t="n">
        <v>0</v>
      </c>
      <c r="O131" t="n">
        <v>0</v>
      </c>
      <c r="P131" t="n">
        <v>0</v>
      </c>
      <c r="Q131" t="n">
        <v>0</v>
      </c>
      <c r="R131" s="2" t="inlineStr"/>
    </row>
    <row r="132" ht="15" customHeight="1">
      <c r="A132" t="inlineStr">
        <is>
          <t>A 34441-2023</t>
        </is>
      </c>
      <c r="B132" s="1" t="n">
        <v>45139</v>
      </c>
      <c r="C132" s="1" t="n">
        <v>45996</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34445-2023</t>
        </is>
      </c>
      <c r="B133" s="1" t="n">
        <v>45139</v>
      </c>
      <c r="C133" s="1" t="n">
        <v>45996</v>
      </c>
      <c r="D133" t="inlineStr">
        <is>
          <t>STOCKHOLMS LÄN</t>
        </is>
      </c>
      <c r="E133" t="inlineStr">
        <is>
          <t>VALLENTUNA</t>
        </is>
      </c>
      <c r="G133" t="n">
        <v>0.9</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45996</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12585-2023</t>
        </is>
      </c>
      <c r="B135" s="1" t="n">
        <v>45000.41373842592</v>
      </c>
      <c r="C135" s="1" t="n">
        <v>45996</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46381-2023</t>
        </is>
      </c>
      <c r="B136" s="1" t="n">
        <v>45193</v>
      </c>
      <c r="C136" s="1" t="n">
        <v>45996</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23009-2024</t>
        </is>
      </c>
      <c r="B137" s="1" t="n">
        <v>45450.34506944445</v>
      </c>
      <c r="C137" s="1" t="n">
        <v>45996</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61027-2023</t>
        </is>
      </c>
      <c r="B138" s="1" t="n">
        <v>45261</v>
      </c>
      <c r="C138" s="1" t="n">
        <v>45996</v>
      </c>
      <c r="D138" t="inlineStr">
        <is>
          <t>STOCKHOLMS LÄN</t>
        </is>
      </c>
      <c r="E138" t="inlineStr">
        <is>
          <t>VALLENTUNA</t>
        </is>
      </c>
      <c r="G138" t="n">
        <v>7.1</v>
      </c>
      <c r="H138" t="n">
        <v>0</v>
      </c>
      <c r="I138" t="n">
        <v>0</v>
      </c>
      <c r="J138" t="n">
        <v>0</v>
      </c>
      <c r="K138" t="n">
        <v>0</v>
      </c>
      <c r="L138" t="n">
        <v>0</v>
      </c>
      <c r="M138" t="n">
        <v>0</v>
      </c>
      <c r="N138" t="n">
        <v>0</v>
      </c>
      <c r="O138" t="n">
        <v>0</v>
      </c>
      <c r="P138" t="n">
        <v>0</v>
      </c>
      <c r="Q138" t="n">
        <v>0</v>
      </c>
      <c r="R138" s="2" t="inlineStr"/>
    </row>
    <row r="139" ht="15" customHeight="1">
      <c r="A139" t="inlineStr">
        <is>
          <t>A 48014-2025</t>
        </is>
      </c>
      <c r="B139" s="1" t="n">
        <v>45932.64520833334</v>
      </c>
      <c r="C139" s="1" t="n">
        <v>45996</v>
      </c>
      <c r="D139" t="inlineStr">
        <is>
          <t>STOCKHOLMS LÄN</t>
        </is>
      </c>
      <c r="E139" t="inlineStr">
        <is>
          <t>VALLENTUNA</t>
        </is>
      </c>
      <c r="G139" t="n">
        <v>0.6</v>
      </c>
      <c r="H139" t="n">
        <v>0</v>
      </c>
      <c r="I139" t="n">
        <v>0</v>
      </c>
      <c r="J139" t="n">
        <v>0</v>
      </c>
      <c r="K139" t="n">
        <v>0</v>
      </c>
      <c r="L139" t="n">
        <v>0</v>
      </c>
      <c r="M139" t="n">
        <v>0</v>
      </c>
      <c r="N139" t="n">
        <v>0</v>
      </c>
      <c r="O139" t="n">
        <v>0</v>
      </c>
      <c r="P139" t="n">
        <v>0</v>
      </c>
      <c r="Q139" t="n">
        <v>0</v>
      </c>
      <c r="R139" s="2" t="inlineStr"/>
    </row>
    <row r="140" ht="15" customHeight="1">
      <c r="A140" t="inlineStr">
        <is>
          <t>A 48038-2025</t>
        </is>
      </c>
      <c r="B140" s="1" t="n">
        <v>45932.66008101852</v>
      </c>
      <c r="C140" s="1" t="n">
        <v>45996</v>
      </c>
      <c r="D140" t="inlineStr">
        <is>
          <t>STOCKHOLMS LÄN</t>
        </is>
      </c>
      <c r="E140" t="inlineStr">
        <is>
          <t>VALLENTUNA</t>
        </is>
      </c>
      <c r="G140" t="n">
        <v>0.5</v>
      </c>
      <c r="H140" t="n">
        <v>0</v>
      </c>
      <c r="I140" t="n">
        <v>0</v>
      </c>
      <c r="J140" t="n">
        <v>0</v>
      </c>
      <c r="K140" t="n">
        <v>0</v>
      </c>
      <c r="L140" t="n">
        <v>0</v>
      </c>
      <c r="M140" t="n">
        <v>0</v>
      </c>
      <c r="N140" t="n">
        <v>0</v>
      </c>
      <c r="O140" t="n">
        <v>0</v>
      </c>
      <c r="P140" t="n">
        <v>0</v>
      </c>
      <c r="Q140" t="n">
        <v>0</v>
      </c>
      <c r="R140" s="2" t="inlineStr"/>
    </row>
    <row r="141">
      <c r="A141" t="inlineStr">
        <is>
          <t>A 50784-2025</t>
        </is>
      </c>
      <c r="B141" s="1" t="n">
        <v>45946</v>
      </c>
      <c r="C141" s="1" t="n">
        <v>45996</v>
      </c>
      <c r="D141" t="inlineStr">
        <is>
          <t>STOCKHOLMS LÄN</t>
        </is>
      </c>
      <c r="E141" t="inlineStr">
        <is>
          <t>VALLENTUNA</t>
        </is>
      </c>
      <c r="G141" t="n">
        <v>1</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2025-12-05T10:34:02Z</dcterms:created>
  <dcterms:modified xmlns:dcterms="http://purl.org/dc/terms/" xmlns:xsi="http://www.w3.org/2001/XMLSchema-instance" xsi:type="dcterms:W3CDTF">2025-12-05T10:34:02Z</dcterms:modified>
</cp:coreProperties>
</file>