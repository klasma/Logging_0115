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46138</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46138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46138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46138</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46138</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46138</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62402-2022</t>
        </is>
      </c>
      <c r="B25" s="1" t="n">
        <v>44923</v>
      </c>
      <c r="C25" s="1" t="n">
        <v>46138</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41021-2023</t>
        </is>
      </c>
      <c r="B26" s="1" t="n">
        <v>45173</v>
      </c>
      <c r="C26" s="1" t="n">
        <v>46138</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21612-2021</t>
        </is>
      </c>
      <c r="B27" s="1" t="n">
        <v>44321</v>
      </c>
      <c r="C27" s="1" t="n">
        <v>46138</v>
      </c>
      <c r="D27" t="inlineStr">
        <is>
          <t>STOCKHOLMS LÄN</t>
        </is>
      </c>
      <c r="E27" t="inlineStr">
        <is>
          <t>VALLENTUNA</t>
        </is>
      </c>
      <c r="G27" t="n">
        <v>1.4</v>
      </c>
      <c r="H27" t="n">
        <v>2</v>
      </c>
      <c r="I27" t="n">
        <v>0</v>
      </c>
      <c r="J27" t="n">
        <v>1</v>
      </c>
      <c r="K27" t="n">
        <v>0</v>
      </c>
      <c r="L27" t="n">
        <v>0</v>
      </c>
      <c r="M27" t="n">
        <v>0</v>
      </c>
      <c r="N27" t="n">
        <v>0</v>
      </c>
      <c r="O27" t="n">
        <v>1</v>
      </c>
      <c r="P27" t="n">
        <v>0</v>
      </c>
      <c r="Q27" t="n">
        <v>2</v>
      </c>
      <c r="R27" s="2" t="inlineStr">
        <is>
          <t>Gulsparv
Grönsiska</t>
        </is>
      </c>
      <c r="S27">
        <f>HYPERLINK("https://klasma.github.io/Logging_0115/artfynd/A 21612-2021 artfynd.xlsx", "A 21612-2021")</f>
        <v/>
      </c>
      <c r="T27">
        <f>HYPERLINK("https://klasma.github.io/Logging_0115/kartor/A 21612-2021 karta.png", "A 21612-2021")</f>
        <v/>
      </c>
      <c r="V27">
        <f>HYPERLINK("https://klasma.github.io/Logging_0115/klagomål/A 21612-2021 FSC-klagomål.docx", "A 21612-2021")</f>
        <v/>
      </c>
      <c r="W27">
        <f>HYPERLINK("https://klasma.github.io/Logging_0115/klagomålsmail/A 21612-2021 FSC-klagomål mail.docx", "A 21612-2021")</f>
        <v/>
      </c>
      <c r="X27">
        <f>HYPERLINK("https://klasma.github.io/Logging_0115/tillsyn/A 21612-2021 tillsynsbegäran.docx", "A 21612-2021")</f>
        <v/>
      </c>
      <c r="Y27">
        <f>HYPERLINK("https://klasma.github.io/Logging_0115/tillsynsmail/A 21612-2021 tillsynsbegäran mail.docx", "A 21612-2021")</f>
        <v/>
      </c>
      <c r="Z27">
        <f>HYPERLINK("https://klasma.github.io/Logging_0115/fåglar/A 21612-2021 prioriterade fågelarter.docx", "A 21612-2021")</f>
        <v/>
      </c>
    </row>
    <row r="28" ht="15" customHeight="1">
      <c r="A28" t="inlineStr">
        <is>
          <t>A 17341-2025</t>
        </is>
      </c>
      <c r="B28" s="1" t="n">
        <v>45756</v>
      </c>
      <c r="C28" s="1" t="n">
        <v>46138</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8817-2025</t>
        </is>
      </c>
      <c r="B29" s="1" t="n">
        <v>45712.70987268518</v>
      </c>
      <c r="C29" s="1" t="n">
        <v>46138</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46138</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21439-2025</t>
        </is>
      </c>
      <c r="B31" s="1" t="n">
        <v>45782.52939814814</v>
      </c>
      <c r="C31" s="1" t="n">
        <v>46138</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46138</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7890-2023</t>
        </is>
      </c>
      <c r="B33" s="1" t="n">
        <v>44973</v>
      </c>
      <c r="C33" s="1" t="n">
        <v>46138</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22830-2024</t>
        </is>
      </c>
      <c r="B34" s="1" t="n">
        <v>45448.56583333333</v>
      </c>
      <c r="C34" s="1" t="n">
        <v>46138</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54481-2025</t>
        </is>
      </c>
      <c r="B35" s="1" t="n">
        <v>45965.58837962963</v>
      </c>
      <c r="C35" s="1" t="n">
        <v>46138</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63539-2025</t>
        </is>
      </c>
      <c r="B36" s="1" t="n">
        <v>46013.58824074074</v>
      </c>
      <c r="C36" s="1" t="n">
        <v>46138</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46138</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34460-2023</t>
        </is>
      </c>
      <c r="B38" s="1" t="n">
        <v>45139</v>
      </c>
      <c r="C38" s="1" t="n">
        <v>46138</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17348-2025</t>
        </is>
      </c>
      <c r="B39" s="1" t="n">
        <v>45756</v>
      </c>
      <c r="C39" s="1" t="n">
        <v>46138</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34458-2023</t>
        </is>
      </c>
      <c r="B40" s="1" t="n">
        <v>45139</v>
      </c>
      <c r="C40" s="1" t="n">
        <v>46138</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12401-2026</t>
        </is>
      </c>
      <c r="B41" s="1" t="n">
        <v>46090</v>
      </c>
      <c r="C41" s="1" t="n">
        <v>46138</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46138</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21-2022</t>
        </is>
      </c>
      <c r="B43" s="1" t="n">
        <v>44560</v>
      </c>
      <c r="C43" s="1" t="n">
        <v>46138</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20612-2021</t>
        </is>
      </c>
      <c r="B44" s="1" t="n">
        <v>44315</v>
      </c>
      <c r="C44" s="1" t="n">
        <v>46138</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46138</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46138</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46138</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46138</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46138</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46138</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46138</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46138</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46138</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46138</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46138</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46138</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46138</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46138</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46138</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12562-2023</t>
        </is>
      </c>
      <c r="B61" s="1" t="n">
        <v>45000</v>
      </c>
      <c r="C61" s="1" t="n">
        <v>46138</v>
      </c>
      <c r="D61" t="inlineStr">
        <is>
          <t>STOCKHOLMS LÄN</t>
        </is>
      </c>
      <c r="E61" t="inlineStr">
        <is>
          <t>VALLENTUNA</t>
        </is>
      </c>
      <c r="G61" t="n">
        <v>2.1</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46138</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46138</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46138</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46138</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46138</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45496-2023</t>
        </is>
      </c>
      <c r="B67" s="1" t="n">
        <v>45194</v>
      </c>
      <c r="C67" s="1" t="n">
        <v>46138</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46138</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7264-2022</t>
        </is>
      </c>
      <c r="B69" s="1" t="n">
        <v>44606</v>
      </c>
      <c r="C69" s="1" t="n">
        <v>46138</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46138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46138</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46138</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46138</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46138</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14489-2024</t>
        </is>
      </c>
      <c r="B75" s="1" t="n">
        <v>45394.58053240741</v>
      </c>
      <c r="C75" s="1" t="n">
        <v>46138</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15268-2023</t>
        </is>
      </c>
      <c r="B76" s="1" t="n">
        <v>45019.41045138889</v>
      </c>
      <c r="C76" s="1" t="n">
        <v>46138</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46138</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46138</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45499-2023</t>
        </is>
      </c>
      <c r="B79" s="1" t="n">
        <v>45194</v>
      </c>
      <c r="C79" s="1" t="n">
        <v>46138</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34452-2021</t>
        </is>
      </c>
      <c r="B80" s="1" t="n">
        <v>44381</v>
      </c>
      <c r="C80" s="1" t="n">
        <v>46138</v>
      </c>
      <c r="D80" t="inlineStr">
        <is>
          <t>STOCKHOLMS LÄN</t>
        </is>
      </c>
      <c r="E80" t="inlineStr">
        <is>
          <t>VALLENTUNA</t>
        </is>
      </c>
      <c r="G80" t="n">
        <v>14.7</v>
      </c>
      <c r="H80" t="n">
        <v>0</v>
      </c>
      <c r="I80" t="n">
        <v>0</v>
      </c>
      <c r="J80" t="n">
        <v>0</v>
      </c>
      <c r="K80" t="n">
        <v>0</v>
      </c>
      <c r="L80" t="n">
        <v>0</v>
      </c>
      <c r="M80" t="n">
        <v>0</v>
      </c>
      <c r="N80" t="n">
        <v>0</v>
      </c>
      <c r="O80" t="n">
        <v>0</v>
      </c>
      <c r="P80" t="n">
        <v>0</v>
      </c>
      <c r="Q80" t="n">
        <v>0</v>
      </c>
      <c r="R80" s="2" t="inlineStr"/>
    </row>
    <row r="81" ht="15" customHeight="1">
      <c r="A81" t="inlineStr">
        <is>
          <t>A 20791-2025</t>
        </is>
      </c>
      <c r="B81" s="1" t="n">
        <v>45776.62738425926</v>
      </c>
      <c r="C81" s="1" t="n">
        <v>46138</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10073-2024</t>
        </is>
      </c>
      <c r="B82" s="1" t="n">
        <v>45364.40821759259</v>
      </c>
      <c r="C82" s="1" t="n">
        <v>46138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12621-2024</t>
        </is>
      </c>
      <c r="B83" s="1" t="n">
        <v>45383.6325</v>
      </c>
      <c r="C83" s="1" t="n">
        <v>46138</v>
      </c>
      <c r="D83" t="inlineStr">
        <is>
          <t>STOCKHOLMS LÄN</t>
        </is>
      </c>
      <c r="E83" t="inlineStr">
        <is>
          <t>VALLENTUNA</t>
        </is>
      </c>
      <c r="G83" t="n">
        <v>4.4</v>
      </c>
      <c r="H83" t="n">
        <v>0</v>
      </c>
      <c r="I83" t="n">
        <v>0</v>
      </c>
      <c r="J83" t="n">
        <v>0</v>
      </c>
      <c r="K83" t="n">
        <v>0</v>
      </c>
      <c r="L83" t="n">
        <v>0</v>
      </c>
      <c r="M83" t="n">
        <v>0</v>
      </c>
      <c r="N83" t="n">
        <v>0</v>
      </c>
      <c r="O83" t="n">
        <v>0</v>
      </c>
      <c r="P83" t="n">
        <v>0</v>
      </c>
      <c r="Q83" t="n">
        <v>0</v>
      </c>
      <c r="R83" s="2" t="inlineStr"/>
    </row>
    <row r="84" ht="15" customHeight="1">
      <c r="A84" t="inlineStr">
        <is>
          <t>A 15300-2023</t>
        </is>
      </c>
      <c r="B84" s="1" t="n">
        <v>45019</v>
      </c>
      <c r="C84" s="1" t="n">
        <v>46138</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12609-2024</t>
        </is>
      </c>
      <c r="B85" s="1" t="n">
        <v>45382.8109375</v>
      </c>
      <c r="C85" s="1" t="n">
        <v>46138</v>
      </c>
      <c r="D85" t="inlineStr">
        <is>
          <t>STOCKHOLMS LÄN</t>
        </is>
      </c>
      <c r="E85" t="inlineStr">
        <is>
          <t>VALLENTUNA</t>
        </is>
      </c>
      <c r="G85" t="n">
        <v>0.9</v>
      </c>
      <c r="H85" t="n">
        <v>0</v>
      </c>
      <c r="I85" t="n">
        <v>0</v>
      </c>
      <c r="J85" t="n">
        <v>0</v>
      </c>
      <c r="K85" t="n">
        <v>0</v>
      </c>
      <c r="L85" t="n">
        <v>0</v>
      </c>
      <c r="M85" t="n">
        <v>0</v>
      </c>
      <c r="N85" t="n">
        <v>0</v>
      </c>
      <c r="O85" t="n">
        <v>0</v>
      </c>
      <c r="P85" t="n">
        <v>0</v>
      </c>
      <c r="Q85" t="n">
        <v>0</v>
      </c>
      <c r="R85" s="2" t="inlineStr"/>
    </row>
    <row r="86" ht="15" customHeight="1">
      <c r="A86" t="inlineStr">
        <is>
          <t>A 46381-2023</t>
        </is>
      </c>
      <c r="B86" s="1" t="n">
        <v>45193</v>
      </c>
      <c r="C86" s="1" t="n">
        <v>46138</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23009-2024</t>
        </is>
      </c>
      <c r="B87" s="1" t="n">
        <v>45450.34506944445</v>
      </c>
      <c r="C87" s="1" t="n">
        <v>46138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61027-2023</t>
        </is>
      </c>
      <c r="B88" s="1" t="n">
        <v>45261</v>
      </c>
      <c r="C88" s="1" t="n">
        <v>46138</v>
      </c>
      <c r="D88" t="inlineStr">
        <is>
          <t>STOCKHOLMS LÄN</t>
        </is>
      </c>
      <c r="E88" t="inlineStr">
        <is>
          <t>VALLENTUNA</t>
        </is>
      </c>
      <c r="G88" t="n">
        <v>7.1</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46138</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44988-2025</t>
        </is>
      </c>
      <c r="B90" s="1" t="n">
        <v>45918.65505787037</v>
      </c>
      <c r="C90" s="1" t="n">
        <v>46138</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61742-2022</t>
        </is>
      </c>
      <c r="B91" s="1" t="n">
        <v>44917</v>
      </c>
      <c r="C91" s="1" t="n">
        <v>46138</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23923-2025</t>
        </is>
      </c>
      <c r="B92" s="1" t="n">
        <v>45795.39648148148</v>
      </c>
      <c r="C92" s="1" t="n">
        <v>46138</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48014-2025</t>
        </is>
      </c>
      <c r="B93" s="1" t="n">
        <v>45932.64520833334</v>
      </c>
      <c r="C93" s="1" t="n">
        <v>46138</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46138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46138</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25984-2025</t>
        </is>
      </c>
      <c r="B96" s="1" t="n">
        <v>45804.64016203704</v>
      </c>
      <c r="C96" s="1" t="n">
        <v>46138</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50784-2025</t>
        </is>
      </c>
      <c r="B97" s="1" t="n">
        <v>45946</v>
      </c>
      <c r="C97" s="1" t="n">
        <v>46138</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46138</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27868-2025</t>
        </is>
      </c>
      <c r="B99" s="1" t="n">
        <v>45817</v>
      </c>
      <c r="C99" s="1" t="n">
        <v>46138</v>
      </c>
      <c r="D99" t="inlineStr">
        <is>
          <t>STOCKHOLMS LÄN</t>
        </is>
      </c>
      <c r="E99" t="inlineStr">
        <is>
          <t>VALLENTUNA</t>
        </is>
      </c>
      <c r="G99" t="n">
        <v>2.1</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46138</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54460-2025</t>
        </is>
      </c>
      <c r="B101" s="1" t="n">
        <v>45965.56219907408</v>
      </c>
      <c r="C101" s="1" t="n">
        <v>46138</v>
      </c>
      <c r="D101" t="inlineStr">
        <is>
          <t>STOCKHOLMS LÄN</t>
        </is>
      </c>
      <c r="E101" t="inlineStr">
        <is>
          <t>VALLENTUNA</t>
        </is>
      </c>
      <c r="G101" t="n">
        <v>22.9</v>
      </c>
      <c r="H101" t="n">
        <v>0</v>
      </c>
      <c r="I101" t="n">
        <v>0</v>
      </c>
      <c r="J101" t="n">
        <v>0</v>
      </c>
      <c r="K101" t="n">
        <v>0</v>
      </c>
      <c r="L101" t="n">
        <v>0</v>
      </c>
      <c r="M101" t="n">
        <v>0</v>
      </c>
      <c r="N101" t="n">
        <v>0</v>
      </c>
      <c r="O101" t="n">
        <v>0</v>
      </c>
      <c r="P101" t="n">
        <v>0</v>
      </c>
      <c r="Q101" t="n">
        <v>0</v>
      </c>
      <c r="R101" s="2" t="inlineStr"/>
    </row>
    <row r="102" ht="15" customHeight="1">
      <c r="A102" t="inlineStr">
        <is>
          <t>A 54466-2025</t>
        </is>
      </c>
      <c r="B102" s="1" t="n">
        <v>45965.56984953704</v>
      </c>
      <c r="C102" s="1" t="n">
        <v>46138</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46138</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46138</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24994-2021</t>
        </is>
      </c>
      <c r="B105" s="1" t="n">
        <v>44341</v>
      </c>
      <c r="C105" s="1" t="n">
        <v>46138</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60795-2023</t>
        </is>
      </c>
      <c r="B106" s="1" t="n">
        <v>45260</v>
      </c>
      <c r="C106" s="1" t="n">
        <v>46138</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60997-2022</t>
        </is>
      </c>
      <c r="B107" s="1" t="n">
        <v>44914.70746527778</v>
      </c>
      <c r="C107" s="1" t="n">
        <v>46138</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27870-2025</t>
        </is>
      </c>
      <c r="B108" s="1" t="n">
        <v>45817</v>
      </c>
      <c r="C108" s="1" t="n">
        <v>46138</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46138</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46138</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14775-2024</t>
        </is>
      </c>
      <c r="B111" s="1" t="n">
        <v>45397.73675925926</v>
      </c>
      <c r="C111" s="1" t="n">
        <v>46138</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8565-2025</t>
        </is>
      </c>
      <c r="B112" s="1" t="n">
        <v>45709</v>
      </c>
      <c r="C112" s="1" t="n">
        <v>46138</v>
      </c>
      <c r="D112" t="inlineStr">
        <is>
          <t>STOCKHOLMS LÄN</t>
        </is>
      </c>
      <c r="E112" t="inlineStr">
        <is>
          <t>VALLENTUNA</t>
        </is>
      </c>
      <c r="F112" t="inlineStr">
        <is>
          <t>Kommuner</t>
        </is>
      </c>
      <c r="G112" t="n">
        <v>4.2</v>
      </c>
      <c r="H112" t="n">
        <v>0</v>
      </c>
      <c r="I112" t="n">
        <v>0</v>
      </c>
      <c r="J112" t="n">
        <v>0</v>
      </c>
      <c r="K112" t="n">
        <v>0</v>
      </c>
      <c r="L112" t="n">
        <v>0</v>
      </c>
      <c r="M112" t="n">
        <v>0</v>
      </c>
      <c r="N112" t="n">
        <v>0</v>
      </c>
      <c r="O112" t="n">
        <v>0</v>
      </c>
      <c r="P112" t="n">
        <v>0</v>
      </c>
      <c r="Q112" t="n">
        <v>0</v>
      </c>
      <c r="R112" s="2" t="inlineStr"/>
    </row>
    <row r="113" ht="15" customHeight="1">
      <c r="A113" t="inlineStr">
        <is>
          <t>A 8787-2024</t>
        </is>
      </c>
      <c r="B113" s="1" t="n">
        <v>45356</v>
      </c>
      <c r="C113" s="1" t="n">
        <v>46138</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14782-2024</t>
        </is>
      </c>
      <c r="B114" s="1" t="n">
        <v>45397.74266203704</v>
      </c>
      <c r="C114" s="1" t="n">
        <v>46138</v>
      </c>
      <c r="D114" t="inlineStr">
        <is>
          <t>STOCKHOLMS LÄN</t>
        </is>
      </c>
      <c r="E114" t="inlineStr">
        <is>
          <t>VALLENTUNA</t>
        </is>
      </c>
      <c r="G114" t="n">
        <v>3.1</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46138</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49530-2023</t>
        </is>
      </c>
      <c r="B116" s="1" t="n">
        <v>45205</v>
      </c>
      <c r="C116" s="1" t="n">
        <v>46138</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46138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46138</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46138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9063-2024</t>
        </is>
      </c>
      <c r="B120" s="1" t="n">
        <v>45357.72652777778</v>
      </c>
      <c r="C120" s="1" t="n">
        <v>46138</v>
      </c>
      <c r="D120" t="inlineStr">
        <is>
          <t>STOCKHOLMS LÄN</t>
        </is>
      </c>
      <c r="E120" t="inlineStr">
        <is>
          <t>VALLENTUNA</t>
        </is>
      </c>
      <c r="G120" t="n">
        <v>4.1</v>
      </c>
      <c r="H120" t="n">
        <v>0</v>
      </c>
      <c r="I120" t="n">
        <v>0</v>
      </c>
      <c r="J120" t="n">
        <v>0</v>
      </c>
      <c r="K120" t="n">
        <v>0</v>
      </c>
      <c r="L120" t="n">
        <v>0</v>
      </c>
      <c r="M120" t="n">
        <v>0</v>
      </c>
      <c r="N120" t="n">
        <v>0</v>
      </c>
      <c r="O120" t="n">
        <v>0</v>
      </c>
      <c r="P120" t="n">
        <v>0</v>
      </c>
      <c r="Q120" t="n">
        <v>0</v>
      </c>
      <c r="R120" s="2" t="inlineStr"/>
    </row>
    <row r="121" ht="15" customHeight="1">
      <c r="A121" t="inlineStr">
        <is>
          <t>A 21445-2023</t>
        </is>
      </c>
      <c r="B121" s="1" t="n">
        <v>45063</v>
      </c>
      <c r="C121" s="1" t="n">
        <v>46138</v>
      </c>
      <c r="D121" t="inlineStr">
        <is>
          <t>STOCKHOLMS LÄN</t>
        </is>
      </c>
      <c r="E121" t="inlineStr">
        <is>
          <t>VALLENTUNA</t>
        </is>
      </c>
      <c r="G121" t="n">
        <v>3.1</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46138</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46138</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735-2024</t>
        </is>
      </c>
      <c r="B124" s="1" t="n">
        <v>45300</v>
      </c>
      <c r="C124" s="1" t="n">
        <v>46138</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12585-2023</t>
        </is>
      </c>
      <c r="B125" s="1" t="n">
        <v>45000.41373842592</v>
      </c>
      <c r="C125" s="1" t="n">
        <v>46138</v>
      </c>
      <c r="D125" t="inlineStr">
        <is>
          <t>STOCKHOLMS LÄN</t>
        </is>
      </c>
      <c r="E125" t="inlineStr">
        <is>
          <t>VALLENTUNA</t>
        </is>
      </c>
      <c r="G125" t="n">
        <v>3.7</v>
      </c>
      <c r="H125" t="n">
        <v>0</v>
      </c>
      <c r="I125" t="n">
        <v>0</v>
      </c>
      <c r="J125" t="n">
        <v>0</v>
      </c>
      <c r="K125" t="n">
        <v>0</v>
      </c>
      <c r="L125" t="n">
        <v>0</v>
      </c>
      <c r="M125" t="n">
        <v>0</v>
      </c>
      <c r="N125" t="n">
        <v>0</v>
      </c>
      <c r="O125" t="n">
        <v>0</v>
      </c>
      <c r="P125" t="n">
        <v>0</v>
      </c>
      <c r="Q125" t="n">
        <v>0</v>
      </c>
      <c r="R125" s="2" t="inlineStr"/>
    </row>
    <row r="126" ht="15" customHeight="1">
      <c r="A126" t="inlineStr">
        <is>
          <t>A 6298-2026</t>
        </is>
      </c>
      <c r="B126" s="1" t="n">
        <v>46055.5656712963</v>
      </c>
      <c r="C126" s="1" t="n">
        <v>46138</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46138</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47140-2024</t>
        </is>
      </c>
      <c r="B128" s="1" t="n">
        <v>45586.58753472222</v>
      </c>
      <c r="C128" s="1" t="n">
        <v>46138</v>
      </c>
      <c r="D128" t="inlineStr">
        <is>
          <t>STOCKHOLMS LÄN</t>
        </is>
      </c>
      <c r="E128" t="inlineStr">
        <is>
          <t>VALLENTUNA</t>
        </is>
      </c>
      <c r="G128" t="n">
        <v>1</v>
      </c>
      <c r="H128" t="n">
        <v>0</v>
      </c>
      <c r="I128" t="n">
        <v>0</v>
      </c>
      <c r="J128" t="n">
        <v>0</v>
      </c>
      <c r="K128" t="n">
        <v>0</v>
      </c>
      <c r="L128" t="n">
        <v>0</v>
      </c>
      <c r="M128" t="n">
        <v>0</v>
      </c>
      <c r="N128" t="n">
        <v>0</v>
      </c>
      <c r="O128" t="n">
        <v>0</v>
      </c>
      <c r="P128" t="n">
        <v>0</v>
      </c>
      <c r="Q128" t="n">
        <v>0</v>
      </c>
      <c r="R128" s="2" t="inlineStr"/>
    </row>
    <row r="129" ht="15" customHeight="1">
      <c r="A129" t="inlineStr">
        <is>
          <t>A 14799-2026</t>
        </is>
      </c>
      <c r="B129" s="1" t="n">
        <v>46102.82101851852</v>
      </c>
      <c r="C129" s="1" t="n">
        <v>46138</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46138</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21614-2022</t>
        </is>
      </c>
      <c r="B131" s="1" t="n">
        <v>44706</v>
      </c>
      <c r="C131" s="1" t="n">
        <v>46138</v>
      </c>
      <c r="D131" t="inlineStr">
        <is>
          <t>STOCKHOLMS LÄN</t>
        </is>
      </c>
      <c r="E131" t="inlineStr">
        <is>
          <t>VALLENTUNA</t>
        </is>
      </c>
      <c r="G131" t="n">
        <v>4</v>
      </c>
      <c r="H131" t="n">
        <v>0</v>
      </c>
      <c r="I131" t="n">
        <v>0</v>
      </c>
      <c r="J131" t="n">
        <v>0</v>
      </c>
      <c r="K131" t="n">
        <v>0</v>
      </c>
      <c r="L131" t="n">
        <v>0</v>
      </c>
      <c r="M131" t="n">
        <v>0</v>
      </c>
      <c r="N131" t="n">
        <v>0</v>
      </c>
      <c r="O131" t="n">
        <v>0</v>
      </c>
      <c r="P131" t="n">
        <v>0</v>
      </c>
      <c r="Q131" t="n">
        <v>0</v>
      </c>
      <c r="R131" s="2" t="inlineStr"/>
    </row>
    <row r="132" ht="15" customHeight="1">
      <c r="A132" t="inlineStr">
        <is>
          <t>A 23986-2023</t>
        </is>
      </c>
      <c r="B132" s="1" t="n">
        <v>45078</v>
      </c>
      <c r="C132" s="1" t="n">
        <v>46138</v>
      </c>
      <c r="D132" t="inlineStr">
        <is>
          <t>STOCKHOLMS LÄN</t>
        </is>
      </c>
      <c r="E132" t="inlineStr">
        <is>
          <t>VALLENTUNA</t>
        </is>
      </c>
      <c r="F132" t="inlineStr">
        <is>
          <t>Kyrkan</t>
        </is>
      </c>
      <c r="G132" t="n">
        <v>5.7</v>
      </c>
      <c r="H132" t="n">
        <v>0</v>
      </c>
      <c r="I132" t="n">
        <v>0</v>
      </c>
      <c r="J132" t="n">
        <v>0</v>
      </c>
      <c r="K132" t="n">
        <v>0</v>
      </c>
      <c r="L132" t="n">
        <v>0</v>
      </c>
      <c r="M132" t="n">
        <v>0</v>
      </c>
      <c r="N132" t="n">
        <v>0</v>
      </c>
      <c r="O132" t="n">
        <v>0</v>
      </c>
      <c r="P132" t="n">
        <v>0</v>
      </c>
      <c r="Q132" t="n">
        <v>0</v>
      </c>
      <c r="R132" s="2" t="inlineStr"/>
    </row>
    <row r="133" ht="15" customHeight="1">
      <c r="A133" t="inlineStr">
        <is>
          <t>A 17389-2026</t>
        </is>
      </c>
      <c r="B133" s="1" t="n">
        <v>46119.80603009259</v>
      </c>
      <c r="C133" s="1" t="n">
        <v>46138</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17387-2026</t>
        </is>
      </c>
      <c r="B134" s="1" t="n">
        <v>46119.79578703704</v>
      </c>
      <c r="C134" s="1" t="n">
        <v>46138</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17388-2026</t>
        </is>
      </c>
      <c r="B135" s="1" t="n">
        <v>46119.79952546296</v>
      </c>
      <c r="C135" s="1" t="n">
        <v>46138</v>
      </c>
      <c r="D135" t="inlineStr">
        <is>
          <t>STOCKHOLMS LÄN</t>
        </is>
      </c>
      <c r="E135" t="inlineStr">
        <is>
          <t>VALLENTUNA</t>
        </is>
      </c>
      <c r="G135" t="n">
        <v>2.9</v>
      </c>
      <c r="H135" t="n">
        <v>0</v>
      </c>
      <c r="I135" t="n">
        <v>0</v>
      </c>
      <c r="J135" t="n">
        <v>0</v>
      </c>
      <c r="K135" t="n">
        <v>0</v>
      </c>
      <c r="L135" t="n">
        <v>0</v>
      </c>
      <c r="M135" t="n">
        <v>0</v>
      </c>
      <c r="N135" t="n">
        <v>0</v>
      </c>
      <c r="O135" t="n">
        <v>0</v>
      </c>
      <c r="P135" t="n">
        <v>0</v>
      </c>
      <c r="Q135" t="n">
        <v>0</v>
      </c>
      <c r="R135" s="2" t="inlineStr"/>
    </row>
    <row r="136" ht="15" customHeight="1">
      <c r="A136" t="inlineStr">
        <is>
          <t>A 24068-2024</t>
        </is>
      </c>
      <c r="B136" s="1" t="n">
        <v>45456</v>
      </c>
      <c r="C136" s="1" t="n">
        <v>46138</v>
      </c>
      <c r="D136" t="inlineStr">
        <is>
          <t>STOCKHOLMS LÄN</t>
        </is>
      </c>
      <c r="E136" t="inlineStr">
        <is>
          <t>VALLENTUNA</t>
        </is>
      </c>
      <c r="G136" t="n">
        <v>7.4</v>
      </c>
      <c r="H136" t="n">
        <v>0</v>
      </c>
      <c r="I136" t="n">
        <v>0</v>
      </c>
      <c r="J136" t="n">
        <v>0</v>
      </c>
      <c r="K136" t="n">
        <v>0</v>
      </c>
      <c r="L136" t="n">
        <v>0</v>
      </c>
      <c r="M136" t="n">
        <v>0</v>
      </c>
      <c r="N136" t="n">
        <v>0</v>
      </c>
      <c r="O136" t="n">
        <v>0</v>
      </c>
      <c r="P136" t="n">
        <v>0</v>
      </c>
      <c r="Q136" t="n">
        <v>0</v>
      </c>
      <c r="R136" s="2" t="inlineStr"/>
    </row>
    <row r="137" ht="15" customHeight="1">
      <c r="A137" t="inlineStr">
        <is>
          <t>A 3937-2022</t>
        </is>
      </c>
      <c r="B137" s="1" t="n">
        <v>44587</v>
      </c>
      <c r="C137" s="1" t="n">
        <v>46138</v>
      </c>
      <c r="D137" t="inlineStr">
        <is>
          <t>STOCKHOLMS LÄN</t>
        </is>
      </c>
      <c r="E137" t="inlineStr">
        <is>
          <t>VALLENTUNA</t>
        </is>
      </c>
      <c r="G137" t="n">
        <v>6.6</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46138</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ht="15" customHeight="1">
      <c r="A139" t="inlineStr">
        <is>
          <t>A 3078-2023</t>
        </is>
      </c>
      <c r="B139" s="1" t="n">
        <v>44946.41527777778</v>
      </c>
      <c r="C139" s="1" t="n">
        <v>46138</v>
      </c>
      <c r="D139" t="inlineStr">
        <is>
          <t>STOCKHOLMS LÄN</t>
        </is>
      </c>
      <c r="E139" t="inlineStr">
        <is>
          <t>VALLENTUNA</t>
        </is>
      </c>
      <c r="G139" t="n">
        <v>3.9</v>
      </c>
      <c r="H139" t="n">
        <v>0</v>
      </c>
      <c r="I139" t="n">
        <v>0</v>
      </c>
      <c r="J139" t="n">
        <v>0</v>
      </c>
      <c r="K139" t="n">
        <v>0</v>
      </c>
      <c r="L139" t="n">
        <v>0</v>
      </c>
      <c r="M139" t="n">
        <v>0</v>
      </c>
      <c r="N139" t="n">
        <v>0</v>
      </c>
      <c r="O139" t="n">
        <v>0</v>
      </c>
      <c r="P139" t="n">
        <v>0</v>
      </c>
      <c r="Q139" t="n">
        <v>0</v>
      </c>
      <c r="R139" s="2" t="inlineStr"/>
    </row>
    <row r="140" ht="15" customHeight="1">
      <c r="A140" t="inlineStr">
        <is>
          <t>A 12400-2026</t>
        </is>
      </c>
      <c r="B140" s="1" t="n">
        <v>46090.39423611111</v>
      </c>
      <c r="C140" s="1" t="n">
        <v>46138</v>
      </c>
      <c r="D140" t="inlineStr">
        <is>
          <t>STOCKHOLMS LÄN</t>
        </is>
      </c>
      <c r="E140" t="inlineStr">
        <is>
          <t>VALLENTUNA</t>
        </is>
      </c>
      <c r="G140" t="n">
        <v>1.9</v>
      </c>
      <c r="H140" t="n">
        <v>0</v>
      </c>
      <c r="I140" t="n">
        <v>0</v>
      </c>
      <c r="J140" t="n">
        <v>0</v>
      </c>
      <c r="K140" t="n">
        <v>0</v>
      </c>
      <c r="L140" t="n">
        <v>0</v>
      </c>
      <c r="M140" t="n">
        <v>0</v>
      </c>
      <c r="N140" t="n">
        <v>0</v>
      </c>
      <c r="O140" t="n">
        <v>0</v>
      </c>
      <c r="P140" t="n">
        <v>0</v>
      </c>
      <c r="Q140" t="n">
        <v>0</v>
      </c>
      <c r="R140" s="2" t="inlineStr"/>
    </row>
    <row r="141" ht="15" customHeight="1">
      <c r="A141" t="inlineStr">
        <is>
          <t>A 12822-2026</t>
        </is>
      </c>
      <c r="B141" s="1" t="n">
        <v>46092.41358796296</v>
      </c>
      <c r="C141" s="1" t="n">
        <v>46138</v>
      </c>
      <c r="D141" t="inlineStr">
        <is>
          <t>STOCKHOLMS LÄN</t>
        </is>
      </c>
      <c r="E141" t="inlineStr">
        <is>
          <t>VALLENTUNA</t>
        </is>
      </c>
      <c r="G141" t="n">
        <v>2.7</v>
      </c>
      <c r="H141" t="n">
        <v>0</v>
      </c>
      <c r="I141" t="n">
        <v>0</v>
      </c>
      <c r="J141" t="n">
        <v>0</v>
      </c>
      <c r="K141" t="n">
        <v>0</v>
      </c>
      <c r="L141" t="n">
        <v>0</v>
      </c>
      <c r="M141" t="n">
        <v>0</v>
      </c>
      <c r="N141" t="n">
        <v>0</v>
      </c>
      <c r="O141" t="n">
        <v>0</v>
      </c>
      <c r="P141" t="n">
        <v>0</v>
      </c>
      <c r="Q141" t="n">
        <v>0</v>
      </c>
      <c r="R141" s="2" t="inlineStr"/>
    </row>
    <row r="142" ht="15" customHeight="1">
      <c r="A142" t="inlineStr">
        <is>
          <t>A 12819-2026</t>
        </is>
      </c>
      <c r="B142" s="1" t="n">
        <v>46092.40896990741</v>
      </c>
      <c r="C142" s="1" t="n">
        <v>46138</v>
      </c>
      <c r="D142" t="inlineStr">
        <is>
          <t>STOCKHOLMS LÄN</t>
        </is>
      </c>
      <c r="E142" t="inlineStr">
        <is>
          <t>VALLENTUNA</t>
        </is>
      </c>
      <c r="G142" t="n">
        <v>3.5</v>
      </c>
      <c r="H142" t="n">
        <v>0</v>
      </c>
      <c r="I142" t="n">
        <v>0</v>
      </c>
      <c r="J142" t="n">
        <v>0</v>
      </c>
      <c r="K142" t="n">
        <v>0</v>
      </c>
      <c r="L142" t="n">
        <v>0</v>
      </c>
      <c r="M142" t="n">
        <v>0</v>
      </c>
      <c r="N142" t="n">
        <v>0</v>
      </c>
      <c r="O142" t="n">
        <v>0</v>
      </c>
      <c r="P142" t="n">
        <v>0</v>
      </c>
      <c r="Q142" t="n">
        <v>0</v>
      </c>
      <c r="R142" s="2" t="inlineStr"/>
    </row>
    <row r="143" ht="15" customHeight="1">
      <c r="A143" t="inlineStr">
        <is>
          <t>A 12828-2026</t>
        </is>
      </c>
      <c r="B143" s="1" t="n">
        <v>46092.41760416667</v>
      </c>
      <c r="C143" s="1" t="n">
        <v>46138</v>
      </c>
      <c r="D143" t="inlineStr">
        <is>
          <t>STOCKHOLMS LÄN</t>
        </is>
      </c>
      <c r="E143" t="inlineStr">
        <is>
          <t>VALLENTUNA</t>
        </is>
      </c>
      <c r="G143" t="n">
        <v>1</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45050.47333333334</v>
      </c>
      <c r="C144" s="1" t="n">
        <v>46138</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12830-2026</t>
        </is>
      </c>
      <c r="B145" s="1" t="n">
        <v>46092.42290509259</v>
      </c>
      <c r="C145" s="1" t="n">
        <v>46138</v>
      </c>
      <c r="D145" t="inlineStr">
        <is>
          <t>STOCKHOLMS LÄN</t>
        </is>
      </c>
      <c r="E145" t="inlineStr">
        <is>
          <t>VALLENTUNA</t>
        </is>
      </c>
      <c r="G145" t="n">
        <v>1.6</v>
      </c>
      <c r="H145" t="n">
        <v>0</v>
      </c>
      <c r="I145" t="n">
        <v>0</v>
      </c>
      <c r="J145" t="n">
        <v>0</v>
      </c>
      <c r="K145" t="n">
        <v>0</v>
      </c>
      <c r="L145" t="n">
        <v>0</v>
      </c>
      <c r="M145" t="n">
        <v>0</v>
      </c>
      <c r="N145" t="n">
        <v>0</v>
      </c>
      <c r="O145" t="n">
        <v>0</v>
      </c>
      <c r="P145" t="n">
        <v>0</v>
      </c>
      <c r="Q145" t="n">
        <v>0</v>
      </c>
      <c r="R145" s="2" t="inlineStr"/>
    </row>
    <row r="146" ht="15" customHeight="1">
      <c r="A146" t="inlineStr">
        <is>
          <t>A 4803-2024</t>
        </is>
      </c>
      <c r="B146" s="1" t="n">
        <v>45328</v>
      </c>
      <c r="C146" s="1" t="n">
        <v>46138</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3698-2022</t>
        </is>
      </c>
      <c r="B147" s="1" t="n">
        <v>44586</v>
      </c>
      <c r="C147" s="1" t="n">
        <v>46138</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38102-2024</t>
        </is>
      </c>
      <c r="B148" s="1" t="n">
        <v>45545.36349537037</v>
      </c>
      <c r="C148" s="1" t="n">
        <v>46138</v>
      </c>
      <c r="D148" t="inlineStr">
        <is>
          <t>STOCKHOLMS LÄN</t>
        </is>
      </c>
      <c r="E148" t="inlineStr">
        <is>
          <t>VALLENTUNA</t>
        </is>
      </c>
      <c r="G148" t="n">
        <v>3.2</v>
      </c>
      <c r="H148" t="n">
        <v>0</v>
      </c>
      <c r="I148" t="n">
        <v>0</v>
      </c>
      <c r="J148" t="n">
        <v>0</v>
      </c>
      <c r="K148" t="n">
        <v>0</v>
      </c>
      <c r="L148" t="n">
        <v>0</v>
      </c>
      <c r="M148" t="n">
        <v>0</v>
      </c>
      <c r="N148" t="n">
        <v>0</v>
      </c>
      <c r="O148" t="n">
        <v>0</v>
      </c>
      <c r="P148" t="n">
        <v>0</v>
      </c>
      <c r="Q148" t="n">
        <v>0</v>
      </c>
      <c r="R148" s="2" t="inlineStr"/>
    </row>
    <row r="149" ht="15" customHeight="1">
      <c r="A149" t="inlineStr">
        <is>
          <t>A 12234-2022</t>
        </is>
      </c>
      <c r="B149" s="1" t="n">
        <v>44637</v>
      </c>
      <c r="C149" s="1" t="n">
        <v>46138</v>
      </c>
      <c r="D149" t="inlineStr">
        <is>
          <t>STOCKHOLMS LÄN</t>
        </is>
      </c>
      <c r="E149" t="inlineStr">
        <is>
          <t>VALLENTUNA</t>
        </is>
      </c>
      <c r="G149" t="n">
        <v>2.4</v>
      </c>
      <c r="H149" t="n">
        <v>0</v>
      </c>
      <c r="I149" t="n">
        <v>0</v>
      </c>
      <c r="J149" t="n">
        <v>0</v>
      </c>
      <c r="K149" t="n">
        <v>0</v>
      </c>
      <c r="L149" t="n">
        <v>0</v>
      </c>
      <c r="M149" t="n">
        <v>0</v>
      </c>
      <c r="N149" t="n">
        <v>0</v>
      </c>
      <c r="O149" t="n">
        <v>0</v>
      </c>
      <c r="P149" t="n">
        <v>0</v>
      </c>
      <c r="Q149" t="n">
        <v>0</v>
      </c>
      <c r="R149" s="2" t="inlineStr"/>
    </row>
    <row r="150">
      <c r="A150" t="inlineStr">
        <is>
          <t>A 24943-2024</t>
        </is>
      </c>
      <c r="B150" s="1" t="n">
        <v>45461.62585648148</v>
      </c>
      <c r="C150" s="1" t="n">
        <v>46138</v>
      </c>
      <c r="D150" t="inlineStr">
        <is>
          <t>STOCKHOLMS LÄN</t>
        </is>
      </c>
      <c r="E150" t="inlineStr">
        <is>
          <t>VALLENTUNA</t>
        </is>
      </c>
      <c r="G150" t="n">
        <v>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2026-04-26T10:53:19Z</dcterms:created>
  <dcterms:modified xmlns:dcterms="http://purl.org/dc/terms/" xmlns:xsi="http://www.w3.org/2001/XMLSchema-instance" xsi:type="dcterms:W3CDTF">2026-04-26T10:53:19Z</dcterms:modified>
</cp:coreProperties>
</file>