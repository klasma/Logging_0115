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37456-2023</t>
        </is>
      </c>
      <c r="B15" s="1" t="n">
        <v>45156</v>
      </c>
      <c r="C15" s="1" t="n">
        <v>46135</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9807-2026</t>
        </is>
      </c>
      <c r="B16" s="1" t="n">
        <v>46072</v>
      </c>
      <c r="C16" s="1" t="n">
        <v>46135</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46135</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48717-2024</t>
        </is>
      </c>
      <c r="B18" s="1" t="n">
        <v>45593</v>
      </c>
      <c r="C18" s="1" t="n">
        <v>46135</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46135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21612-2021</t>
        </is>
      </c>
      <c r="B22" s="1" t="n">
        <v>44321</v>
      </c>
      <c r="C22" s="1" t="n">
        <v>46135</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46-2022</t>
        </is>
      </c>
      <c r="B23" s="1" t="n">
        <v>44560</v>
      </c>
      <c r="C23" s="1" t="n">
        <v>46135</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9745-2022</t>
        </is>
      </c>
      <c r="B24" s="1" t="n">
        <v>44618</v>
      </c>
      <c r="C24" s="1" t="n">
        <v>46135</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754-2024</t>
        </is>
      </c>
      <c r="B25" s="1" t="n">
        <v>45300</v>
      </c>
      <c r="C25" s="1" t="n">
        <v>46135</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62402-2022</t>
        </is>
      </c>
      <c r="B26" s="1" t="n">
        <v>44923</v>
      </c>
      <c r="C26" s="1" t="n">
        <v>46135</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41021-2023</t>
        </is>
      </c>
      <c r="B27" s="1" t="n">
        <v>45173</v>
      </c>
      <c r="C27" s="1" t="n">
        <v>46135</v>
      </c>
      <c r="D27" t="inlineStr">
        <is>
          <t>STOCKHOLMS LÄN</t>
        </is>
      </c>
      <c r="E27" t="inlineStr">
        <is>
          <t>VALLENTUNA</t>
        </is>
      </c>
      <c r="G27" t="n">
        <v>3</v>
      </c>
      <c r="H27" t="n">
        <v>0</v>
      </c>
      <c r="I27" t="n">
        <v>1</v>
      </c>
      <c r="J27" t="n">
        <v>1</v>
      </c>
      <c r="K27" t="n">
        <v>0</v>
      </c>
      <c r="L27" t="n">
        <v>0</v>
      </c>
      <c r="M27" t="n">
        <v>0</v>
      </c>
      <c r="N27" t="n">
        <v>0</v>
      </c>
      <c r="O27" t="n">
        <v>1</v>
      </c>
      <c r="P27" t="n">
        <v>0</v>
      </c>
      <c r="Q27" t="n">
        <v>2</v>
      </c>
      <c r="R27" s="2" t="inlineStr">
        <is>
          <t>Orange taggsvamp
Fjällig taggsvamp s.str.</t>
        </is>
      </c>
      <c r="S27">
        <f>HYPERLINK("https://klasma.github.io/Logging_0115/artfynd/A 41021-2023 artfynd.xlsx", "A 41021-2023")</f>
        <v/>
      </c>
      <c r="T27">
        <f>HYPERLINK("https://klasma.github.io/Logging_0115/kartor/A 41021-2023 karta.png", "A 41021-2023")</f>
        <v/>
      </c>
      <c r="V27">
        <f>HYPERLINK("https://klasma.github.io/Logging_0115/klagomål/A 41021-2023 FSC-klagomål.docx", "A 41021-2023")</f>
        <v/>
      </c>
      <c r="W27">
        <f>HYPERLINK("https://klasma.github.io/Logging_0115/klagomålsmail/A 41021-2023 FSC-klagomål mail.docx", "A 41021-2023")</f>
        <v/>
      </c>
      <c r="X27">
        <f>HYPERLINK("https://klasma.github.io/Logging_0115/tillsyn/A 41021-2023 tillsynsbegäran.docx", "A 41021-2023")</f>
        <v/>
      </c>
      <c r="Y27">
        <f>HYPERLINK("https://klasma.github.io/Logging_0115/tillsynsmail/A 41021-2023 tillsynsbegäran mail.docx", "A 41021-2023")</f>
        <v/>
      </c>
    </row>
    <row r="28" ht="15" customHeight="1">
      <c r="A28" t="inlineStr">
        <is>
          <t>A 34458-2023</t>
        </is>
      </c>
      <c r="B28" s="1" t="n">
        <v>45139</v>
      </c>
      <c r="C28" s="1" t="n">
        <v>46135</v>
      </c>
      <c r="D28" t="inlineStr">
        <is>
          <t>STOCKHOLMS LÄN</t>
        </is>
      </c>
      <c r="E28" t="inlineStr">
        <is>
          <t>VALLENTUNA</t>
        </is>
      </c>
      <c r="G28" t="n">
        <v>2.5</v>
      </c>
      <c r="H28" t="n">
        <v>0</v>
      </c>
      <c r="I28" t="n">
        <v>0</v>
      </c>
      <c r="J28" t="n">
        <v>1</v>
      </c>
      <c r="K28" t="n">
        <v>0</v>
      </c>
      <c r="L28" t="n">
        <v>0</v>
      </c>
      <c r="M28" t="n">
        <v>0</v>
      </c>
      <c r="N28" t="n">
        <v>0</v>
      </c>
      <c r="O28" t="n">
        <v>1</v>
      </c>
      <c r="P28" t="n">
        <v>0</v>
      </c>
      <c r="Q28" t="n">
        <v>1</v>
      </c>
      <c r="R28" s="2" t="inlineStr">
        <is>
          <t>Motaggsvamp</t>
        </is>
      </c>
      <c r="S28">
        <f>HYPERLINK("https://klasma.github.io/Logging_0115/artfynd/A 34458-2023 artfynd.xlsx", "A 34458-2023")</f>
        <v/>
      </c>
      <c r="T28">
        <f>HYPERLINK("https://klasma.github.io/Logging_0115/kartor/A 34458-2023 karta.png", "A 34458-2023")</f>
        <v/>
      </c>
      <c r="V28">
        <f>HYPERLINK("https://klasma.github.io/Logging_0115/klagomål/A 34458-2023 FSC-klagomål.docx", "A 34458-2023")</f>
        <v/>
      </c>
      <c r="W28">
        <f>HYPERLINK("https://klasma.github.io/Logging_0115/klagomålsmail/A 34458-2023 FSC-klagomål mail.docx", "A 34458-2023")</f>
        <v/>
      </c>
      <c r="X28">
        <f>HYPERLINK("https://klasma.github.io/Logging_0115/tillsyn/A 34458-2023 tillsynsbegäran.docx", "A 34458-2023")</f>
        <v/>
      </c>
      <c r="Y28">
        <f>HYPERLINK("https://klasma.github.io/Logging_0115/tillsynsmail/A 34458-2023 tillsynsbegäran mail.docx", "A 34458-2023")</f>
        <v/>
      </c>
    </row>
    <row r="29" ht="15" customHeight="1">
      <c r="A29" t="inlineStr">
        <is>
          <t>A 8817-2025</t>
        </is>
      </c>
      <c r="B29" s="1" t="n">
        <v>45712.70987268518</v>
      </c>
      <c r="C29" s="1" t="n">
        <v>46135</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21-2022</t>
        </is>
      </c>
      <c r="B30" s="1" t="n">
        <v>44560</v>
      </c>
      <c r="C30" s="1" t="n">
        <v>46135</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17341-2025</t>
        </is>
      </c>
      <c r="B31" s="1" t="n">
        <v>45756</v>
      </c>
      <c r="C31" s="1" t="n">
        <v>46135</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12401-2026</t>
        </is>
      </c>
      <c r="B32" s="1" t="n">
        <v>46090</v>
      </c>
      <c r="C32" s="1" t="n">
        <v>46135</v>
      </c>
      <c r="D32" t="inlineStr">
        <is>
          <t>STOCKHOLMS LÄN</t>
        </is>
      </c>
      <c r="E32" t="inlineStr">
        <is>
          <t>VALLENTUNA</t>
        </is>
      </c>
      <c r="G32" t="n">
        <v>5.9</v>
      </c>
      <c r="H32" t="n">
        <v>1</v>
      </c>
      <c r="I32" t="n">
        <v>0</v>
      </c>
      <c r="J32" t="n">
        <v>1</v>
      </c>
      <c r="K32" t="n">
        <v>0</v>
      </c>
      <c r="L32" t="n">
        <v>0</v>
      </c>
      <c r="M32" t="n">
        <v>0</v>
      </c>
      <c r="N32" t="n">
        <v>0</v>
      </c>
      <c r="O32" t="n">
        <v>1</v>
      </c>
      <c r="P32" t="n">
        <v>0</v>
      </c>
      <c r="Q32" t="n">
        <v>1</v>
      </c>
      <c r="R32" s="2" t="inlineStr">
        <is>
          <t>Spillkråka</t>
        </is>
      </c>
      <c r="S32">
        <f>HYPERLINK("https://klasma.github.io/Logging_0115/artfynd/A 12401-2026 artfynd.xlsx", "A 12401-2026")</f>
        <v/>
      </c>
      <c r="T32">
        <f>HYPERLINK("https://klasma.github.io/Logging_0115/kartor/A 12401-2026 karta.png", "A 12401-2026")</f>
        <v/>
      </c>
      <c r="V32">
        <f>HYPERLINK("https://klasma.github.io/Logging_0115/klagomål/A 12401-2026 FSC-klagomål.docx", "A 12401-2026")</f>
        <v/>
      </c>
      <c r="W32">
        <f>HYPERLINK("https://klasma.github.io/Logging_0115/klagomålsmail/A 12401-2026 FSC-klagomål mail.docx", "A 12401-2026")</f>
        <v/>
      </c>
      <c r="X32">
        <f>HYPERLINK("https://klasma.github.io/Logging_0115/tillsyn/A 12401-2026 tillsynsbegäran.docx", "A 12401-2026")</f>
        <v/>
      </c>
      <c r="Y32">
        <f>HYPERLINK("https://klasma.github.io/Logging_0115/tillsynsmail/A 12401-2026 tillsynsbegäran mail.docx", "A 12401-2026")</f>
        <v/>
      </c>
      <c r="Z32">
        <f>HYPERLINK("https://klasma.github.io/Logging_0115/fåglar/A 12401-2026 prioriterade fågelarter.docx", "A 12401-2026")</f>
        <v/>
      </c>
    </row>
    <row r="33" ht="15" customHeight="1">
      <c r="A33" t="inlineStr">
        <is>
          <t>A 12396-2026</t>
        </is>
      </c>
      <c r="B33" s="1" t="n">
        <v>46090.38930555555</v>
      </c>
      <c r="C33" s="1" t="n">
        <v>46135</v>
      </c>
      <c r="D33" t="inlineStr">
        <is>
          <t>STOCKHOLMS LÄN</t>
        </is>
      </c>
      <c r="E33" t="inlineStr">
        <is>
          <t>VALLENTUNA</t>
        </is>
      </c>
      <c r="G33" t="n">
        <v>3</v>
      </c>
      <c r="H33" t="n">
        <v>1</v>
      </c>
      <c r="I33" t="n">
        <v>0</v>
      </c>
      <c r="J33" t="n">
        <v>1</v>
      </c>
      <c r="K33" t="n">
        <v>0</v>
      </c>
      <c r="L33" t="n">
        <v>0</v>
      </c>
      <c r="M33" t="n">
        <v>0</v>
      </c>
      <c r="N33" t="n">
        <v>0</v>
      </c>
      <c r="O33" t="n">
        <v>1</v>
      </c>
      <c r="P33" t="n">
        <v>0</v>
      </c>
      <c r="Q33" t="n">
        <v>1</v>
      </c>
      <c r="R33" s="2" t="inlineStr">
        <is>
          <t>Spillkråka</t>
        </is>
      </c>
      <c r="S33">
        <f>HYPERLINK("https://klasma.github.io/Logging_0115/artfynd/A 12396-2026 artfynd.xlsx", "A 12396-2026")</f>
        <v/>
      </c>
      <c r="T33">
        <f>HYPERLINK("https://klasma.github.io/Logging_0115/kartor/A 12396-2026 karta.png", "A 12396-2026")</f>
        <v/>
      </c>
      <c r="V33">
        <f>HYPERLINK("https://klasma.github.io/Logging_0115/klagomål/A 12396-2026 FSC-klagomål.docx", "A 12396-2026")</f>
        <v/>
      </c>
      <c r="W33">
        <f>HYPERLINK("https://klasma.github.io/Logging_0115/klagomålsmail/A 12396-2026 FSC-klagomål mail.docx", "A 12396-2026")</f>
        <v/>
      </c>
      <c r="X33">
        <f>HYPERLINK("https://klasma.github.io/Logging_0115/tillsyn/A 12396-2026 tillsynsbegäran.docx", "A 12396-2026")</f>
        <v/>
      </c>
      <c r="Y33">
        <f>HYPERLINK("https://klasma.github.io/Logging_0115/tillsynsmail/A 12396-2026 tillsynsbegäran mail.docx", "A 12396-2026")</f>
        <v/>
      </c>
      <c r="Z33">
        <f>HYPERLINK("https://klasma.github.io/Logging_0115/fåglar/A 12396-2026 prioriterade fågelarter.docx", "A 12396-2026")</f>
        <v/>
      </c>
    </row>
    <row r="34" ht="15" customHeight="1">
      <c r="A34" t="inlineStr">
        <is>
          <t>A 54481-2025</t>
        </is>
      </c>
      <c r="B34" s="1" t="n">
        <v>45965.58837962963</v>
      </c>
      <c r="C34" s="1" t="n">
        <v>46135</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14508-2024</t>
        </is>
      </c>
      <c r="B35" s="1" t="n">
        <v>45394.61583333334</v>
      </c>
      <c r="C35" s="1" t="n">
        <v>46135</v>
      </c>
      <c r="D35" t="inlineStr">
        <is>
          <t>STOCKHOLMS LÄN</t>
        </is>
      </c>
      <c r="E35" t="inlineStr">
        <is>
          <t>VALLENTUNA</t>
        </is>
      </c>
      <c r="G35" t="n">
        <v>1.7</v>
      </c>
      <c r="H35" t="n">
        <v>1</v>
      </c>
      <c r="I35" t="n">
        <v>0</v>
      </c>
      <c r="J35" t="n">
        <v>1</v>
      </c>
      <c r="K35" t="n">
        <v>0</v>
      </c>
      <c r="L35" t="n">
        <v>0</v>
      </c>
      <c r="M35" t="n">
        <v>0</v>
      </c>
      <c r="N35" t="n">
        <v>0</v>
      </c>
      <c r="O35" t="n">
        <v>1</v>
      </c>
      <c r="P35" t="n">
        <v>0</v>
      </c>
      <c r="Q35" t="n">
        <v>1</v>
      </c>
      <c r="R35" s="2" t="inlineStr">
        <is>
          <t>Mindre hackspett</t>
        </is>
      </c>
      <c r="S35">
        <f>HYPERLINK("https://klasma.github.io/Logging_0115/artfynd/A 14508-2024 artfynd.xlsx", "A 14508-2024")</f>
        <v/>
      </c>
      <c r="T35">
        <f>HYPERLINK("https://klasma.github.io/Logging_0115/kartor/A 14508-2024 karta.png", "A 14508-2024")</f>
        <v/>
      </c>
      <c r="V35">
        <f>HYPERLINK("https://klasma.github.io/Logging_0115/klagomål/A 14508-2024 FSC-klagomål.docx", "A 14508-2024")</f>
        <v/>
      </c>
      <c r="W35">
        <f>HYPERLINK("https://klasma.github.io/Logging_0115/klagomålsmail/A 14508-2024 FSC-klagomål mail.docx", "A 14508-2024")</f>
        <v/>
      </c>
      <c r="X35">
        <f>HYPERLINK("https://klasma.github.io/Logging_0115/tillsyn/A 14508-2024 tillsynsbegäran.docx", "A 14508-2024")</f>
        <v/>
      </c>
      <c r="Y35">
        <f>HYPERLINK("https://klasma.github.io/Logging_0115/tillsynsmail/A 14508-2024 tillsynsbegäran mail.docx", "A 14508-2024")</f>
        <v/>
      </c>
      <c r="Z35">
        <f>HYPERLINK("https://klasma.github.io/Logging_0115/fåglar/A 14508-2024 prioriterade fågelarter.docx", "A 14508-2024")</f>
        <v/>
      </c>
    </row>
    <row r="36" ht="15" customHeight="1">
      <c r="A36" t="inlineStr">
        <is>
          <t>A 21439-2025</t>
        </is>
      </c>
      <c r="B36" s="1" t="n">
        <v>45782.52939814814</v>
      </c>
      <c r="C36" s="1" t="n">
        <v>46135</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22936-2025</t>
        </is>
      </c>
      <c r="B37" s="1" t="n">
        <v>45790.45738425926</v>
      </c>
      <c r="C37" s="1" t="n">
        <v>46135</v>
      </c>
      <c r="D37" t="inlineStr">
        <is>
          <t>STOCKHOLMS LÄN</t>
        </is>
      </c>
      <c r="E37" t="inlineStr">
        <is>
          <t>VALLENTUNA</t>
        </is>
      </c>
      <c r="G37" t="n">
        <v>2.7</v>
      </c>
      <c r="H37" t="n">
        <v>0</v>
      </c>
      <c r="I37" t="n">
        <v>1</v>
      </c>
      <c r="J37" t="n">
        <v>0</v>
      </c>
      <c r="K37" t="n">
        <v>0</v>
      </c>
      <c r="L37" t="n">
        <v>0</v>
      </c>
      <c r="M37" t="n">
        <v>0</v>
      </c>
      <c r="N37" t="n">
        <v>0</v>
      </c>
      <c r="O37" t="n">
        <v>0</v>
      </c>
      <c r="P37" t="n">
        <v>0</v>
      </c>
      <c r="Q37" t="n">
        <v>1</v>
      </c>
      <c r="R37" s="2" t="inlineStr">
        <is>
          <t>Björksplintborre</t>
        </is>
      </c>
      <c r="S37">
        <f>HYPERLINK("https://klasma.github.io/Logging_0115/artfynd/A 22936-2025 artfynd.xlsx", "A 22936-2025")</f>
        <v/>
      </c>
      <c r="T37">
        <f>HYPERLINK("https://klasma.github.io/Logging_0115/kartor/A 22936-2025 karta.png", "A 22936-2025")</f>
        <v/>
      </c>
      <c r="V37">
        <f>HYPERLINK("https://klasma.github.io/Logging_0115/klagomål/A 22936-2025 FSC-klagomål.docx", "A 22936-2025")</f>
        <v/>
      </c>
      <c r="W37">
        <f>HYPERLINK("https://klasma.github.io/Logging_0115/klagomålsmail/A 22936-2025 FSC-klagomål mail.docx", "A 22936-2025")</f>
        <v/>
      </c>
      <c r="X37">
        <f>HYPERLINK("https://klasma.github.io/Logging_0115/tillsyn/A 22936-2025 tillsynsbegäran.docx", "A 22936-2025")</f>
        <v/>
      </c>
      <c r="Y37">
        <f>HYPERLINK("https://klasma.github.io/Logging_0115/tillsynsmail/A 22936-2025 tillsynsbegäran mail.docx", "A 22936-2025")</f>
        <v/>
      </c>
    </row>
    <row r="38" ht="15" customHeight="1">
      <c r="A38" t="inlineStr">
        <is>
          <t>A 63539-2025</t>
        </is>
      </c>
      <c r="B38" s="1" t="n">
        <v>46013.58824074074</v>
      </c>
      <c r="C38" s="1" t="n">
        <v>46135</v>
      </c>
      <c r="D38" t="inlineStr">
        <is>
          <t>STOCKHOLMS LÄN</t>
        </is>
      </c>
      <c r="E38" t="inlineStr">
        <is>
          <t>VALLENTUNA</t>
        </is>
      </c>
      <c r="G38" t="n">
        <v>1.1</v>
      </c>
      <c r="H38" t="n">
        <v>0</v>
      </c>
      <c r="I38" t="n">
        <v>1</v>
      </c>
      <c r="J38" t="n">
        <v>0</v>
      </c>
      <c r="K38" t="n">
        <v>0</v>
      </c>
      <c r="L38" t="n">
        <v>0</v>
      </c>
      <c r="M38" t="n">
        <v>0</v>
      </c>
      <c r="N38" t="n">
        <v>0</v>
      </c>
      <c r="O38" t="n">
        <v>0</v>
      </c>
      <c r="P38" t="n">
        <v>0</v>
      </c>
      <c r="Q38" t="n">
        <v>1</v>
      </c>
      <c r="R38" s="2" t="inlineStr">
        <is>
          <t>Vårärt</t>
        </is>
      </c>
      <c r="S38">
        <f>HYPERLINK("https://klasma.github.io/Logging_0115/artfynd/A 63539-2025 artfynd.xlsx", "A 63539-2025")</f>
        <v/>
      </c>
      <c r="T38">
        <f>HYPERLINK("https://klasma.github.io/Logging_0115/kartor/A 63539-2025 karta.png", "A 63539-2025")</f>
        <v/>
      </c>
      <c r="V38">
        <f>HYPERLINK("https://klasma.github.io/Logging_0115/klagomål/A 63539-2025 FSC-klagomål.docx", "A 63539-2025")</f>
        <v/>
      </c>
      <c r="W38">
        <f>HYPERLINK("https://klasma.github.io/Logging_0115/klagomålsmail/A 63539-2025 FSC-klagomål mail.docx", "A 63539-2025")</f>
        <v/>
      </c>
      <c r="X38">
        <f>HYPERLINK("https://klasma.github.io/Logging_0115/tillsyn/A 63539-2025 tillsynsbegäran.docx", "A 63539-2025")</f>
        <v/>
      </c>
      <c r="Y38">
        <f>HYPERLINK("https://klasma.github.io/Logging_0115/tillsynsmail/A 63539-2025 tillsynsbegäran mail.docx", "A 63539-2025")</f>
        <v/>
      </c>
    </row>
    <row r="39" ht="15" customHeight="1">
      <c r="A39" t="inlineStr">
        <is>
          <t>A 63543-2025</t>
        </is>
      </c>
      <c r="B39" s="1" t="n">
        <v>46013.59207175926</v>
      </c>
      <c r="C39" s="1" t="n">
        <v>46135</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7890-2023</t>
        </is>
      </c>
      <c r="B40" s="1" t="n">
        <v>44973</v>
      </c>
      <c r="C40" s="1" t="n">
        <v>46135</v>
      </c>
      <c r="D40" t="inlineStr">
        <is>
          <t>STOCKHOLMS LÄN</t>
        </is>
      </c>
      <c r="E40" t="inlineStr">
        <is>
          <t>VALLENTUNA</t>
        </is>
      </c>
      <c r="G40" t="n">
        <v>0.5</v>
      </c>
      <c r="H40" t="n">
        <v>0</v>
      </c>
      <c r="I40" t="n">
        <v>0</v>
      </c>
      <c r="J40" t="n">
        <v>1</v>
      </c>
      <c r="K40" t="n">
        <v>0</v>
      </c>
      <c r="L40" t="n">
        <v>0</v>
      </c>
      <c r="M40" t="n">
        <v>0</v>
      </c>
      <c r="N40" t="n">
        <v>0</v>
      </c>
      <c r="O40" t="n">
        <v>1</v>
      </c>
      <c r="P40" t="n">
        <v>0</v>
      </c>
      <c r="Q40" t="n">
        <v>1</v>
      </c>
      <c r="R40" s="2" t="inlineStr">
        <is>
          <t>Ullticka</t>
        </is>
      </c>
      <c r="S40">
        <f>HYPERLINK("https://klasma.github.io/Logging_0115/artfynd/A 7890-2023 artfynd.xlsx", "A 7890-2023")</f>
        <v/>
      </c>
      <c r="T40">
        <f>HYPERLINK("https://klasma.github.io/Logging_0115/kartor/A 7890-2023 karta.png", "A 7890-2023")</f>
        <v/>
      </c>
      <c r="V40">
        <f>HYPERLINK("https://klasma.github.io/Logging_0115/klagomål/A 7890-2023 FSC-klagomål.docx", "A 7890-2023")</f>
        <v/>
      </c>
      <c r="W40">
        <f>HYPERLINK("https://klasma.github.io/Logging_0115/klagomålsmail/A 7890-2023 FSC-klagomål mail.docx", "A 7890-2023")</f>
        <v/>
      </c>
      <c r="X40">
        <f>HYPERLINK("https://klasma.github.io/Logging_0115/tillsyn/A 7890-2023 tillsynsbegäran.docx", "A 7890-2023")</f>
        <v/>
      </c>
      <c r="Y40">
        <f>HYPERLINK("https://klasma.github.io/Logging_0115/tillsynsmail/A 7890-2023 tillsynsbegäran mail.docx", "A 7890-2023")</f>
        <v/>
      </c>
    </row>
    <row r="41" ht="15" customHeight="1">
      <c r="A41" t="inlineStr">
        <is>
          <t>A 22830-2024</t>
        </is>
      </c>
      <c r="B41" s="1" t="n">
        <v>45448.56583333333</v>
      </c>
      <c r="C41" s="1" t="n">
        <v>46135</v>
      </c>
      <c r="D41" t="inlineStr">
        <is>
          <t>STOCKHOLMS LÄN</t>
        </is>
      </c>
      <c r="E41" t="inlineStr">
        <is>
          <t>VALLENTUNA</t>
        </is>
      </c>
      <c r="G41" t="n">
        <v>0.3</v>
      </c>
      <c r="H41" t="n">
        <v>0</v>
      </c>
      <c r="I41" t="n">
        <v>0</v>
      </c>
      <c r="J41" t="n">
        <v>1</v>
      </c>
      <c r="K41" t="n">
        <v>0</v>
      </c>
      <c r="L41" t="n">
        <v>0</v>
      </c>
      <c r="M41" t="n">
        <v>0</v>
      </c>
      <c r="N41" t="n">
        <v>0</v>
      </c>
      <c r="O41" t="n">
        <v>1</v>
      </c>
      <c r="P41" t="n">
        <v>0</v>
      </c>
      <c r="Q41" t="n">
        <v>1</v>
      </c>
      <c r="R41" s="2" t="inlineStr">
        <is>
          <t>Tallticka</t>
        </is>
      </c>
      <c r="S41">
        <f>HYPERLINK("https://klasma.github.io/Logging_0115/artfynd/A 22830-2024 artfynd.xlsx", "A 22830-2024")</f>
        <v/>
      </c>
      <c r="T41">
        <f>HYPERLINK("https://klasma.github.io/Logging_0115/kartor/A 22830-2024 karta.png", "A 22830-2024")</f>
        <v/>
      </c>
      <c r="V41">
        <f>HYPERLINK("https://klasma.github.io/Logging_0115/klagomål/A 22830-2024 FSC-klagomål.docx", "A 22830-2024")</f>
        <v/>
      </c>
      <c r="W41">
        <f>HYPERLINK("https://klasma.github.io/Logging_0115/klagomålsmail/A 22830-2024 FSC-klagomål mail.docx", "A 22830-2024")</f>
        <v/>
      </c>
      <c r="X41">
        <f>HYPERLINK("https://klasma.github.io/Logging_0115/tillsyn/A 22830-2024 tillsynsbegäran.docx", "A 22830-2024")</f>
        <v/>
      </c>
      <c r="Y41">
        <f>HYPERLINK("https://klasma.github.io/Logging_0115/tillsynsmail/A 22830-2024 tillsynsbegäran mail.docx", "A 22830-2024")</f>
        <v/>
      </c>
    </row>
    <row r="42" ht="15" customHeight="1">
      <c r="A42" t="inlineStr">
        <is>
          <t>A 34460-2023</t>
        </is>
      </c>
      <c r="B42" s="1" t="n">
        <v>45139</v>
      </c>
      <c r="C42" s="1" t="n">
        <v>46135</v>
      </c>
      <c r="D42" t="inlineStr">
        <is>
          <t>STOCKHOLMS LÄN</t>
        </is>
      </c>
      <c r="E42" t="inlineStr">
        <is>
          <t>VALLENTUNA</t>
        </is>
      </c>
      <c r="G42" t="n">
        <v>1.7</v>
      </c>
      <c r="H42" t="n">
        <v>0</v>
      </c>
      <c r="I42" t="n">
        <v>0</v>
      </c>
      <c r="J42" t="n">
        <v>1</v>
      </c>
      <c r="K42" t="n">
        <v>0</v>
      </c>
      <c r="L42" t="n">
        <v>0</v>
      </c>
      <c r="M42" t="n">
        <v>0</v>
      </c>
      <c r="N42" t="n">
        <v>0</v>
      </c>
      <c r="O42" t="n">
        <v>1</v>
      </c>
      <c r="P42" t="n">
        <v>0</v>
      </c>
      <c r="Q42" t="n">
        <v>1</v>
      </c>
      <c r="R42" s="2" t="inlineStr">
        <is>
          <t>Orange taggsvamp</t>
        </is>
      </c>
      <c r="S42">
        <f>HYPERLINK("https://klasma.github.io/Logging_0115/artfynd/A 34460-2023 artfynd.xlsx", "A 34460-2023")</f>
        <v/>
      </c>
      <c r="T42">
        <f>HYPERLINK("https://klasma.github.io/Logging_0115/kartor/A 34460-2023 karta.png", "A 34460-2023")</f>
        <v/>
      </c>
      <c r="V42">
        <f>HYPERLINK("https://klasma.github.io/Logging_0115/klagomål/A 34460-2023 FSC-klagomål.docx", "A 34460-2023")</f>
        <v/>
      </c>
      <c r="W42">
        <f>HYPERLINK("https://klasma.github.io/Logging_0115/klagomålsmail/A 34460-2023 FSC-klagomål mail.docx", "A 34460-2023")</f>
        <v/>
      </c>
      <c r="X42">
        <f>HYPERLINK("https://klasma.github.io/Logging_0115/tillsyn/A 34460-2023 tillsynsbegäran.docx", "A 34460-2023")</f>
        <v/>
      </c>
      <c r="Y42">
        <f>HYPERLINK("https://klasma.github.io/Logging_0115/tillsynsmail/A 34460-2023 tillsynsbegäran mail.docx", "A 34460-2023")</f>
        <v/>
      </c>
    </row>
    <row r="43" ht="15" customHeight="1">
      <c r="A43" t="inlineStr">
        <is>
          <t>A 17348-2025</t>
        </is>
      </c>
      <c r="B43" s="1" t="n">
        <v>45756</v>
      </c>
      <c r="C43" s="1" t="n">
        <v>46135</v>
      </c>
      <c r="D43" t="inlineStr">
        <is>
          <t>STOCKHOLMS LÄN</t>
        </is>
      </c>
      <c r="E43" t="inlineStr">
        <is>
          <t>VALLENTUNA</t>
        </is>
      </c>
      <c r="F43" t="inlineStr">
        <is>
          <t>Övriga Aktiebolag</t>
        </is>
      </c>
      <c r="G43" t="n">
        <v>2.2</v>
      </c>
      <c r="H43" t="n">
        <v>0</v>
      </c>
      <c r="I43" t="n">
        <v>1</v>
      </c>
      <c r="J43" t="n">
        <v>0</v>
      </c>
      <c r="K43" t="n">
        <v>0</v>
      </c>
      <c r="L43" t="n">
        <v>0</v>
      </c>
      <c r="M43" t="n">
        <v>0</v>
      </c>
      <c r="N43" t="n">
        <v>0</v>
      </c>
      <c r="O43" t="n">
        <v>0</v>
      </c>
      <c r="P43" t="n">
        <v>0</v>
      </c>
      <c r="Q43" t="n">
        <v>1</v>
      </c>
      <c r="R43" s="2" t="inlineStr">
        <is>
          <t>Björksplintborre</t>
        </is>
      </c>
      <c r="S43">
        <f>HYPERLINK("https://klasma.github.io/Logging_0115/artfynd/A 17348-2025 artfynd.xlsx", "A 17348-2025")</f>
        <v/>
      </c>
      <c r="T43">
        <f>HYPERLINK("https://klasma.github.io/Logging_0115/kartor/A 17348-2025 karta.png", "A 17348-2025")</f>
        <v/>
      </c>
      <c r="V43">
        <f>HYPERLINK("https://klasma.github.io/Logging_0115/klagomål/A 17348-2025 FSC-klagomål.docx", "A 17348-2025")</f>
        <v/>
      </c>
      <c r="W43">
        <f>HYPERLINK("https://klasma.github.io/Logging_0115/klagomålsmail/A 17348-2025 FSC-klagomål mail.docx", "A 17348-2025")</f>
        <v/>
      </c>
      <c r="X43">
        <f>HYPERLINK("https://klasma.github.io/Logging_0115/tillsyn/A 17348-2025 tillsynsbegäran.docx", "A 17348-2025")</f>
        <v/>
      </c>
      <c r="Y43">
        <f>HYPERLINK("https://klasma.github.io/Logging_0115/tillsynsmail/A 17348-2025 tillsynsbegäran mail.docx", "A 17348-2025")</f>
        <v/>
      </c>
    </row>
    <row r="44" ht="15" customHeight="1">
      <c r="A44" t="inlineStr">
        <is>
          <t>A 20612-2021</t>
        </is>
      </c>
      <c r="B44" s="1" t="n">
        <v>44315</v>
      </c>
      <c r="C44" s="1" t="n">
        <v>46135</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46135</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46135</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46135</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46135</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46135</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242-2022</t>
        </is>
      </c>
      <c r="B50" s="1" t="n">
        <v>44560</v>
      </c>
      <c r="C50" s="1" t="n">
        <v>46135</v>
      </c>
      <c r="D50" t="inlineStr">
        <is>
          <t>STOCKHOLMS LÄN</t>
        </is>
      </c>
      <c r="E50" t="inlineStr">
        <is>
          <t>VALLENTUNA</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46135</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46135</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46135</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46135</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46135</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46135</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24068-2024</t>
        </is>
      </c>
      <c r="B57" s="1" t="n">
        <v>45456</v>
      </c>
      <c r="C57" s="1" t="n">
        <v>46135</v>
      </c>
      <c r="D57" t="inlineStr">
        <is>
          <t>STOCKHOLMS LÄN</t>
        </is>
      </c>
      <c r="E57" t="inlineStr">
        <is>
          <t>VALLENTUNA</t>
        </is>
      </c>
      <c r="G57" t="n">
        <v>7.4</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46135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3937-2022</t>
        </is>
      </c>
      <c r="B59" s="1" t="n">
        <v>44587</v>
      </c>
      <c r="C59" s="1" t="n">
        <v>46135</v>
      </c>
      <c r="D59" t="inlineStr">
        <is>
          <t>STOCKHOLMS LÄN</t>
        </is>
      </c>
      <c r="E59" t="inlineStr">
        <is>
          <t>VALLENTUNA</t>
        </is>
      </c>
      <c r="G59" t="n">
        <v>6.6</v>
      </c>
      <c r="H59" t="n">
        <v>0</v>
      </c>
      <c r="I59" t="n">
        <v>0</v>
      </c>
      <c r="J59" t="n">
        <v>0</v>
      </c>
      <c r="K59" t="n">
        <v>0</v>
      </c>
      <c r="L59" t="n">
        <v>0</v>
      </c>
      <c r="M59" t="n">
        <v>0</v>
      </c>
      <c r="N59" t="n">
        <v>0</v>
      </c>
      <c r="O59" t="n">
        <v>0</v>
      </c>
      <c r="P59" t="n">
        <v>0</v>
      </c>
      <c r="Q59" t="n">
        <v>0</v>
      </c>
      <c r="R59" s="2" t="inlineStr"/>
    </row>
    <row r="60" ht="15" customHeight="1">
      <c r="A60" t="inlineStr">
        <is>
          <t>A 23013-2024</t>
        </is>
      </c>
      <c r="B60" s="1" t="n">
        <v>45450.35116898148</v>
      </c>
      <c r="C60" s="1" t="n">
        <v>46135</v>
      </c>
      <c r="D60" t="inlineStr">
        <is>
          <t>STOCKHOLMS LÄN</t>
        </is>
      </c>
      <c r="E60" t="inlineStr">
        <is>
          <t>VALLENTUNA</t>
        </is>
      </c>
      <c r="G60" t="n">
        <v>0.4</v>
      </c>
      <c r="H60" t="n">
        <v>0</v>
      </c>
      <c r="I60" t="n">
        <v>0</v>
      </c>
      <c r="J60" t="n">
        <v>0</v>
      </c>
      <c r="K60" t="n">
        <v>0</v>
      </c>
      <c r="L60" t="n">
        <v>0</v>
      </c>
      <c r="M60" t="n">
        <v>0</v>
      </c>
      <c r="N60" t="n">
        <v>0</v>
      </c>
      <c r="O60" t="n">
        <v>0</v>
      </c>
      <c r="P60" t="n">
        <v>0</v>
      </c>
      <c r="Q60" t="n">
        <v>0</v>
      </c>
      <c r="R60" s="2" t="inlineStr"/>
    </row>
    <row r="61" ht="15" customHeight="1">
      <c r="A61" t="inlineStr">
        <is>
          <t>A 3078-2023</t>
        </is>
      </c>
      <c r="B61" s="1" t="n">
        <v>44946.41527777778</v>
      </c>
      <c r="C61" s="1" t="n">
        <v>46135</v>
      </c>
      <c r="D61" t="inlineStr">
        <is>
          <t>STOCKHOLMS LÄN</t>
        </is>
      </c>
      <c r="E61" t="inlineStr">
        <is>
          <t>VALLENTUNA</t>
        </is>
      </c>
      <c r="G61" t="n">
        <v>3.9</v>
      </c>
      <c r="H61" t="n">
        <v>0</v>
      </c>
      <c r="I61" t="n">
        <v>0</v>
      </c>
      <c r="J61" t="n">
        <v>0</v>
      </c>
      <c r="K61" t="n">
        <v>0</v>
      </c>
      <c r="L61" t="n">
        <v>0</v>
      </c>
      <c r="M61" t="n">
        <v>0</v>
      </c>
      <c r="N61" t="n">
        <v>0</v>
      </c>
      <c r="O61" t="n">
        <v>0</v>
      </c>
      <c r="P61" t="n">
        <v>0</v>
      </c>
      <c r="Q61" t="n">
        <v>0</v>
      </c>
      <c r="R61" s="2" t="inlineStr"/>
    </row>
    <row r="62" ht="15" customHeight="1">
      <c r="A62" t="inlineStr">
        <is>
          <t>A 42624-2021</t>
        </is>
      </c>
      <c r="B62" s="1" t="n">
        <v>44428</v>
      </c>
      <c r="C62" s="1" t="n">
        <v>46135</v>
      </c>
      <c r="D62" t="inlineStr">
        <is>
          <t>STOCKHOLMS LÄN</t>
        </is>
      </c>
      <c r="E62" t="inlineStr">
        <is>
          <t>VALLENTUNA</t>
        </is>
      </c>
      <c r="G62" t="n">
        <v>0.7</v>
      </c>
      <c r="H62" t="n">
        <v>0</v>
      </c>
      <c r="I62" t="n">
        <v>0</v>
      </c>
      <c r="J62" t="n">
        <v>0</v>
      </c>
      <c r="K62" t="n">
        <v>0</v>
      </c>
      <c r="L62" t="n">
        <v>0</v>
      </c>
      <c r="M62" t="n">
        <v>0</v>
      </c>
      <c r="N62" t="n">
        <v>0</v>
      </c>
      <c r="O62" t="n">
        <v>0</v>
      </c>
      <c r="P62" t="n">
        <v>0</v>
      </c>
      <c r="Q62" t="n">
        <v>0</v>
      </c>
      <c r="R62" s="2" t="inlineStr"/>
    </row>
    <row r="63" ht="15" customHeight="1">
      <c r="A63" t="inlineStr">
        <is>
          <t>A 44346-2021</t>
        </is>
      </c>
      <c r="B63" s="1" t="n">
        <v>44434</v>
      </c>
      <c r="C63" s="1" t="n">
        <v>46135</v>
      </c>
      <c r="D63" t="inlineStr">
        <is>
          <t>STOCKHOLMS LÄN</t>
        </is>
      </c>
      <c r="E63" t="inlineStr">
        <is>
          <t>VALLENTUNA</t>
        </is>
      </c>
      <c r="G63" t="n">
        <v>3</v>
      </c>
      <c r="H63" t="n">
        <v>0</v>
      </c>
      <c r="I63" t="n">
        <v>0</v>
      </c>
      <c r="J63" t="n">
        <v>0</v>
      </c>
      <c r="K63" t="n">
        <v>0</v>
      </c>
      <c r="L63" t="n">
        <v>0</v>
      </c>
      <c r="M63" t="n">
        <v>0</v>
      </c>
      <c r="N63" t="n">
        <v>0</v>
      </c>
      <c r="O63" t="n">
        <v>0</v>
      </c>
      <c r="P63" t="n">
        <v>0</v>
      </c>
      <c r="Q63" t="n">
        <v>0</v>
      </c>
      <c r="R63" s="2" t="inlineStr"/>
    </row>
    <row r="64" ht="15" customHeight="1">
      <c r="A64" t="inlineStr">
        <is>
          <t>A 19503-2023</t>
        </is>
      </c>
      <c r="B64" s="1" t="n">
        <v>45050.47333333334</v>
      </c>
      <c r="C64" s="1" t="n">
        <v>46135</v>
      </c>
      <c r="D64" t="inlineStr">
        <is>
          <t>STOCKHOLMS LÄN</t>
        </is>
      </c>
      <c r="E64" t="inlineStr">
        <is>
          <t>VALLENTUNA</t>
        </is>
      </c>
      <c r="G64" t="n">
        <v>0.7</v>
      </c>
      <c r="H64" t="n">
        <v>0</v>
      </c>
      <c r="I64" t="n">
        <v>0</v>
      </c>
      <c r="J64" t="n">
        <v>0</v>
      </c>
      <c r="K64" t="n">
        <v>0</v>
      </c>
      <c r="L64" t="n">
        <v>0</v>
      </c>
      <c r="M64" t="n">
        <v>0</v>
      </c>
      <c r="N64" t="n">
        <v>0</v>
      </c>
      <c r="O64" t="n">
        <v>0</v>
      </c>
      <c r="P64" t="n">
        <v>0</v>
      </c>
      <c r="Q64" t="n">
        <v>0</v>
      </c>
      <c r="R64" s="2" t="inlineStr"/>
    </row>
    <row r="65" ht="15" customHeight="1">
      <c r="A65" t="inlineStr">
        <is>
          <t>A 4803-2024</t>
        </is>
      </c>
      <c r="B65" s="1" t="n">
        <v>45328</v>
      </c>
      <c r="C65" s="1" t="n">
        <v>46135</v>
      </c>
      <c r="D65" t="inlineStr">
        <is>
          <t>STOCKHOLMS LÄN</t>
        </is>
      </c>
      <c r="E65" t="inlineStr">
        <is>
          <t>VALLENTUNA</t>
        </is>
      </c>
      <c r="G65" t="n">
        <v>4.6</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46135</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3698-2022</t>
        </is>
      </c>
      <c r="B67" s="1" t="n">
        <v>44586</v>
      </c>
      <c r="C67" s="1" t="n">
        <v>46135</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38102-2024</t>
        </is>
      </c>
      <c r="B68" s="1" t="n">
        <v>45545.36349537037</v>
      </c>
      <c r="C68" s="1" t="n">
        <v>46135</v>
      </c>
      <c r="D68" t="inlineStr">
        <is>
          <t>STOCKHOLMS LÄN</t>
        </is>
      </c>
      <c r="E68" t="inlineStr">
        <is>
          <t>VALLENTUNA</t>
        </is>
      </c>
      <c r="G68" t="n">
        <v>3.2</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46135</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12234-2022</t>
        </is>
      </c>
      <c r="B70" s="1" t="n">
        <v>44637</v>
      </c>
      <c r="C70" s="1" t="n">
        <v>46135</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41206-2025</t>
        </is>
      </c>
      <c r="B71" s="1" t="n">
        <v>45898</v>
      </c>
      <c r="C71" s="1" t="n">
        <v>46135</v>
      </c>
      <c r="D71" t="inlineStr">
        <is>
          <t>STOCKHOLMS LÄN</t>
        </is>
      </c>
      <c r="E71" t="inlineStr">
        <is>
          <t>VALLENTUNA</t>
        </is>
      </c>
      <c r="G71" t="n">
        <v>10</v>
      </c>
      <c r="H71" t="n">
        <v>0</v>
      </c>
      <c r="I71" t="n">
        <v>0</v>
      </c>
      <c r="J71" t="n">
        <v>0</v>
      </c>
      <c r="K71" t="n">
        <v>0</v>
      </c>
      <c r="L71" t="n">
        <v>0</v>
      </c>
      <c r="M71" t="n">
        <v>0</v>
      </c>
      <c r="N71" t="n">
        <v>0</v>
      </c>
      <c r="O71" t="n">
        <v>0</v>
      </c>
      <c r="P71" t="n">
        <v>0</v>
      </c>
      <c r="Q71" t="n">
        <v>0</v>
      </c>
      <c r="R71" s="2" t="inlineStr"/>
    </row>
    <row r="72" ht="15" customHeight="1">
      <c r="A72" t="inlineStr">
        <is>
          <t>A 14799-2026</t>
        </is>
      </c>
      <c r="B72" s="1" t="n">
        <v>46102.82101851852</v>
      </c>
      <c r="C72" s="1" t="n">
        <v>46135</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24943-2024</t>
        </is>
      </c>
      <c r="B73" s="1" t="n">
        <v>45461.62585648148</v>
      </c>
      <c r="C73" s="1" t="n">
        <v>46135</v>
      </c>
      <c r="D73" t="inlineStr">
        <is>
          <t>STOCKHOLMS LÄN</t>
        </is>
      </c>
      <c r="E73" t="inlineStr">
        <is>
          <t>VALLENTUNA</t>
        </is>
      </c>
      <c r="G73" t="n">
        <v>2</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46135</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17389-2026</t>
        </is>
      </c>
      <c r="B75" s="1" t="n">
        <v>46119.80603009259</v>
      </c>
      <c r="C75" s="1" t="n">
        <v>46135</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22683-2023</t>
        </is>
      </c>
      <c r="B76" s="1" t="n">
        <v>45071</v>
      </c>
      <c r="C76" s="1" t="n">
        <v>46135</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17387-2026</t>
        </is>
      </c>
      <c r="B77" s="1" t="n">
        <v>46119.79578703704</v>
      </c>
      <c r="C77" s="1" t="n">
        <v>46135</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17388-2026</t>
        </is>
      </c>
      <c r="B78" s="1" t="n">
        <v>46119.79952546296</v>
      </c>
      <c r="C78" s="1" t="n">
        <v>46135</v>
      </c>
      <c r="D78" t="inlineStr">
        <is>
          <t>STOCKHOLMS LÄN</t>
        </is>
      </c>
      <c r="E78" t="inlineStr">
        <is>
          <t>VALLENTUNA</t>
        </is>
      </c>
      <c r="G78" t="n">
        <v>2.9</v>
      </c>
      <c r="H78" t="n">
        <v>0</v>
      </c>
      <c r="I78" t="n">
        <v>0</v>
      </c>
      <c r="J78" t="n">
        <v>0</v>
      </c>
      <c r="K78" t="n">
        <v>0</v>
      </c>
      <c r="L78" t="n">
        <v>0</v>
      </c>
      <c r="M78" t="n">
        <v>0</v>
      </c>
      <c r="N78" t="n">
        <v>0</v>
      </c>
      <c r="O78" t="n">
        <v>0</v>
      </c>
      <c r="P78" t="n">
        <v>0</v>
      </c>
      <c r="Q78" t="n">
        <v>0</v>
      </c>
      <c r="R78" s="2" t="inlineStr"/>
    </row>
    <row r="79" ht="15" customHeight="1">
      <c r="A79" t="inlineStr">
        <is>
          <t>A 17411-2023</t>
        </is>
      </c>
      <c r="B79" s="1" t="n">
        <v>45035.82512731481</v>
      </c>
      <c r="C79" s="1" t="n">
        <v>46135</v>
      </c>
      <c r="D79" t="inlineStr">
        <is>
          <t>STOCKHOLMS LÄN</t>
        </is>
      </c>
      <c r="E79" t="inlineStr">
        <is>
          <t>VALLENTUNA</t>
        </is>
      </c>
      <c r="G79" t="n">
        <v>0.7</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46135</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46135</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1385-2024</t>
        </is>
      </c>
      <c r="B82" s="1" t="n">
        <v>45303</v>
      </c>
      <c r="C82" s="1" t="n">
        <v>46135</v>
      </c>
      <c r="D82" t="inlineStr">
        <is>
          <t>STOCKHOLMS LÄN</t>
        </is>
      </c>
      <c r="E82" t="inlineStr">
        <is>
          <t>VALLENTUNA</t>
        </is>
      </c>
      <c r="G82" t="n">
        <v>2.6</v>
      </c>
      <c r="H82" t="n">
        <v>0</v>
      </c>
      <c r="I82" t="n">
        <v>0</v>
      </c>
      <c r="J82" t="n">
        <v>0</v>
      </c>
      <c r="K82" t="n">
        <v>0</v>
      </c>
      <c r="L82" t="n">
        <v>0</v>
      </c>
      <c r="M82" t="n">
        <v>0</v>
      </c>
      <c r="N82" t="n">
        <v>0</v>
      </c>
      <c r="O82" t="n">
        <v>0</v>
      </c>
      <c r="P82" t="n">
        <v>0</v>
      </c>
      <c r="Q82" t="n">
        <v>0</v>
      </c>
      <c r="R82" s="2" t="inlineStr"/>
    </row>
    <row r="83" ht="15" customHeight="1">
      <c r="A83" t="inlineStr">
        <is>
          <t>A 60818-2023</t>
        </is>
      </c>
      <c r="B83" s="1" t="n">
        <v>45259</v>
      </c>
      <c r="C83" s="1" t="n">
        <v>46135</v>
      </c>
      <c r="D83" t="inlineStr">
        <is>
          <t>STOCKHOLMS LÄN</t>
        </is>
      </c>
      <c r="E83" t="inlineStr">
        <is>
          <t>VALLENTUNA</t>
        </is>
      </c>
      <c r="G83" t="n">
        <v>9.4</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46135</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12400-2026</t>
        </is>
      </c>
      <c r="B85" s="1" t="n">
        <v>46090.39423611111</v>
      </c>
      <c r="C85" s="1" t="n">
        <v>46135</v>
      </c>
      <c r="D85" t="inlineStr">
        <is>
          <t>STOCKHOLMS LÄN</t>
        </is>
      </c>
      <c r="E85" t="inlineStr">
        <is>
          <t>VALLENTUNA</t>
        </is>
      </c>
      <c r="G85" t="n">
        <v>1.9</v>
      </c>
      <c r="H85" t="n">
        <v>0</v>
      </c>
      <c r="I85" t="n">
        <v>0</v>
      </c>
      <c r="J85" t="n">
        <v>0</v>
      </c>
      <c r="K85" t="n">
        <v>0</v>
      </c>
      <c r="L85" t="n">
        <v>0</v>
      </c>
      <c r="M85" t="n">
        <v>0</v>
      </c>
      <c r="N85" t="n">
        <v>0</v>
      </c>
      <c r="O85" t="n">
        <v>0</v>
      </c>
      <c r="P85" t="n">
        <v>0</v>
      </c>
      <c r="Q85" t="n">
        <v>0</v>
      </c>
      <c r="R85" s="2" t="inlineStr"/>
    </row>
    <row r="86" ht="15" customHeight="1">
      <c r="A86" t="inlineStr">
        <is>
          <t>A 7264-2022</t>
        </is>
      </c>
      <c r="B86" s="1" t="n">
        <v>44606</v>
      </c>
      <c r="C86" s="1" t="n">
        <v>46135</v>
      </c>
      <c r="D86" t="inlineStr">
        <is>
          <t>STOCKHOLMS LÄN</t>
        </is>
      </c>
      <c r="E86" t="inlineStr">
        <is>
          <t>VALLENTUNA</t>
        </is>
      </c>
      <c r="G86" t="n">
        <v>2.4</v>
      </c>
      <c r="H86" t="n">
        <v>0</v>
      </c>
      <c r="I86" t="n">
        <v>0</v>
      </c>
      <c r="J86" t="n">
        <v>0</v>
      </c>
      <c r="K86" t="n">
        <v>0</v>
      </c>
      <c r="L86" t="n">
        <v>0</v>
      </c>
      <c r="M86" t="n">
        <v>0</v>
      </c>
      <c r="N86" t="n">
        <v>0</v>
      </c>
      <c r="O86" t="n">
        <v>0</v>
      </c>
      <c r="P86" t="n">
        <v>0</v>
      </c>
      <c r="Q86" t="n">
        <v>0</v>
      </c>
      <c r="R86" s="2" t="inlineStr"/>
    </row>
    <row r="87" ht="15" customHeight="1">
      <c r="A87" t="inlineStr">
        <is>
          <t>A 12822-2026</t>
        </is>
      </c>
      <c r="B87" s="1" t="n">
        <v>46092.41358796296</v>
      </c>
      <c r="C87" s="1" t="n">
        <v>46135</v>
      </c>
      <c r="D87" t="inlineStr">
        <is>
          <t>STOCKHOLMS LÄN</t>
        </is>
      </c>
      <c r="E87" t="inlineStr">
        <is>
          <t>VALLENTUNA</t>
        </is>
      </c>
      <c r="G87" t="n">
        <v>2.7</v>
      </c>
      <c r="H87" t="n">
        <v>0</v>
      </c>
      <c r="I87" t="n">
        <v>0</v>
      </c>
      <c r="J87" t="n">
        <v>0</v>
      </c>
      <c r="K87" t="n">
        <v>0</v>
      </c>
      <c r="L87" t="n">
        <v>0</v>
      </c>
      <c r="M87" t="n">
        <v>0</v>
      </c>
      <c r="N87" t="n">
        <v>0</v>
      </c>
      <c r="O87" t="n">
        <v>0</v>
      </c>
      <c r="P87" t="n">
        <v>0</v>
      </c>
      <c r="Q87" t="n">
        <v>0</v>
      </c>
      <c r="R87" s="2" t="inlineStr"/>
    </row>
    <row r="88" ht="15" customHeight="1">
      <c r="A88" t="inlineStr">
        <is>
          <t>A 12819-2026</t>
        </is>
      </c>
      <c r="B88" s="1" t="n">
        <v>46092.40896990741</v>
      </c>
      <c r="C88" s="1" t="n">
        <v>46135</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15300-2023</t>
        </is>
      </c>
      <c r="B89" s="1" t="n">
        <v>45019</v>
      </c>
      <c r="C89" s="1" t="n">
        <v>46135</v>
      </c>
      <c r="D89" t="inlineStr">
        <is>
          <t>STOCKHOLMS LÄN</t>
        </is>
      </c>
      <c r="E89" t="inlineStr">
        <is>
          <t>VALLENTUNA</t>
        </is>
      </c>
      <c r="G89" t="n">
        <v>1.7</v>
      </c>
      <c r="H89" t="n">
        <v>0</v>
      </c>
      <c r="I89" t="n">
        <v>0</v>
      </c>
      <c r="J89" t="n">
        <v>0</v>
      </c>
      <c r="K89" t="n">
        <v>0</v>
      </c>
      <c r="L89" t="n">
        <v>0</v>
      </c>
      <c r="M89" t="n">
        <v>0</v>
      </c>
      <c r="N89" t="n">
        <v>0</v>
      </c>
      <c r="O89" t="n">
        <v>0</v>
      </c>
      <c r="P89" t="n">
        <v>0</v>
      </c>
      <c r="Q89" t="n">
        <v>0</v>
      </c>
      <c r="R89" s="2" t="inlineStr"/>
    </row>
    <row r="90" ht="15" customHeight="1">
      <c r="A90" t="inlineStr">
        <is>
          <t>A 12828-2026</t>
        </is>
      </c>
      <c r="B90" s="1" t="n">
        <v>46092.41760416667</v>
      </c>
      <c r="C90" s="1" t="n">
        <v>46135</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12830-2026</t>
        </is>
      </c>
      <c r="B91" s="1" t="n">
        <v>46092.42290509259</v>
      </c>
      <c r="C91" s="1" t="n">
        <v>46135</v>
      </c>
      <c r="D91" t="inlineStr">
        <is>
          <t>STOCKHOLMS LÄN</t>
        </is>
      </c>
      <c r="E91" t="inlineStr">
        <is>
          <t>VALLENTUNA</t>
        </is>
      </c>
      <c r="G91" t="n">
        <v>1.6</v>
      </c>
      <c r="H91" t="n">
        <v>0</v>
      </c>
      <c r="I91" t="n">
        <v>0</v>
      </c>
      <c r="J91" t="n">
        <v>0</v>
      </c>
      <c r="K91" t="n">
        <v>0</v>
      </c>
      <c r="L91" t="n">
        <v>0</v>
      </c>
      <c r="M91" t="n">
        <v>0</v>
      </c>
      <c r="N91" t="n">
        <v>0</v>
      </c>
      <c r="O91" t="n">
        <v>0</v>
      </c>
      <c r="P91" t="n">
        <v>0</v>
      </c>
      <c r="Q91" t="n">
        <v>0</v>
      </c>
      <c r="R91" s="2" t="inlineStr"/>
    </row>
    <row r="92" ht="15" customHeight="1">
      <c r="A92" t="inlineStr">
        <is>
          <t>A 19356-2025</t>
        </is>
      </c>
      <c r="B92" s="1" t="n">
        <v>45769.62061342593</v>
      </c>
      <c r="C92" s="1" t="n">
        <v>46135</v>
      </c>
      <c r="D92" t="inlineStr">
        <is>
          <t>STOCKHOLMS LÄN</t>
        </is>
      </c>
      <c r="E92" t="inlineStr">
        <is>
          <t>VALLENTUNA</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27868-2025</t>
        </is>
      </c>
      <c r="B93" s="1" t="n">
        <v>45817</v>
      </c>
      <c r="C93" s="1" t="n">
        <v>46135</v>
      </c>
      <c r="D93" t="inlineStr">
        <is>
          <t>STOCKHOLMS LÄN</t>
        </is>
      </c>
      <c r="E93" t="inlineStr">
        <is>
          <t>VALLENTUNA</t>
        </is>
      </c>
      <c r="G93" t="n">
        <v>2.1</v>
      </c>
      <c r="H93" t="n">
        <v>0</v>
      </c>
      <c r="I93" t="n">
        <v>0</v>
      </c>
      <c r="J93" t="n">
        <v>0</v>
      </c>
      <c r="K93" t="n">
        <v>0</v>
      </c>
      <c r="L93" t="n">
        <v>0</v>
      </c>
      <c r="M93" t="n">
        <v>0</v>
      </c>
      <c r="N93" t="n">
        <v>0</v>
      </c>
      <c r="O93" t="n">
        <v>0</v>
      </c>
      <c r="P93" t="n">
        <v>0</v>
      </c>
      <c r="Q93" t="n">
        <v>0</v>
      </c>
      <c r="R93" s="2" t="inlineStr"/>
    </row>
    <row r="94" ht="15" customHeight="1">
      <c r="A94" t="inlineStr">
        <is>
          <t>A 11950-2025</t>
        </is>
      </c>
      <c r="B94" s="1" t="n">
        <v>45728.55622685186</v>
      </c>
      <c r="C94" s="1" t="n">
        <v>46135</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54460-2025</t>
        </is>
      </c>
      <c r="B95" s="1" t="n">
        <v>45965.56219907408</v>
      </c>
      <c r="C95" s="1" t="n">
        <v>46135</v>
      </c>
      <c r="D95" t="inlineStr">
        <is>
          <t>STOCKHOLMS LÄN</t>
        </is>
      </c>
      <c r="E95" t="inlineStr">
        <is>
          <t>VALLENTUNA</t>
        </is>
      </c>
      <c r="G95" t="n">
        <v>22.9</v>
      </c>
      <c r="H95" t="n">
        <v>0</v>
      </c>
      <c r="I95" t="n">
        <v>0</v>
      </c>
      <c r="J95" t="n">
        <v>0</v>
      </c>
      <c r="K95" t="n">
        <v>0</v>
      </c>
      <c r="L95" t="n">
        <v>0</v>
      </c>
      <c r="M95" t="n">
        <v>0</v>
      </c>
      <c r="N95" t="n">
        <v>0</v>
      </c>
      <c r="O95" t="n">
        <v>0</v>
      </c>
      <c r="P95" t="n">
        <v>0</v>
      </c>
      <c r="Q95" t="n">
        <v>0</v>
      </c>
      <c r="R95" s="2" t="inlineStr"/>
    </row>
    <row r="96" ht="15" customHeight="1">
      <c r="A96" t="inlineStr">
        <is>
          <t>A 54466-2025</t>
        </is>
      </c>
      <c r="B96" s="1" t="n">
        <v>45965.56984953704</v>
      </c>
      <c r="C96" s="1" t="n">
        <v>46135</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14489-2024</t>
        </is>
      </c>
      <c r="B97" s="1" t="n">
        <v>45394.58053240741</v>
      </c>
      <c r="C97" s="1" t="n">
        <v>46135</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15268-2023</t>
        </is>
      </c>
      <c r="B98" s="1" t="n">
        <v>45019.41045138889</v>
      </c>
      <c r="C98" s="1" t="n">
        <v>46135</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61442-2024</t>
        </is>
      </c>
      <c r="B99" s="1" t="n">
        <v>45646.47003472222</v>
      </c>
      <c r="C99" s="1" t="n">
        <v>46135</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48068-2021</t>
        </is>
      </c>
      <c r="B100" s="1" t="n">
        <v>44449.42270833333</v>
      </c>
      <c r="C100" s="1" t="n">
        <v>46135</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61742-2022</t>
        </is>
      </c>
      <c r="B101" s="1" t="n">
        <v>44917</v>
      </c>
      <c r="C101" s="1" t="n">
        <v>46135</v>
      </c>
      <c r="D101" t="inlineStr">
        <is>
          <t>STOCKHOLMS LÄN</t>
        </is>
      </c>
      <c r="E101" t="inlineStr">
        <is>
          <t>VALLENTUNA</t>
        </is>
      </c>
      <c r="G101" t="n">
        <v>0.5</v>
      </c>
      <c r="H101" t="n">
        <v>0</v>
      </c>
      <c r="I101" t="n">
        <v>0</v>
      </c>
      <c r="J101" t="n">
        <v>0</v>
      </c>
      <c r="K101" t="n">
        <v>0</v>
      </c>
      <c r="L101" t="n">
        <v>0</v>
      </c>
      <c r="M101" t="n">
        <v>0</v>
      </c>
      <c r="N101" t="n">
        <v>0</v>
      </c>
      <c r="O101" t="n">
        <v>0</v>
      </c>
      <c r="P101" t="n">
        <v>0</v>
      </c>
      <c r="Q101" t="n">
        <v>0</v>
      </c>
      <c r="R101" s="2" t="inlineStr"/>
    </row>
    <row r="102" ht="15" customHeight="1">
      <c r="A102" t="inlineStr">
        <is>
          <t>A 45499-2023</t>
        </is>
      </c>
      <c r="B102" s="1" t="n">
        <v>45194</v>
      </c>
      <c r="C102" s="1" t="n">
        <v>46135</v>
      </c>
      <c r="D102" t="inlineStr">
        <is>
          <t>STOCKHOLMS LÄN</t>
        </is>
      </c>
      <c r="E102" t="inlineStr">
        <is>
          <t>VALLENTUNA</t>
        </is>
      </c>
      <c r="G102" t="n">
        <v>2.5</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46135</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20791-2025</t>
        </is>
      </c>
      <c r="B104" s="1" t="n">
        <v>45776.62738425926</v>
      </c>
      <c r="C104" s="1" t="n">
        <v>46135</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10073-2024</t>
        </is>
      </c>
      <c r="B105" s="1" t="n">
        <v>45364.40821759259</v>
      </c>
      <c r="C105" s="1" t="n">
        <v>46135</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12621-2024</t>
        </is>
      </c>
      <c r="B106" s="1" t="n">
        <v>45383.6325</v>
      </c>
      <c r="C106" s="1" t="n">
        <v>46135</v>
      </c>
      <c r="D106" t="inlineStr">
        <is>
          <t>STOCKHOLMS LÄN</t>
        </is>
      </c>
      <c r="E106" t="inlineStr">
        <is>
          <t>VALLENTUNA</t>
        </is>
      </c>
      <c r="G106" t="n">
        <v>4.4</v>
      </c>
      <c r="H106" t="n">
        <v>0</v>
      </c>
      <c r="I106" t="n">
        <v>0</v>
      </c>
      <c r="J106" t="n">
        <v>0</v>
      </c>
      <c r="K106" t="n">
        <v>0</v>
      </c>
      <c r="L106" t="n">
        <v>0</v>
      </c>
      <c r="M106" t="n">
        <v>0</v>
      </c>
      <c r="N106" t="n">
        <v>0</v>
      </c>
      <c r="O106" t="n">
        <v>0</v>
      </c>
      <c r="P106" t="n">
        <v>0</v>
      </c>
      <c r="Q106" t="n">
        <v>0</v>
      </c>
      <c r="R106" s="2" t="inlineStr"/>
    </row>
    <row r="107" ht="15" customHeight="1">
      <c r="A107" t="inlineStr">
        <is>
          <t>A 12562-2023</t>
        </is>
      </c>
      <c r="B107" s="1" t="n">
        <v>45000</v>
      </c>
      <c r="C107" s="1" t="n">
        <v>46135</v>
      </c>
      <c r="D107" t="inlineStr">
        <is>
          <t>STOCKHOLMS LÄN</t>
        </is>
      </c>
      <c r="E107" t="inlineStr">
        <is>
          <t>VALLENTUNA</t>
        </is>
      </c>
      <c r="G107" t="n">
        <v>2.1</v>
      </c>
      <c r="H107" t="n">
        <v>0</v>
      </c>
      <c r="I107" t="n">
        <v>0</v>
      </c>
      <c r="J107" t="n">
        <v>0</v>
      </c>
      <c r="K107" t="n">
        <v>0</v>
      </c>
      <c r="L107" t="n">
        <v>0</v>
      </c>
      <c r="M107" t="n">
        <v>0</v>
      </c>
      <c r="N107" t="n">
        <v>0</v>
      </c>
      <c r="O107" t="n">
        <v>0</v>
      </c>
      <c r="P107" t="n">
        <v>0</v>
      </c>
      <c r="Q107" t="n">
        <v>0</v>
      </c>
      <c r="R107" s="2" t="inlineStr"/>
    </row>
    <row r="108" ht="15" customHeight="1">
      <c r="A108" t="inlineStr">
        <is>
          <t>A 14480-2024</t>
        </is>
      </c>
      <c r="B108" s="1" t="n">
        <v>45394.56777777777</v>
      </c>
      <c r="C108" s="1" t="n">
        <v>46135</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17340-2025</t>
        </is>
      </c>
      <c r="B109" s="1" t="n">
        <v>45756</v>
      </c>
      <c r="C109" s="1" t="n">
        <v>46135</v>
      </c>
      <c r="D109" t="inlineStr">
        <is>
          <t>STOCKHOLMS LÄN</t>
        </is>
      </c>
      <c r="E109" t="inlineStr">
        <is>
          <t>VALLENTUNA</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30913-2021</t>
        </is>
      </c>
      <c r="B110" s="1" t="n">
        <v>44365</v>
      </c>
      <c r="C110" s="1" t="n">
        <v>46135</v>
      </c>
      <c r="D110" t="inlineStr">
        <is>
          <t>STOCKHOLMS LÄN</t>
        </is>
      </c>
      <c r="E110" t="inlineStr">
        <is>
          <t>VALLENTUNA</t>
        </is>
      </c>
      <c r="F110" t="inlineStr">
        <is>
          <t>Övriga Aktiebolag</t>
        </is>
      </c>
      <c r="G110" t="n">
        <v>3.3</v>
      </c>
      <c r="H110" t="n">
        <v>0</v>
      </c>
      <c r="I110" t="n">
        <v>0</v>
      </c>
      <c r="J110" t="n">
        <v>0</v>
      </c>
      <c r="K110" t="n">
        <v>0</v>
      </c>
      <c r="L110" t="n">
        <v>0</v>
      </c>
      <c r="M110" t="n">
        <v>0</v>
      </c>
      <c r="N110" t="n">
        <v>0</v>
      </c>
      <c r="O110" t="n">
        <v>0</v>
      </c>
      <c r="P110" t="n">
        <v>0</v>
      </c>
      <c r="Q110" t="n">
        <v>0</v>
      </c>
      <c r="R110" s="2" t="inlineStr"/>
    </row>
    <row r="111" ht="15" customHeight="1">
      <c r="A111" t="inlineStr">
        <is>
          <t>A 45496-2023</t>
        </is>
      </c>
      <c r="B111" s="1" t="n">
        <v>45194</v>
      </c>
      <c r="C111" s="1" t="n">
        <v>46135</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29704-2023</t>
        </is>
      </c>
      <c r="B112" s="1" t="n">
        <v>45107</v>
      </c>
      <c r="C112" s="1" t="n">
        <v>46135</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46381-2023</t>
        </is>
      </c>
      <c r="B113" s="1" t="n">
        <v>45193</v>
      </c>
      <c r="C113" s="1" t="n">
        <v>46135</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23009-2024</t>
        </is>
      </c>
      <c r="B114" s="1" t="n">
        <v>45450.34506944445</v>
      </c>
      <c r="C114" s="1" t="n">
        <v>46135</v>
      </c>
      <c r="D114" t="inlineStr">
        <is>
          <t>STOCKHOLMS LÄN</t>
        </is>
      </c>
      <c r="E114" t="inlineStr">
        <is>
          <t>VALLENTUNA</t>
        </is>
      </c>
      <c r="G114" t="n">
        <v>1.4</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46135</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27870-2025</t>
        </is>
      </c>
      <c r="B116" s="1" t="n">
        <v>45817</v>
      </c>
      <c r="C116" s="1" t="n">
        <v>46135</v>
      </c>
      <c r="D116" t="inlineStr">
        <is>
          <t>STOCKHOLMS LÄN</t>
        </is>
      </c>
      <c r="E116" t="inlineStr">
        <is>
          <t>VALLENTUNA</t>
        </is>
      </c>
      <c r="G116" t="n">
        <v>2.3</v>
      </c>
      <c r="H116" t="n">
        <v>0</v>
      </c>
      <c r="I116" t="n">
        <v>0</v>
      </c>
      <c r="J116" t="n">
        <v>0</v>
      </c>
      <c r="K116" t="n">
        <v>0</v>
      </c>
      <c r="L116" t="n">
        <v>0</v>
      </c>
      <c r="M116" t="n">
        <v>0</v>
      </c>
      <c r="N116" t="n">
        <v>0</v>
      </c>
      <c r="O116" t="n">
        <v>0</v>
      </c>
      <c r="P116" t="n">
        <v>0</v>
      </c>
      <c r="Q116" t="n">
        <v>0</v>
      </c>
      <c r="R116" s="2" t="inlineStr"/>
    </row>
    <row r="117" ht="15" customHeight="1">
      <c r="A117" t="inlineStr">
        <is>
          <t>A 23923-2025</t>
        </is>
      </c>
      <c r="B117" s="1" t="n">
        <v>45795.39648148148</v>
      </c>
      <c r="C117" s="1" t="n">
        <v>46135</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12609-2024</t>
        </is>
      </c>
      <c r="B118" s="1" t="n">
        <v>45382.8109375</v>
      </c>
      <c r="C118" s="1" t="n">
        <v>46135</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61646-2025</t>
        </is>
      </c>
      <c r="B119" s="1" t="n">
        <v>46002</v>
      </c>
      <c r="C119" s="1" t="n">
        <v>46135</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13836-2022</t>
        </is>
      </c>
      <c r="B120" s="1" t="n">
        <v>44649</v>
      </c>
      <c r="C120" s="1" t="n">
        <v>46135</v>
      </c>
      <c r="D120" t="inlineStr">
        <is>
          <t>STOCKHOLMS LÄN</t>
        </is>
      </c>
      <c r="E120" t="inlineStr">
        <is>
          <t>VALLENTUNA</t>
        </is>
      </c>
      <c r="G120" t="n">
        <v>3.5</v>
      </c>
      <c r="H120" t="n">
        <v>0</v>
      </c>
      <c r="I120" t="n">
        <v>0</v>
      </c>
      <c r="J120" t="n">
        <v>0</v>
      </c>
      <c r="K120" t="n">
        <v>0</v>
      </c>
      <c r="L120" t="n">
        <v>0</v>
      </c>
      <c r="M120" t="n">
        <v>0</v>
      </c>
      <c r="N120" t="n">
        <v>0</v>
      </c>
      <c r="O120" t="n">
        <v>0</v>
      </c>
      <c r="P120" t="n">
        <v>0</v>
      </c>
      <c r="Q120" t="n">
        <v>0</v>
      </c>
      <c r="R120" s="2" t="inlineStr"/>
    </row>
    <row r="121" ht="15" customHeight="1">
      <c r="A121" t="inlineStr">
        <is>
          <t>A 25984-2025</t>
        </is>
      </c>
      <c r="B121" s="1" t="n">
        <v>45804.64016203704</v>
      </c>
      <c r="C121" s="1" t="n">
        <v>46135</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4804-2024</t>
        </is>
      </c>
      <c r="B122" s="1" t="n">
        <v>45328</v>
      </c>
      <c r="C122" s="1" t="n">
        <v>46135</v>
      </c>
      <c r="D122" t="inlineStr">
        <is>
          <t>STOCKHOLMS LÄN</t>
        </is>
      </c>
      <c r="E122" t="inlineStr">
        <is>
          <t>VALLENTUNA</t>
        </is>
      </c>
      <c r="G122" t="n">
        <v>3</v>
      </c>
      <c r="H122" t="n">
        <v>0</v>
      </c>
      <c r="I122" t="n">
        <v>0</v>
      </c>
      <c r="J122" t="n">
        <v>0</v>
      </c>
      <c r="K122" t="n">
        <v>0</v>
      </c>
      <c r="L122" t="n">
        <v>0</v>
      </c>
      <c r="M122" t="n">
        <v>0</v>
      </c>
      <c r="N122" t="n">
        <v>0</v>
      </c>
      <c r="O122" t="n">
        <v>0</v>
      </c>
      <c r="P122" t="n">
        <v>0</v>
      </c>
      <c r="Q122" t="n">
        <v>0</v>
      </c>
      <c r="R122" s="2" t="inlineStr"/>
    </row>
    <row r="123" ht="15" customHeight="1">
      <c r="A123" t="inlineStr">
        <is>
          <t>A 414-2026</t>
        </is>
      </c>
      <c r="B123" s="1" t="n">
        <v>46028.76050925926</v>
      </c>
      <c r="C123" s="1" t="n">
        <v>46135</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30902-2025</t>
        </is>
      </c>
      <c r="B124" s="1" t="n">
        <v>45832.36104166666</v>
      </c>
      <c r="C124" s="1" t="n">
        <v>46135</v>
      </c>
      <c r="D124" t="inlineStr">
        <is>
          <t>STOCKHOLMS LÄN</t>
        </is>
      </c>
      <c r="E124" t="inlineStr">
        <is>
          <t>VALLENTUNA</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24707-2023</t>
        </is>
      </c>
      <c r="B125" s="1" t="n">
        <v>45084</v>
      </c>
      <c r="C125" s="1" t="n">
        <v>46135</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6298-2026</t>
        </is>
      </c>
      <c r="B126" s="1" t="n">
        <v>46055.5656712963</v>
      </c>
      <c r="C126" s="1" t="n">
        <v>46135</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28431-2025</t>
        </is>
      </c>
      <c r="B127" s="1" t="n">
        <v>45819.38072916667</v>
      </c>
      <c r="C127" s="1" t="n">
        <v>46135</v>
      </c>
      <c r="D127" t="inlineStr">
        <is>
          <t>STOCKHOLMS LÄN</t>
        </is>
      </c>
      <c r="E127" t="inlineStr">
        <is>
          <t>VALLENTUNA</t>
        </is>
      </c>
      <c r="G127" t="n">
        <v>1.5</v>
      </c>
      <c r="H127" t="n">
        <v>0</v>
      </c>
      <c r="I127" t="n">
        <v>0</v>
      </c>
      <c r="J127" t="n">
        <v>0</v>
      </c>
      <c r="K127" t="n">
        <v>0</v>
      </c>
      <c r="L127" t="n">
        <v>0</v>
      </c>
      <c r="M127" t="n">
        <v>0</v>
      </c>
      <c r="N127" t="n">
        <v>0</v>
      </c>
      <c r="O127" t="n">
        <v>0</v>
      </c>
      <c r="P127" t="n">
        <v>0</v>
      </c>
      <c r="Q127" t="n">
        <v>0</v>
      </c>
      <c r="R127" s="2" t="inlineStr"/>
    </row>
    <row r="128" ht="15" customHeight="1">
      <c r="A128" t="inlineStr">
        <is>
          <t>A 5910-2022</t>
        </is>
      </c>
      <c r="B128" s="1" t="n">
        <v>44597</v>
      </c>
      <c r="C128" s="1" t="n">
        <v>46135</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24994-2021</t>
        </is>
      </c>
      <c r="B129" s="1" t="n">
        <v>44341</v>
      </c>
      <c r="C129" s="1" t="n">
        <v>46135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60795-2023</t>
        </is>
      </c>
      <c r="B130" s="1" t="n">
        <v>45260</v>
      </c>
      <c r="C130" s="1" t="n">
        <v>46135</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44914.70746527778</v>
      </c>
      <c r="C131" s="1" t="n">
        <v>46135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14775-2024</t>
        </is>
      </c>
      <c r="B132" s="1" t="n">
        <v>45397.73675925926</v>
      </c>
      <c r="C132" s="1" t="n">
        <v>46135</v>
      </c>
      <c r="D132" t="inlineStr">
        <is>
          <t>STOCKHOLMS LÄN</t>
        </is>
      </c>
      <c r="E132" t="inlineStr">
        <is>
          <t>VALLENTUNA</t>
        </is>
      </c>
      <c r="G132" t="n">
        <v>1.7</v>
      </c>
      <c r="H132" t="n">
        <v>0</v>
      </c>
      <c r="I132" t="n">
        <v>0</v>
      </c>
      <c r="J132" t="n">
        <v>0</v>
      </c>
      <c r="K132" t="n">
        <v>0</v>
      </c>
      <c r="L132" t="n">
        <v>0</v>
      </c>
      <c r="M132" t="n">
        <v>0</v>
      </c>
      <c r="N132" t="n">
        <v>0</v>
      </c>
      <c r="O132" t="n">
        <v>0</v>
      </c>
      <c r="P132" t="n">
        <v>0</v>
      </c>
      <c r="Q132" t="n">
        <v>0</v>
      </c>
      <c r="R132" s="2" t="inlineStr"/>
    </row>
    <row r="133" ht="15" customHeight="1">
      <c r="A133" t="inlineStr">
        <is>
          <t>A 8565-2025</t>
        </is>
      </c>
      <c r="B133" s="1" t="n">
        <v>45709</v>
      </c>
      <c r="C133" s="1" t="n">
        <v>46135</v>
      </c>
      <c r="D133" t="inlineStr">
        <is>
          <t>STOCKHOLMS LÄN</t>
        </is>
      </c>
      <c r="E133" t="inlineStr">
        <is>
          <t>VALLENTUNA</t>
        </is>
      </c>
      <c r="F133" t="inlineStr">
        <is>
          <t>Kommuner</t>
        </is>
      </c>
      <c r="G133" t="n">
        <v>4.2</v>
      </c>
      <c r="H133" t="n">
        <v>0</v>
      </c>
      <c r="I133" t="n">
        <v>0</v>
      </c>
      <c r="J133" t="n">
        <v>0</v>
      </c>
      <c r="K133" t="n">
        <v>0</v>
      </c>
      <c r="L133" t="n">
        <v>0</v>
      </c>
      <c r="M133" t="n">
        <v>0</v>
      </c>
      <c r="N133" t="n">
        <v>0</v>
      </c>
      <c r="O133" t="n">
        <v>0</v>
      </c>
      <c r="P133" t="n">
        <v>0</v>
      </c>
      <c r="Q133" t="n">
        <v>0</v>
      </c>
      <c r="R133" s="2" t="inlineStr"/>
    </row>
    <row r="134" ht="15" customHeight="1">
      <c r="A134" t="inlineStr">
        <is>
          <t>A 8787-2024</t>
        </is>
      </c>
      <c r="B134" s="1" t="n">
        <v>45356</v>
      </c>
      <c r="C134" s="1" t="n">
        <v>46135</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46135</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52562-2023</t>
        </is>
      </c>
      <c r="B136" s="1" t="n">
        <v>45225</v>
      </c>
      <c r="C136" s="1" t="n">
        <v>46135</v>
      </c>
      <c r="D136" t="inlineStr">
        <is>
          <t>STOCKHOLMS LÄN</t>
        </is>
      </c>
      <c r="E136" t="inlineStr">
        <is>
          <t>VALLENTUNA</t>
        </is>
      </c>
      <c r="G136" t="n">
        <v>3.4</v>
      </c>
      <c r="H136" t="n">
        <v>0</v>
      </c>
      <c r="I136" t="n">
        <v>0</v>
      </c>
      <c r="J136" t="n">
        <v>0</v>
      </c>
      <c r="K136" t="n">
        <v>0</v>
      </c>
      <c r="L136" t="n">
        <v>0</v>
      </c>
      <c r="M136" t="n">
        <v>0</v>
      </c>
      <c r="N136" t="n">
        <v>0</v>
      </c>
      <c r="O136" t="n">
        <v>0</v>
      </c>
      <c r="P136" t="n">
        <v>0</v>
      </c>
      <c r="Q136" t="n">
        <v>0</v>
      </c>
      <c r="R136" s="2" t="inlineStr"/>
    </row>
    <row r="137" ht="15" customHeight="1">
      <c r="A137" t="inlineStr">
        <is>
          <t>A 49530-2023</t>
        </is>
      </c>
      <c r="B137" s="1" t="n">
        <v>45205</v>
      </c>
      <c r="C137" s="1" t="n">
        <v>46135</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52542-2023</t>
        </is>
      </c>
      <c r="B138" s="1" t="n">
        <v>45225</v>
      </c>
      <c r="C138" s="1" t="n">
        <v>46135</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2318-2024</t>
        </is>
      </c>
      <c r="B139" s="1" t="n">
        <v>45310</v>
      </c>
      <c r="C139" s="1" t="n">
        <v>46135</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9063-2024</t>
        </is>
      </c>
      <c r="B140" s="1" t="n">
        <v>45357.72652777778</v>
      </c>
      <c r="C140" s="1" t="n">
        <v>46135</v>
      </c>
      <c r="D140" t="inlineStr">
        <is>
          <t>STOCKHOLMS LÄN</t>
        </is>
      </c>
      <c r="E140" t="inlineStr">
        <is>
          <t>VALLENTUNA</t>
        </is>
      </c>
      <c r="G140" t="n">
        <v>4.1</v>
      </c>
      <c r="H140" t="n">
        <v>0</v>
      </c>
      <c r="I140" t="n">
        <v>0</v>
      </c>
      <c r="J140" t="n">
        <v>0</v>
      </c>
      <c r="K140" t="n">
        <v>0</v>
      </c>
      <c r="L140" t="n">
        <v>0</v>
      </c>
      <c r="M140" t="n">
        <v>0</v>
      </c>
      <c r="N140" t="n">
        <v>0</v>
      </c>
      <c r="O140" t="n">
        <v>0</v>
      </c>
      <c r="P140" t="n">
        <v>0</v>
      </c>
      <c r="Q140" t="n">
        <v>0</v>
      </c>
      <c r="R140" s="2" t="inlineStr"/>
    </row>
    <row r="141" ht="15" customHeight="1">
      <c r="A141" t="inlineStr">
        <is>
          <t>A 21445-2023</t>
        </is>
      </c>
      <c r="B141" s="1" t="n">
        <v>45063</v>
      </c>
      <c r="C141" s="1" t="n">
        <v>46135</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34441-2023</t>
        </is>
      </c>
      <c r="B142" s="1" t="n">
        <v>45139</v>
      </c>
      <c r="C142" s="1" t="n">
        <v>46135</v>
      </c>
      <c r="D142" t="inlineStr">
        <is>
          <t>STOCKHOLMS LÄN</t>
        </is>
      </c>
      <c r="E142" t="inlineStr">
        <is>
          <t>VALLENTUNA</t>
        </is>
      </c>
      <c r="G142" t="n">
        <v>1.6</v>
      </c>
      <c r="H142" t="n">
        <v>0</v>
      </c>
      <c r="I142" t="n">
        <v>0</v>
      </c>
      <c r="J142" t="n">
        <v>0</v>
      </c>
      <c r="K142" t="n">
        <v>0</v>
      </c>
      <c r="L142" t="n">
        <v>0</v>
      </c>
      <c r="M142" t="n">
        <v>0</v>
      </c>
      <c r="N142" t="n">
        <v>0</v>
      </c>
      <c r="O142" t="n">
        <v>0</v>
      </c>
      <c r="P142" t="n">
        <v>0</v>
      </c>
      <c r="Q142" t="n">
        <v>0</v>
      </c>
      <c r="R142" s="2" t="inlineStr"/>
    </row>
    <row r="143" ht="15" customHeight="1">
      <c r="A143" t="inlineStr">
        <is>
          <t>A 34445-2023</t>
        </is>
      </c>
      <c r="B143" s="1" t="n">
        <v>45139</v>
      </c>
      <c r="C143" s="1" t="n">
        <v>46135</v>
      </c>
      <c r="D143" t="inlineStr">
        <is>
          <t>STOCKHOLMS LÄN</t>
        </is>
      </c>
      <c r="E143" t="inlineStr">
        <is>
          <t>VALLENTUNA</t>
        </is>
      </c>
      <c r="G143" t="n">
        <v>0.9</v>
      </c>
      <c r="H143" t="n">
        <v>0</v>
      </c>
      <c r="I143" t="n">
        <v>0</v>
      </c>
      <c r="J143" t="n">
        <v>0</v>
      </c>
      <c r="K143" t="n">
        <v>0</v>
      </c>
      <c r="L143" t="n">
        <v>0</v>
      </c>
      <c r="M143" t="n">
        <v>0</v>
      </c>
      <c r="N143" t="n">
        <v>0</v>
      </c>
      <c r="O143" t="n">
        <v>0</v>
      </c>
      <c r="P143" t="n">
        <v>0</v>
      </c>
      <c r="Q143" t="n">
        <v>0</v>
      </c>
      <c r="R143" s="2" t="inlineStr"/>
    </row>
    <row r="144" ht="15" customHeight="1">
      <c r="A144" t="inlineStr">
        <is>
          <t>A 735-2024</t>
        </is>
      </c>
      <c r="B144" s="1" t="n">
        <v>45300</v>
      </c>
      <c r="C144" s="1" t="n">
        <v>46135</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45000.41373842592</v>
      </c>
      <c r="C145" s="1" t="n">
        <v>46135</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8077-2022</t>
        </is>
      </c>
      <c r="B146" s="1" t="n">
        <v>44609</v>
      </c>
      <c r="C146" s="1" t="n">
        <v>46135</v>
      </c>
      <c r="D146" t="inlineStr">
        <is>
          <t>STOCKHOLMS LÄN</t>
        </is>
      </c>
      <c r="E146" t="inlineStr">
        <is>
          <t>VALLENTUNA</t>
        </is>
      </c>
      <c r="G146" t="n">
        <v>1.3</v>
      </c>
      <c r="H146" t="n">
        <v>0</v>
      </c>
      <c r="I146" t="n">
        <v>0</v>
      </c>
      <c r="J146" t="n">
        <v>0</v>
      </c>
      <c r="K146" t="n">
        <v>0</v>
      </c>
      <c r="L146" t="n">
        <v>0</v>
      </c>
      <c r="M146" t="n">
        <v>0</v>
      </c>
      <c r="N146" t="n">
        <v>0</v>
      </c>
      <c r="O146" t="n">
        <v>0</v>
      </c>
      <c r="P146" t="n">
        <v>0</v>
      </c>
      <c r="Q146" t="n">
        <v>0</v>
      </c>
      <c r="R146" s="2" t="inlineStr"/>
    </row>
    <row r="147" ht="15" customHeight="1">
      <c r="A147" t="inlineStr">
        <is>
          <t>A 47140-2024</t>
        </is>
      </c>
      <c r="B147" s="1" t="n">
        <v>45586.58753472222</v>
      </c>
      <c r="C147" s="1" t="n">
        <v>46135</v>
      </c>
      <c r="D147" t="inlineStr">
        <is>
          <t>STOCKHOLMS LÄN</t>
        </is>
      </c>
      <c r="E147" t="inlineStr">
        <is>
          <t>VALLENTUNA</t>
        </is>
      </c>
      <c r="G147" t="n">
        <v>1</v>
      </c>
      <c r="H147" t="n">
        <v>0</v>
      </c>
      <c r="I147" t="n">
        <v>0</v>
      </c>
      <c r="J147" t="n">
        <v>0</v>
      </c>
      <c r="K147" t="n">
        <v>0</v>
      </c>
      <c r="L147" t="n">
        <v>0</v>
      </c>
      <c r="M147" t="n">
        <v>0</v>
      </c>
      <c r="N147" t="n">
        <v>0</v>
      </c>
      <c r="O147" t="n">
        <v>0</v>
      </c>
      <c r="P147" t="n">
        <v>0</v>
      </c>
      <c r="Q147" t="n">
        <v>0</v>
      </c>
      <c r="R147" s="2" t="inlineStr"/>
    </row>
    <row r="148" ht="15" customHeight="1">
      <c r="A148" t="inlineStr">
        <is>
          <t>A 21765-2023</t>
        </is>
      </c>
      <c r="B148" s="1" t="n">
        <v>45064</v>
      </c>
      <c r="C148" s="1" t="n">
        <v>46135</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ht="15" customHeight="1">
      <c r="A149" t="inlineStr">
        <is>
          <t>A 21614-2022</t>
        </is>
      </c>
      <c r="B149" s="1" t="n">
        <v>44706</v>
      </c>
      <c r="C149" s="1" t="n">
        <v>46135</v>
      </c>
      <c r="D149" t="inlineStr">
        <is>
          <t>STOCKHOLMS LÄN</t>
        </is>
      </c>
      <c r="E149" t="inlineStr">
        <is>
          <t>VALLENTUNA</t>
        </is>
      </c>
      <c r="G149" t="n">
        <v>4</v>
      </c>
      <c r="H149" t="n">
        <v>0</v>
      </c>
      <c r="I149" t="n">
        <v>0</v>
      </c>
      <c r="J149" t="n">
        <v>0</v>
      </c>
      <c r="K149" t="n">
        <v>0</v>
      </c>
      <c r="L149" t="n">
        <v>0</v>
      </c>
      <c r="M149" t="n">
        <v>0</v>
      </c>
      <c r="N149" t="n">
        <v>0</v>
      </c>
      <c r="O149" t="n">
        <v>0</v>
      </c>
      <c r="P149" t="n">
        <v>0</v>
      </c>
      <c r="Q149" t="n">
        <v>0</v>
      </c>
      <c r="R149" s="2" t="inlineStr"/>
    </row>
    <row r="150">
      <c r="A150" t="inlineStr">
        <is>
          <t>A 23986-2023</t>
        </is>
      </c>
      <c r="B150" s="1" t="n">
        <v>45078</v>
      </c>
      <c r="C150" s="1" t="n">
        <v>46135</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2026-04-23T10:50:27Z</dcterms:created>
  <dcterms:modified xmlns:dcterms="http://purl.org/dc/terms/" xmlns:xsi="http://www.w3.org/2001/XMLSchema-instance" xsi:type="dcterms:W3CDTF">2026-04-23T10:50:27Z</dcterms:modified>
</cp:coreProperties>
</file>