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45912</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45912</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45912</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18446-2025</t>
        </is>
      </c>
      <c r="B11" s="1" t="n">
        <v>45762</v>
      </c>
      <c r="C11" s="1" t="n">
        <v>45912</v>
      </c>
      <c r="D11" t="inlineStr">
        <is>
          <t>STOCKHOLMS LÄN</t>
        </is>
      </c>
      <c r="E11" t="inlineStr">
        <is>
          <t>VALLENTUNA</t>
        </is>
      </c>
      <c r="G11" t="n">
        <v>3.7</v>
      </c>
      <c r="H11" t="n">
        <v>2</v>
      </c>
      <c r="I11" t="n">
        <v>2</v>
      </c>
      <c r="J11" t="n">
        <v>1</v>
      </c>
      <c r="K11" t="n">
        <v>0</v>
      </c>
      <c r="L11" t="n">
        <v>0</v>
      </c>
      <c r="M11" t="n">
        <v>0</v>
      </c>
      <c r="N11" t="n">
        <v>0</v>
      </c>
      <c r="O11" t="n">
        <v>1</v>
      </c>
      <c r="P11" t="n">
        <v>0</v>
      </c>
      <c r="Q11" t="n">
        <v>4</v>
      </c>
      <c r="R11" s="2" t="inlineStr">
        <is>
          <t>Talltita
Grönpyrola
Vedticka
Blåsippa</t>
        </is>
      </c>
      <c r="S11">
        <f>HYPERLINK("https://klasma.github.io/Logging_0115/artfynd/A 18446-2025 artfynd.xlsx", "A 18446-2025")</f>
        <v/>
      </c>
      <c r="T11">
        <f>HYPERLINK("https://klasma.github.io/Logging_0115/kartor/A 18446-2025 karta.png", "A 18446-2025")</f>
        <v/>
      </c>
      <c r="V11">
        <f>HYPERLINK("https://klasma.github.io/Logging_0115/klagomål/A 18446-2025 FSC-klagomål.docx", "A 18446-2025")</f>
        <v/>
      </c>
      <c r="W11">
        <f>HYPERLINK("https://klasma.github.io/Logging_0115/klagomålsmail/A 18446-2025 FSC-klagomål mail.docx", "A 18446-2025")</f>
        <v/>
      </c>
      <c r="X11">
        <f>HYPERLINK("https://klasma.github.io/Logging_0115/tillsyn/A 18446-2025 tillsynsbegäran.docx", "A 18446-2025")</f>
        <v/>
      </c>
      <c r="Y11">
        <f>HYPERLINK("https://klasma.github.io/Logging_0115/tillsynsmail/A 18446-2025 tillsynsbegäran mail.docx", "A 18446-2025")</f>
        <v/>
      </c>
      <c r="Z11">
        <f>HYPERLINK("https://klasma.github.io/Logging_0115/fåglar/A 18446-2025 prioriterade fågelarter.docx", "A 18446-2025")</f>
        <v/>
      </c>
    </row>
    <row r="12" ht="15" customHeight="1">
      <c r="A12" t="inlineStr">
        <is>
          <t>A 8500-2022</t>
        </is>
      </c>
      <c r="B12" s="1" t="n">
        <v>44613</v>
      </c>
      <c r="C12" s="1" t="n">
        <v>45912</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37456-2023</t>
        </is>
      </c>
      <c r="B13" s="1" t="n">
        <v>45156</v>
      </c>
      <c r="C13" s="1" t="n">
        <v>45912</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42612-2025</t>
        </is>
      </c>
      <c r="B14" s="1" t="n">
        <v>45905.70087962963</v>
      </c>
      <c r="C14" s="1" t="n">
        <v>45912</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60-2022</t>
        </is>
      </c>
      <c r="B15" s="1" t="n">
        <v>44560</v>
      </c>
      <c r="C15" s="1" t="n">
        <v>45912</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45912</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45912</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754-2024</t>
        </is>
      </c>
      <c r="B18" s="1" t="n">
        <v>45300</v>
      </c>
      <c r="C18" s="1" t="n">
        <v>45912</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9745-2022</t>
        </is>
      </c>
      <c r="B19" s="1" t="n">
        <v>44618</v>
      </c>
      <c r="C19" s="1" t="n">
        <v>45912</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41021-2023</t>
        </is>
      </c>
      <c r="B20" s="1" t="n">
        <v>45173</v>
      </c>
      <c r="C20" s="1" t="n">
        <v>45912</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45912</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8817-2025</t>
        </is>
      </c>
      <c r="B22" s="1" t="n">
        <v>45712.70987268518</v>
      </c>
      <c r="C22" s="1" t="n">
        <v>45912</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45912</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21439-2025</t>
        </is>
      </c>
      <c r="B24" s="1" t="n">
        <v>45782.52939814814</v>
      </c>
      <c r="C24" s="1" t="n">
        <v>45912</v>
      </c>
      <c r="D24" t="inlineStr">
        <is>
          <t>STOCKHOLMS LÄN</t>
        </is>
      </c>
      <c r="E24" t="inlineStr">
        <is>
          <t>VALLENTUNA</t>
        </is>
      </c>
      <c r="G24" t="n">
        <v>2.1</v>
      </c>
      <c r="H24" t="n">
        <v>0</v>
      </c>
      <c r="I24" t="n">
        <v>1</v>
      </c>
      <c r="J24" t="n">
        <v>0</v>
      </c>
      <c r="K24" t="n">
        <v>0</v>
      </c>
      <c r="L24" t="n">
        <v>0</v>
      </c>
      <c r="M24" t="n">
        <v>0</v>
      </c>
      <c r="N24" t="n">
        <v>0</v>
      </c>
      <c r="O24" t="n">
        <v>0</v>
      </c>
      <c r="P24" t="n">
        <v>0</v>
      </c>
      <c r="Q24" t="n">
        <v>1</v>
      </c>
      <c r="R24" s="2" t="inlineStr">
        <is>
          <t>Mindre märgborre</t>
        </is>
      </c>
      <c r="S24">
        <f>HYPERLINK("https://klasma.github.io/Logging_0115/artfynd/A 21439-2025 artfynd.xlsx", "A 21439-2025")</f>
        <v/>
      </c>
      <c r="T24">
        <f>HYPERLINK("https://klasma.github.io/Logging_0115/kartor/A 21439-2025 karta.png", "A 21439-2025")</f>
        <v/>
      </c>
      <c r="V24">
        <f>HYPERLINK("https://klasma.github.io/Logging_0115/klagomål/A 21439-2025 FSC-klagomål.docx", "A 21439-2025")</f>
        <v/>
      </c>
      <c r="W24">
        <f>HYPERLINK("https://klasma.github.io/Logging_0115/klagomålsmail/A 21439-2025 FSC-klagomål mail.docx", "A 21439-2025")</f>
        <v/>
      </c>
      <c r="X24">
        <f>HYPERLINK("https://klasma.github.io/Logging_0115/tillsyn/A 21439-2025 tillsynsbegäran.docx", "A 21439-2025")</f>
        <v/>
      </c>
      <c r="Y24">
        <f>HYPERLINK("https://klasma.github.io/Logging_0115/tillsynsmail/A 21439-2025 tillsynsbegäran mail.docx", "A 21439-2025")</f>
        <v/>
      </c>
    </row>
    <row r="25" ht="15" customHeight="1">
      <c r="A25" t="inlineStr">
        <is>
          <t>A 17348-2025</t>
        </is>
      </c>
      <c r="B25" s="1" t="n">
        <v>45756</v>
      </c>
      <c r="C25" s="1" t="n">
        <v>45912</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22936-2025</t>
        </is>
      </c>
      <c r="B26" s="1" t="n">
        <v>45790.45738425926</v>
      </c>
      <c r="C26" s="1" t="n">
        <v>45912</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45912</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7890-2023</t>
        </is>
      </c>
      <c r="B28" s="1" t="n">
        <v>44973</v>
      </c>
      <c r="C28" s="1" t="n">
        <v>45912</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45912</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8946-2025</t>
        </is>
      </c>
      <c r="B30" s="1" t="n">
        <v>45712</v>
      </c>
      <c r="C30" s="1" t="n">
        <v>45912</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27870-2025</t>
        </is>
      </c>
      <c r="B31" s="1" t="n">
        <v>45817</v>
      </c>
      <c r="C31" s="1" t="n">
        <v>45912</v>
      </c>
      <c r="D31" t="inlineStr">
        <is>
          <t>STOCKHOLMS LÄN</t>
        </is>
      </c>
      <c r="E31" t="inlineStr">
        <is>
          <t>VALLENTUNA</t>
        </is>
      </c>
      <c r="G31" t="n">
        <v>5</v>
      </c>
      <c r="H31" t="n">
        <v>0</v>
      </c>
      <c r="I31" t="n">
        <v>0</v>
      </c>
      <c r="J31" t="n">
        <v>1</v>
      </c>
      <c r="K31" t="n">
        <v>0</v>
      </c>
      <c r="L31" t="n">
        <v>0</v>
      </c>
      <c r="M31" t="n">
        <v>0</v>
      </c>
      <c r="N31" t="n">
        <v>0</v>
      </c>
      <c r="O31" t="n">
        <v>1</v>
      </c>
      <c r="P31" t="n">
        <v>0</v>
      </c>
      <c r="Q31" t="n">
        <v>1</v>
      </c>
      <c r="R31" s="2" t="inlineStr">
        <is>
          <t>Bronspraktbagge</t>
        </is>
      </c>
      <c r="S31">
        <f>HYPERLINK("https://klasma.github.io/Logging_0115/artfynd/A 27870-2025 artfynd.xlsx", "A 27870-2025")</f>
        <v/>
      </c>
      <c r="T31">
        <f>HYPERLINK("https://klasma.github.io/Logging_0115/kartor/A 27870-2025 karta.png", "A 27870-2025")</f>
        <v/>
      </c>
      <c r="V31">
        <f>HYPERLINK("https://klasma.github.io/Logging_0115/klagomål/A 27870-2025 FSC-klagomål.docx", "A 27870-2025")</f>
        <v/>
      </c>
      <c r="W31">
        <f>HYPERLINK("https://klasma.github.io/Logging_0115/klagomålsmail/A 27870-2025 FSC-klagomål mail.docx", "A 27870-2025")</f>
        <v/>
      </c>
      <c r="X31">
        <f>HYPERLINK("https://klasma.github.io/Logging_0115/tillsyn/A 27870-2025 tillsynsbegäran.docx", "A 27870-2025")</f>
        <v/>
      </c>
      <c r="Y31">
        <f>HYPERLINK("https://klasma.github.io/Logging_0115/tillsynsmail/A 27870-2025 tillsynsbegäran mail.docx", "A 27870-2025")</f>
        <v/>
      </c>
    </row>
    <row r="32" ht="15" customHeight="1">
      <c r="A32" t="inlineStr">
        <is>
          <t>A 17341-2025</t>
        </is>
      </c>
      <c r="B32" s="1" t="n">
        <v>45756</v>
      </c>
      <c r="C32" s="1" t="n">
        <v>45912</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45912</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45912</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45912</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45912</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45912</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45912</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45912</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45912</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45912</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45912</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45912</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45912</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45912</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45912</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45912</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45912</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45912</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45912</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45912</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45912</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45912</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735-2024</t>
        </is>
      </c>
      <c r="B55" s="1" t="n">
        <v>45300</v>
      </c>
      <c r="C55" s="1" t="n">
        <v>45912</v>
      </c>
      <c r="D55" t="inlineStr">
        <is>
          <t>STOCKHOLMS LÄN</t>
        </is>
      </c>
      <c r="E55" t="inlineStr">
        <is>
          <t>VALLENTUNA</t>
        </is>
      </c>
      <c r="G55" t="n">
        <v>1.7</v>
      </c>
      <c r="H55" t="n">
        <v>0</v>
      </c>
      <c r="I55" t="n">
        <v>0</v>
      </c>
      <c r="J55" t="n">
        <v>0</v>
      </c>
      <c r="K55" t="n">
        <v>0</v>
      </c>
      <c r="L55" t="n">
        <v>0</v>
      </c>
      <c r="M55" t="n">
        <v>0</v>
      </c>
      <c r="N55" t="n">
        <v>0</v>
      </c>
      <c r="O55" t="n">
        <v>0</v>
      </c>
      <c r="P55" t="n">
        <v>0</v>
      </c>
      <c r="Q55" t="n">
        <v>0</v>
      </c>
      <c r="R55" s="2" t="inlineStr"/>
    </row>
    <row r="56" ht="15" customHeight="1">
      <c r="A56" t="inlineStr">
        <is>
          <t>A 12585-2023</t>
        </is>
      </c>
      <c r="B56" s="1" t="n">
        <v>45000.41373842592</v>
      </c>
      <c r="C56" s="1" t="n">
        <v>45912</v>
      </c>
      <c r="D56" t="inlineStr">
        <is>
          <t>STOCKHOLMS LÄN</t>
        </is>
      </c>
      <c r="E56" t="inlineStr">
        <is>
          <t>VALLENTUNA</t>
        </is>
      </c>
      <c r="G56" t="n">
        <v>3.7</v>
      </c>
      <c r="H56" t="n">
        <v>0</v>
      </c>
      <c r="I56" t="n">
        <v>0</v>
      </c>
      <c r="J56" t="n">
        <v>0</v>
      </c>
      <c r="K56" t="n">
        <v>0</v>
      </c>
      <c r="L56" t="n">
        <v>0</v>
      </c>
      <c r="M56" t="n">
        <v>0</v>
      </c>
      <c r="N56" t="n">
        <v>0</v>
      </c>
      <c r="O56" t="n">
        <v>0</v>
      </c>
      <c r="P56" t="n">
        <v>0</v>
      </c>
      <c r="Q56" t="n">
        <v>0</v>
      </c>
      <c r="R56" s="2" t="inlineStr"/>
    </row>
    <row r="57" ht="15" customHeight="1">
      <c r="A57" t="inlineStr">
        <is>
          <t>A 14489-2024</t>
        </is>
      </c>
      <c r="B57" s="1" t="n">
        <v>45394.58053240741</v>
      </c>
      <c r="C57" s="1" t="n">
        <v>45912</v>
      </c>
      <c r="D57" t="inlineStr">
        <is>
          <t>STOCKHOLMS LÄN</t>
        </is>
      </c>
      <c r="E57" t="inlineStr">
        <is>
          <t>VALLENTUNA</t>
        </is>
      </c>
      <c r="G57" t="n">
        <v>2.3</v>
      </c>
      <c r="H57" t="n">
        <v>0</v>
      </c>
      <c r="I57" t="n">
        <v>0</v>
      </c>
      <c r="J57" t="n">
        <v>0</v>
      </c>
      <c r="K57" t="n">
        <v>0</v>
      </c>
      <c r="L57" t="n">
        <v>0</v>
      </c>
      <c r="M57" t="n">
        <v>0</v>
      </c>
      <c r="N57" t="n">
        <v>0</v>
      </c>
      <c r="O57" t="n">
        <v>0</v>
      </c>
      <c r="P57" t="n">
        <v>0</v>
      </c>
      <c r="Q57" t="n">
        <v>0</v>
      </c>
      <c r="R57" s="2" t="inlineStr"/>
    </row>
    <row r="58" ht="15" customHeight="1">
      <c r="A58" t="inlineStr">
        <is>
          <t>A 15268-2023</t>
        </is>
      </c>
      <c r="B58" s="1" t="n">
        <v>45019.41045138889</v>
      </c>
      <c r="C58" s="1" t="n">
        <v>45912</v>
      </c>
      <c r="D58" t="inlineStr">
        <is>
          <t>STOCKHOLMS LÄN</t>
        </is>
      </c>
      <c r="E58" t="inlineStr">
        <is>
          <t>VALLENTUNA</t>
        </is>
      </c>
      <c r="G58" t="n">
        <v>2.2</v>
      </c>
      <c r="H58" t="n">
        <v>0</v>
      </c>
      <c r="I58" t="n">
        <v>0</v>
      </c>
      <c r="J58" t="n">
        <v>0</v>
      </c>
      <c r="K58" t="n">
        <v>0</v>
      </c>
      <c r="L58" t="n">
        <v>0</v>
      </c>
      <c r="M58" t="n">
        <v>0</v>
      </c>
      <c r="N58" t="n">
        <v>0</v>
      </c>
      <c r="O58" t="n">
        <v>0</v>
      </c>
      <c r="P58" t="n">
        <v>0</v>
      </c>
      <c r="Q58" t="n">
        <v>0</v>
      </c>
      <c r="R58" s="2" t="inlineStr"/>
    </row>
    <row r="59" ht="15" customHeight="1">
      <c r="A59" t="inlineStr">
        <is>
          <t>A 61442-2024</t>
        </is>
      </c>
      <c r="B59" s="1" t="n">
        <v>45646.47003472222</v>
      </c>
      <c r="C59" s="1" t="n">
        <v>45912</v>
      </c>
      <c r="D59" t="inlineStr">
        <is>
          <t>STOCKHOLMS LÄN</t>
        </is>
      </c>
      <c r="E59" t="inlineStr">
        <is>
          <t>VALLENTUNA</t>
        </is>
      </c>
      <c r="G59" t="n">
        <v>4.6</v>
      </c>
      <c r="H59" t="n">
        <v>0</v>
      </c>
      <c r="I59" t="n">
        <v>0</v>
      </c>
      <c r="J59" t="n">
        <v>0</v>
      </c>
      <c r="K59" t="n">
        <v>0</v>
      </c>
      <c r="L59" t="n">
        <v>0</v>
      </c>
      <c r="M59" t="n">
        <v>0</v>
      </c>
      <c r="N59" t="n">
        <v>0</v>
      </c>
      <c r="O59" t="n">
        <v>0</v>
      </c>
      <c r="P59" t="n">
        <v>0</v>
      </c>
      <c r="Q59" t="n">
        <v>0</v>
      </c>
      <c r="R59" s="2" t="inlineStr"/>
    </row>
    <row r="60" ht="15" customHeight="1">
      <c r="A60" t="inlineStr">
        <is>
          <t>A 48068-2021</t>
        </is>
      </c>
      <c r="B60" s="1" t="n">
        <v>44449.42270833333</v>
      </c>
      <c r="C60" s="1" t="n">
        <v>45912</v>
      </c>
      <c r="D60" t="inlineStr">
        <is>
          <t>STOCKHOLMS LÄN</t>
        </is>
      </c>
      <c r="E60" t="inlineStr">
        <is>
          <t>VALLENTUNA</t>
        </is>
      </c>
      <c r="G60" t="n">
        <v>1.3</v>
      </c>
      <c r="H60" t="n">
        <v>0</v>
      </c>
      <c r="I60" t="n">
        <v>0</v>
      </c>
      <c r="J60" t="n">
        <v>0</v>
      </c>
      <c r="K60" t="n">
        <v>0</v>
      </c>
      <c r="L60" t="n">
        <v>0</v>
      </c>
      <c r="M60" t="n">
        <v>0</v>
      </c>
      <c r="N60" t="n">
        <v>0</v>
      </c>
      <c r="O60" t="n">
        <v>0</v>
      </c>
      <c r="P60" t="n">
        <v>0</v>
      </c>
      <c r="Q60" t="n">
        <v>0</v>
      </c>
      <c r="R60" s="2" t="inlineStr"/>
    </row>
    <row r="61" ht="15" customHeight="1">
      <c r="A61" t="inlineStr">
        <is>
          <t>A 45499-2023</t>
        </is>
      </c>
      <c r="B61" s="1" t="n">
        <v>45194</v>
      </c>
      <c r="C61" s="1" t="n">
        <v>45912</v>
      </c>
      <c r="D61" t="inlineStr">
        <is>
          <t>STOCKHOLMS LÄN</t>
        </is>
      </c>
      <c r="E61" t="inlineStr">
        <is>
          <t>VALLENTUNA</t>
        </is>
      </c>
      <c r="G61" t="n">
        <v>2.5</v>
      </c>
      <c r="H61" t="n">
        <v>0</v>
      </c>
      <c r="I61" t="n">
        <v>0</v>
      </c>
      <c r="J61" t="n">
        <v>0</v>
      </c>
      <c r="K61" t="n">
        <v>0</v>
      </c>
      <c r="L61" t="n">
        <v>0</v>
      </c>
      <c r="M61" t="n">
        <v>0</v>
      </c>
      <c r="N61" t="n">
        <v>0</v>
      </c>
      <c r="O61" t="n">
        <v>0</v>
      </c>
      <c r="P61" t="n">
        <v>0</v>
      </c>
      <c r="Q61" t="n">
        <v>0</v>
      </c>
      <c r="R61" s="2" t="inlineStr"/>
    </row>
    <row r="62" ht="15" customHeight="1">
      <c r="A62" t="inlineStr">
        <is>
          <t>A 47204-2024</t>
        </is>
      </c>
      <c r="B62" s="1" t="n">
        <v>45586.63575231482</v>
      </c>
      <c r="C62" s="1" t="n">
        <v>45912</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34452-2021</t>
        </is>
      </c>
      <c r="B63" s="1" t="n">
        <v>44381</v>
      </c>
      <c r="C63" s="1" t="n">
        <v>45912</v>
      </c>
      <c r="D63" t="inlineStr">
        <is>
          <t>STOCKHOLMS LÄN</t>
        </is>
      </c>
      <c r="E63" t="inlineStr">
        <is>
          <t>VALLENTUNA</t>
        </is>
      </c>
      <c r="G63" t="n">
        <v>14.7</v>
      </c>
      <c r="H63" t="n">
        <v>0</v>
      </c>
      <c r="I63" t="n">
        <v>0</v>
      </c>
      <c r="J63" t="n">
        <v>0</v>
      </c>
      <c r="K63" t="n">
        <v>0</v>
      </c>
      <c r="L63" t="n">
        <v>0</v>
      </c>
      <c r="M63" t="n">
        <v>0</v>
      </c>
      <c r="N63" t="n">
        <v>0</v>
      </c>
      <c r="O63" t="n">
        <v>0</v>
      </c>
      <c r="P63" t="n">
        <v>0</v>
      </c>
      <c r="Q63" t="n">
        <v>0</v>
      </c>
      <c r="R63" s="2" t="inlineStr"/>
    </row>
    <row r="64" ht="15" customHeight="1">
      <c r="A64" t="inlineStr">
        <is>
          <t>A 20791-2025</t>
        </is>
      </c>
      <c r="B64" s="1" t="n">
        <v>45776.62738425926</v>
      </c>
      <c r="C64" s="1" t="n">
        <v>45912</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10073-2024</t>
        </is>
      </c>
      <c r="B65" s="1" t="n">
        <v>45364.40821759259</v>
      </c>
      <c r="C65" s="1" t="n">
        <v>45912</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12621-2024</t>
        </is>
      </c>
      <c r="B66" s="1" t="n">
        <v>45383.6325</v>
      </c>
      <c r="C66" s="1" t="n">
        <v>45912</v>
      </c>
      <c r="D66" t="inlineStr">
        <is>
          <t>STOCKHOLMS LÄN</t>
        </is>
      </c>
      <c r="E66" t="inlineStr">
        <is>
          <t>VALLENTUNA</t>
        </is>
      </c>
      <c r="G66" t="n">
        <v>4.4</v>
      </c>
      <c r="H66" t="n">
        <v>0</v>
      </c>
      <c r="I66" t="n">
        <v>0</v>
      </c>
      <c r="J66" t="n">
        <v>0</v>
      </c>
      <c r="K66" t="n">
        <v>0</v>
      </c>
      <c r="L66" t="n">
        <v>0</v>
      </c>
      <c r="M66" t="n">
        <v>0</v>
      </c>
      <c r="N66" t="n">
        <v>0</v>
      </c>
      <c r="O66" t="n">
        <v>0</v>
      </c>
      <c r="P66" t="n">
        <v>0</v>
      </c>
      <c r="Q66" t="n">
        <v>0</v>
      </c>
      <c r="R66" s="2" t="inlineStr"/>
    </row>
    <row r="67" ht="15" customHeight="1">
      <c r="A67" t="inlineStr">
        <is>
          <t>A 20789-2025</t>
        </is>
      </c>
      <c r="B67" s="1" t="n">
        <v>45776.62518518518</v>
      </c>
      <c r="C67" s="1" t="n">
        <v>45912</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52989-2023</t>
        </is>
      </c>
      <c r="B68" s="1" t="n">
        <v>45226</v>
      </c>
      <c r="C68" s="1" t="n">
        <v>45912</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68938-2020</t>
        </is>
      </c>
      <c r="B69" s="1" t="n">
        <v>44187</v>
      </c>
      <c r="C69" s="1" t="n">
        <v>45912</v>
      </c>
      <c r="D69" t="inlineStr">
        <is>
          <t>STOCKHOLMS LÄN</t>
        </is>
      </c>
      <c r="E69" t="inlineStr">
        <is>
          <t>VALLENTUNA</t>
        </is>
      </c>
      <c r="G69" t="n">
        <v>3</v>
      </c>
      <c r="H69" t="n">
        <v>0</v>
      </c>
      <c r="I69" t="n">
        <v>0</v>
      </c>
      <c r="J69" t="n">
        <v>0</v>
      </c>
      <c r="K69" t="n">
        <v>0</v>
      </c>
      <c r="L69" t="n">
        <v>0</v>
      </c>
      <c r="M69" t="n">
        <v>0</v>
      </c>
      <c r="N69" t="n">
        <v>0</v>
      </c>
      <c r="O69" t="n">
        <v>0</v>
      </c>
      <c r="P69" t="n">
        <v>0</v>
      </c>
      <c r="Q69" t="n">
        <v>0</v>
      </c>
      <c r="R69" s="2" t="inlineStr"/>
    </row>
    <row r="70" ht="15" customHeight="1">
      <c r="A70" t="inlineStr">
        <is>
          <t>A 8077-2022</t>
        </is>
      </c>
      <c r="B70" s="1" t="n">
        <v>44609</v>
      </c>
      <c r="C70" s="1" t="n">
        <v>45912</v>
      </c>
      <c r="D70" t="inlineStr">
        <is>
          <t>STOCKHOLMS LÄN</t>
        </is>
      </c>
      <c r="E70" t="inlineStr">
        <is>
          <t>VALLENTUNA</t>
        </is>
      </c>
      <c r="G70" t="n">
        <v>1.3</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45912</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47140-2024</t>
        </is>
      </c>
      <c r="B72" s="1" t="n">
        <v>45586.58753472222</v>
      </c>
      <c r="C72" s="1" t="n">
        <v>45912</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46381-2023</t>
        </is>
      </c>
      <c r="B73" s="1" t="n">
        <v>45193</v>
      </c>
      <c r="C73" s="1" t="n">
        <v>45912</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45912</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45912</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23923-2025</t>
        </is>
      </c>
      <c r="B76" s="1" t="n">
        <v>45795.39648148148</v>
      </c>
      <c r="C76" s="1" t="n">
        <v>45912</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15300-2023</t>
        </is>
      </c>
      <c r="B77" s="1" t="n">
        <v>45019</v>
      </c>
      <c r="C77" s="1" t="n">
        <v>45912</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21765-2023</t>
        </is>
      </c>
      <c r="B78" s="1" t="n">
        <v>45064</v>
      </c>
      <c r="C78" s="1" t="n">
        <v>45912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21614-2022</t>
        </is>
      </c>
      <c r="B79" s="1" t="n">
        <v>44706</v>
      </c>
      <c r="C79" s="1" t="n">
        <v>45912</v>
      </c>
      <c r="D79" t="inlineStr">
        <is>
          <t>STOCKHOLMS LÄN</t>
        </is>
      </c>
      <c r="E79" t="inlineStr">
        <is>
          <t>VALLENTUNA</t>
        </is>
      </c>
      <c r="G79" t="n">
        <v>4</v>
      </c>
      <c r="H79" t="n">
        <v>0</v>
      </c>
      <c r="I79" t="n">
        <v>0</v>
      </c>
      <c r="J79" t="n">
        <v>0</v>
      </c>
      <c r="K79" t="n">
        <v>0</v>
      </c>
      <c r="L79" t="n">
        <v>0</v>
      </c>
      <c r="M79" t="n">
        <v>0</v>
      </c>
      <c r="N79" t="n">
        <v>0</v>
      </c>
      <c r="O79" t="n">
        <v>0</v>
      </c>
      <c r="P79" t="n">
        <v>0</v>
      </c>
      <c r="Q79" t="n">
        <v>0</v>
      </c>
      <c r="R79" s="2" t="inlineStr"/>
    </row>
    <row r="80" ht="15" customHeight="1">
      <c r="A80" t="inlineStr">
        <is>
          <t>A 23986-2023</t>
        </is>
      </c>
      <c r="B80" s="1" t="n">
        <v>45078</v>
      </c>
      <c r="C80" s="1" t="n">
        <v>45912</v>
      </c>
      <c r="D80" t="inlineStr">
        <is>
          <t>STOCKHOLMS LÄN</t>
        </is>
      </c>
      <c r="E80" t="inlineStr">
        <is>
          <t>VALLENTUNA</t>
        </is>
      </c>
      <c r="F80" t="inlineStr">
        <is>
          <t>Kyrkan</t>
        </is>
      </c>
      <c r="G80" t="n">
        <v>5.7</v>
      </c>
      <c r="H80" t="n">
        <v>0</v>
      </c>
      <c r="I80" t="n">
        <v>0</v>
      </c>
      <c r="J80" t="n">
        <v>0</v>
      </c>
      <c r="K80" t="n">
        <v>0</v>
      </c>
      <c r="L80" t="n">
        <v>0</v>
      </c>
      <c r="M80" t="n">
        <v>0</v>
      </c>
      <c r="N80" t="n">
        <v>0</v>
      </c>
      <c r="O80" t="n">
        <v>0</v>
      </c>
      <c r="P80" t="n">
        <v>0</v>
      </c>
      <c r="Q80" t="n">
        <v>0</v>
      </c>
      <c r="R80" s="2" t="inlineStr"/>
    </row>
    <row r="81" ht="15" customHeight="1">
      <c r="A81" t="inlineStr">
        <is>
          <t>A 61742-2022</t>
        </is>
      </c>
      <c r="B81" s="1" t="n">
        <v>44917</v>
      </c>
      <c r="C81" s="1" t="n">
        <v>45912</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25984-2025</t>
        </is>
      </c>
      <c r="B82" s="1" t="n">
        <v>45804.64016203704</v>
      </c>
      <c r="C82" s="1" t="n">
        <v>45912</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56152-2024</t>
        </is>
      </c>
      <c r="B83" s="1" t="n">
        <v>45624.52403935185</v>
      </c>
      <c r="C83" s="1" t="n">
        <v>45912</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34458-2023</t>
        </is>
      </c>
      <c r="B84" s="1" t="n">
        <v>45139</v>
      </c>
      <c r="C84" s="1" t="n">
        <v>45912</v>
      </c>
      <c r="D84" t="inlineStr">
        <is>
          <t>STOCKHOLMS LÄN</t>
        </is>
      </c>
      <c r="E84" t="inlineStr">
        <is>
          <t>VALLENTUNA</t>
        </is>
      </c>
      <c r="G84" t="n">
        <v>2.5</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45912</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45912</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61655-2020</t>
        </is>
      </c>
      <c r="B87" s="1" t="n">
        <v>44158</v>
      </c>
      <c r="C87" s="1" t="n">
        <v>45912</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17342-2025</t>
        </is>
      </c>
      <c r="B88" s="1" t="n">
        <v>45756</v>
      </c>
      <c r="C88" s="1" t="n">
        <v>45912</v>
      </c>
      <c r="D88" t="inlineStr">
        <is>
          <t>STOCKHOLMS LÄN</t>
        </is>
      </c>
      <c r="E88" t="inlineStr">
        <is>
          <t>VALLENTUNA</t>
        </is>
      </c>
      <c r="F88" t="inlineStr">
        <is>
          <t>Övriga Aktiebolag</t>
        </is>
      </c>
      <c r="G88" t="n">
        <v>3.9</v>
      </c>
      <c r="H88" t="n">
        <v>0</v>
      </c>
      <c r="I88" t="n">
        <v>0</v>
      </c>
      <c r="J88" t="n">
        <v>0</v>
      </c>
      <c r="K88" t="n">
        <v>0</v>
      </c>
      <c r="L88" t="n">
        <v>0</v>
      </c>
      <c r="M88" t="n">
        <v>0</v>
      </c>
      <c r="N88" t="n">
        <v>0</v>
      </c>
      <c r="O88" t="n">
        <v>0</v>
      </c>
      <c r="P88" t="n">
        <v>0</v>
      </c>
      <c r="Q88" t="n">
        <v>0</v>
      </c>
      <c r="R88" s="2" t="inlineStr"/>
    </row>
    <row r="89" ht="15" customHeight="1">
      <c r="A89" t="inlineStr">
        <is>
          <t>A 3937-2022</t>
        </is>
      </c>
      <c r="B89" s="1" t="n">
        <v>44587</v>
      </c>
      <c r="C89" s="1" t="n">
        <v>45912</v>
      </c>
      <c r="D89" t="inlineStr">
        <is>
          <t>STOCKHOLMS LÄN</t>
        </is>
      </c>
      <c r="E89" t="inlineStr">
        <is>
          <t>VALLENTUNA</t>
        </is>
      </c>
      <c r="G89" t="n">
        <v>6.6</v>
      </c>
      <c r="H89" t="n">
        <v>0</v>
      </c>
      <c r="I89" t="n">
        <v>0</v>
      </c>
      <c r="J89" t="n">
        <v>0</v>
      </c>
      <c r="K89" t="n">
        <v>0</v>
      </c>
      <c r="L89" t="n">
        <v>0</v>
      </c>
      <c r="M89" t="n">
        <v>0</v>
      </c>
      <c r="N89" t="n">
        <v>0</v>
      </c>
      <c r="O89" t="n">
        <v>0</v>
      </c>
      <c r="P89" t="n">
        <v>0</v>
      </c>
      <c r="Q89" t="n">
        <v>0</v>
      </c>
      <c r="R89" s="2" t="inlineStr"/>
    </row>
    <row r="90" ht="15" customHeight="1">
      <c r="A90" t="inlineStr">
        <is>
          <t>A 23013-2024</t>
        </is>
      </c>
      <c r="B90" s="1" t="n">
        <v>45450.35116898148</v>
      </c>
      <c r="C90" s="1" t="n">
        <v>45912</v>
      </c>
      <c r="D90" t="inlineStr">
        <is>
          <t>STOCKHOLMS LÄN</t>
        </is>
      </c>
      <c r="E90" t="inlineStr">
        <is>
          <t>VALLENTUNA</t>
        </is>
      </c>
      <c r="G90" t="n">
        <v>0.4</v>
      </c>
      <c r="H90" t="n">
        <v>0</v>
      </c>
      <c r="I90" t="n">
        <v>0</v>
      </c>
      <c r="J90" t="n">
        <v>0</v>
      </c>
      <c r="K90" t="n">
        <v>0</v>
      </c>
      <c r="L90" t="n">
        <v>0</v>
      </c>
      <c r="M90" t="n">
        <v>0</v>
      </c>
      <c r="N90" t="n">
        <v>0</v>
      </c>
      <c r="O90" t="n">
        <v>0</v>
      </c>
      <c r="P90" t="n">
        <v>0</v>
      </c>
      <c r="Q90" t="n">
        <v>0</v>
      </c>
      <c r="R90" s="2" t="inlineStr"/>
    </row>
    <row r="91" ht="15" customHeight="1">
      <c r="A91" t="inlineStr">
        <is>
          <t>A 3078-2023</t>
        </is>
      </c>
      <c r="B91" s="1" t="n">
        <v>44946.41527777778</v>
      </c>
      <c r="C91" s="1" t="n">
        <v>45912</v>
      </c>
      <c r="D91" t="inlineStr">
        <is>
          <t>STOCKHOLMS LÄN</t>
        </is>
      </c>
      <c r="E91" t="inlineStr">
        <is>
          <t>VALLENTUNA</t>
        </is>
      </c>
      <c r="G91" t="n">
        <v>3.9</v>
      </c>
      <c r="H91" t="n">
        <v>0</v>
      </c>
      <c r="I91" t="n">
        <v>0</v>
      </c>
      <c r="J91" t="n">
        <v>0</v>
      </c>
      <c r="K91" t="n">
        <v>0</v>
      </c>
      <c r="L91" t="n">
        <v>0</v>
      </c>
      <c r="M91" t="n">
        <v>0</v>
      </c>
      <c r="N91" t="n">
        <v>0</v>
      </c>
      <c r="O91" t="n">
        <v>0</v>
      </c>
      <c r="P91" t="n">
        <v>0</v>
      </c>
      <c r="Q91" t="n">
        <v>0</v>
      </c>
      <c r="R91" s="2" t="inlineStr"/>
    </row>
    <row r="92" ht="15" customHeight="1">
      <c r="A92" t="inlineStr">
        <is>
          <t>A 12562-2023</t>
        </is>
      </c>
      <c r="B92" s="1" t="n">
        <v>45000</v>
      </c>
      <c r="C92" s="1" t="n">
        <v>45912</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14480-2024</t>
        </is>
      </c>
      <c r="B93" s="1" t="n">
        <v>45394.56777777777</v>
      </c>
      <c r="C93" s="1" t="n">
        <v>45912</v>
      </c>
      <c r="D93" t="inlineStr">
        <is>
          <t>STOCKHOLMS LÄN</t>
        </is>
      </c>
      <c r="E93" t="inlineStr">
        <is>
          <t>VALLENTUNA</t>
        </is>
      </c>
      <c r="G93" t="n">
        <v>1.8</v>
      </c>
      <c r="H93" t="n">
        <v>0</v>
      </c>
      <c r="I93" t="n">
        <v>0</v>
      </c>
      <c r="J93" t="n">
        <v>0</v>
      </c>
      <c r="K93" t="n">
        <v>0</v>
      </c>
      <c r="L93" t="n">
        <v>0</v>
      </c>
      <c r="M93" t="n">
        <v>0</v>
      </c>
      <c r="N93" t="n">
        <v>0</v>
      </c>
      <c r="O93" t="n">
        <v>0</v>
      </c>
      <c r="P93" t="n">
        <v>0</v>
      </c>
      <c r="Q93" t="n">
        <v>0</v>
      </c>
      <c r="R93" s="2" t="inlineStr"/>
    </row>
    <row r="94" ht="15" customHeight="1">
      <c r="A94" t="inlineStr">
        <is>
          <t>A 6593-2021</t>
        </is>
      </c>
      <c r="B94" s="1" t="n">
        <v>44236</v>
      </c>
      <c r="C94" s="1" t="n">
        <v>45912</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17340-2025</t>
        </is>
      </c>
      <c r="B95" s="1" t="n">
        <v>45756</v>
      </c>
      <c r="C95" s="1" t="n">
        <v>45912</v>
      </c>
      <c r="D95" t="inlineStr">
        <is>
          <t>STOCKHOLMS LÄN</t>
        </is>
      </c>
      <c r="E95" t="inlineStr">
        <is>
          <t>VALLENTUNA</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45912</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45496-2023</t>
        </is>
      </c>
      <c r="B97" s="1" t="n">
        <v>45194</v>
      </c>
      <c r="C97" s="1" t="n">
        <v>45912</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29704-2023</t>
        </is>
      </c>
      <c r="B98" s="1" t="n">
        <v>45107</v>
      </c>
      <c r="C98" s="1" t="n">
        <v>45912</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19503-2023</t>
        </is>
      </c>
      <c r="B99" s="1" t="n">
        <v>45050.47333333334</v>
      </c>
      <c r="C99" s="1" t="n">
        <v>45912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30902-2025</t>
        </is>
      </c>
      <c r="B100" s="1" t="n">
        <v>45832.36104166666</v>
      </c>
      <c r="C100" s="1" t="n">
        <v>45912</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21612-2021</t>
        </is>
      </c>
      <c r="B101" s="1" t="n">
        <v>44321</v>
      </c>
      <c r="C101" s="1" t="n">
        <v>45912</v>
      </c>
      <c r="D101" t="inlineStr">
        <is>
          <t>STOCKHOLMS LÄN</t>
        </is>
      </c>
      <c r="E101" t="inlineStr">
        <is>
          <t>VALLENTUNA</t>
        </is>
      </c>
      <c r="G101" t="n">
        <v>1.4</v>
      </c>
      <c r="H101" t="n">
        <v>0</v>
      </c>
      <c r="I101" t="n">
        <v>0</v>
      </c>
      <c r="J101" t="n">
        <v>0</v>
      </c>
      <c r="K101" t="n">
        <v>0</v>
      </c>
      <c r="L101" t="n">
        <v>0</v>
      </c>
      <c r="M101" t="n">
        <v>0</v>
      </c>
      <c r="N101" t="n">
        <v>0</v>
      </c>
      <c r="O101" t="n">
        <v>0</v>
      </c>
      <c r="P101" t="n">
        <v>0</v>
      </c>
      <c r="Q101" t="n">
        <v>0</v>
      </c>
      <c r="R101" s="2" t="inlineStr"/>
    </row>
    <row r="102" ht="15" customHeight="1">
      <c r="A102" t="inlineStr">
        <is>
          <t>A 4803-2024</t>
        </is>
      </c>
      <c r="B102" s="1" t="n">
        <v>45328</v>
      </c>
      <c r="C102" s="1" t="n">
        <v>45912</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45912</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3698-2022</t>
        </is>
      </c>
      <c r="B104" s="1" t="n">
        <v>44586</v>
      </c>
      <c r="C104" s="1" t="n">
        <v>45912</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38102-2024</t>
        </is>
      </c>
      <c r="B105" s="1" t="n">
        <v>45545.36349537037</v>
      </c>
      <c r="C105" s="1" t="n">
        <v>45912</v>
      </c>
      <c r="D105" t="inlineStr">
        <is>
          <t>STOCKHOLMS LÄN</t>
        </is>
      </c>
      <c r="E105" t="inlineStr">
        <is>
          <t>VALLENTUNA</t>
        </is>
      </c>
      <c r="G105" t="n">
        <v>3.2</v>
      </c>
      <c r="H105" t="n">
        <v>0</v>
      </c>
      <c r="I105" t="n">
        <v>0</v>
      </c>
      <c r="J105" t="n">
        <v>0</v>
      </c>
      <c r="K105" t="n">
        <v>0</v>
      </c>
      <c r="L105" t="n">
        <v>0</v>
      </c>
      <c r="M105" t="n">
        <v>0</v>
      </c>
      <c r="N105" t="n">
        <v>0</v>
      </c>
      <c r="O105" t="n">
        <v>0</v>
      </c>
      <c r="P105" t="n">
        <v>0</v>
      </c>
      <c r="Q105" t="n">
        <v>0</v>
      </c>
      <c r="R105" s="2" t="inlineStr"/>
    </row>
    <row r="106" ht="15" customHeight="1">
      <c r="A106" t="inlineStr">
        <is>
          <t>A 13836-2022</t>
        </is>
      </c>
      <c r="B106" s="1" t="n">
        <v>44649</v>
      </c>
      <c r="C106" s="1" t="n">
        <v>45912</v>
      </c>
      <c r="D106" t="inlineStr">
        <is>
          <t>STOCKHOLMS LÄN</t>
        </is>
      </c>
      <c r="E106" t="inlineStr">
        <is>
          <t>VALLENTUNA</t>
        </is>
      </c>
      <c r="G106" t="n">
        <v>3.5</v>
      </c>
      <c r="H106" t="n">
        <v>0</v>
      </c>
      <c r="I106" t="n">
        <v>0</v>
      </c>
      <c r="J106" t="n">
        <v>0</v>
      </c>
      <c r="K106" t="n">
        <v>0</v>
      </c>
      <c r="L106" t="n">
        <v>0</v>
      </c>
      <c r="M106" t="n">
        <v>0</v>
      </c>
      <c r="N106" t="n">
        <v>0</v>
      </c>
      <c r="O106" t="n">
        <v>0</v>
      </c>
      <c r="P106" t="n">
        <v>0</v>
      </c>
      <c r="Q106" t="n">
        <v>0</v>
      </c>
      <c r="R106" s="2" t="inlineStr"/>
    </row>
    <row r="107" ht="15" customHeight="1">
      <c r="A107" t="inlineStr">
        <is>
          <t>A 12234-2022</t>
        </is>
      </c>
      <c r="B107" s="1" t="n">
        <v>44637</v>
      </c>
      <c r="C107" s="1" t="n">
        <v>45912</v>
      </c>
      <c r="D107" t="inlineStr">
        <is>
          <t>STOCKHOLMS LÄN</t>
        </is>
      </c>
      <c r="E107" t="inlineStr">
        <is>
          <t>VALLENTUNA</t>
        </is>
      </c>
      <c r="G107" t="n">
        <v>2.4</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45912</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24943-2024</t>
        </is>
      </c>
      <c r="B109" s="1" t="n">
        <v>45461.62585648148</v>
      </c>
      <c r="C109" s="1" t="n">
        <v>45912</v>
      </c>
      <c r="D109" t="inlineStr">
        <is>
          <t>STOCKHOLMS LÄN</t>
        </is>
      </c>
      <c r="E109" t="inlineStr">
        <is>
          <t>VALLENTUNA</t>
        </is>
      </c>
      <c r="G109" t="n">
        <v>2</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45912</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24707-2023</t>
        </is>
      </c>
      <c r="B111" s="1" t="n">
        <v>45084</v>
      </c>
      <c r="C111" s="1" t="n">
        <v>45912</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62402-2022</t>
        </is>
      </c>
      <c r="B112" s="1" t="n">
        <v>44923</v>
      </c>
      <c r="C112" s="1" t="n">
        <v>45912</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45912</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41206-2025</t>
        </is>
      </c>
      <c r="B114" s="1" t="n">
        <v>45898</v>
      </c>
      <c r="C114" s="1" t="n">
        <v>45912</v>
      </c>
      <c r="D114" t="inlineStr">
        <is>
          <t>STOCKHOLMS LÄN</t>
        </is>
      </c>
      <c r="E114" t="inlineStr">
        <is>
          <t>VALLENTUNA</t>
        </is>
      </c>
      <c r="G114" t="n">
        <v>10</v>
      </c>
      <c r="H114" t="n">
        <v>0</v>
      </c>
      <c r="I114" t="n">
        <v>0</v>
      </c>
      <c r="J114" t="n">
        <v>0</v>
      </c>
      <c r="K114" t="n">
        <v>0</v>
      </c>
      <c r="L114" t="n">
        <v>0</v>
      </c>
      <c r="M114" t="n">
        <v>0</v>
      </c>
      <c r="N114" t="n">
        <v>0</v>
      </c>
      <c r="O114" t="n">
        <v>0</v>
      </c>
      <c r="P114" t="n">
        <v>0</v>
      </c>
      <c r="Q114" t="n">
        <v>0</v>
      </c>
      <c r="R114" s="2" t="inlineStr"/>
    </row>
    <row r="115" ht="15" customHeight="1">
      <c r="A115" t="inlineStr">
        <is>
          <t>A 22683-2023</t>
        </is>
      </c>
      <c r="B115" s="1" t="n">
        <v>45071</v>
      </c>
      <c r="C115" s="1" t="n">
        <v>45912</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24994-2021</t>
        </is>
      </c>
      <c r="B116" s="1" t="n">
        <v>44341</v>
      </c>
      <c r="C116" s="1" t="n">
        <v>45912</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42613-2025</t>
        </is>
      </c>
      <c r="B117" s="1" t="n">
        <v>45905.70616898148</v>
      </c>
      <c r="C117" s="1" t="n">
        <v>45912</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27868-2025</t>
        </is>
      </c>
      <c r="B118" s="1" t="n">
        <v>45817</v>
      </c>
      <c r="C118" s="1" t="n">
        <v>45912</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17411-2023</t>
        </is>
      </c>
      <c r="B119" s="1" t="n">
        <v>45035.82512731481</v>
      </c>
      <c r="C119" s="1" t="n">
        <v>45912</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60795-2023</t>
        </is>
      </c>
      <c r="B120" s="1" t="n">
        <v>45260</v>
      </c>
      <c r="C120" s="1" t="n">
        <v>45912</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45912</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1385-2024</t>
        </is>
      </c>
      <c r="B122" s="1" t="n">
        <v>45303</v>
      </c>
      <c r="C122" s="1" t="n">
        <v>45912</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48717-2024</t>
        </is>
      </c>
      <c r="B123" s="1" t="n">
        <v>45593</v>
      </c>
      <c r="C123" s="1" t="n">
        <v>45912</v>
      </c>
      <c r="D123" t="inlineStr">
        <is>
          <t>STOCKHOLMS LÄN</t>
        </is>
      </c>
      <c r="E123" t="inlineStr">
        <is>
          <t>VALLENTUNA</t>
        </is>
      </c>
      <c r="G123" t="n">
        <v>6.2</v>
      </c>
      <c r="H123" t="n">
        <v>0</v>
      </c>
      <c r="I123" t="n">
        <v>0</v>
      </c>
      <c r="J123" t="n">
        <v>0</v>
      </c>
      <c r="K123" t="n">
        <v>0</v>
      </c>
      <c r="L123" t="n">
        <v>0</v>
      </c>
      <c r="M123" t="n">
        <v>0</v>
      </c>
      <c r="N123" t="n">
        <v>0</v>
      </c>
      <c r="O123" t="n">
        <v>0</v>
      </c>
      <c r="P123" t="n">
        <v>0</v>
      </c>
      <c r="Q123" t="n">
        <v>0</v>
      </c>
      <c r="R123" s="2" t="inlineStr"/>
    </row>
    <row r="124" ht="15" customHeight="1">
      <c r="A124" t="inlineStr">
        <is>
          <t>A 60818-2023</t>
        </is>
      </c>
      <c r="B124" s="1" t="n">
        <v>45259</v>
      </c>
      <c r="C124" s="1" t="n">
        <v>45912</v>
      </c>
      <c r="D124" t="inlineStr">
        <is>
          <t>STOCKHOLMS LÄN</t>
        </is>
      </c>
      <c r="E124" t="inlineStr">
        <is>
          <t>VALLENTUNA</t>
        </is>
      </c>
      <c r="G124" t="n">
        <v>9.4</v>
      </c>
      <c r="H124" t="n">
        <v>0</v>
      </c>
      <c r="I124" t="n">
        <v>0</v>
      </c>
      <c r="J124" t="n">
        <v>0</v>
      </c>
      <c r="K124" t="n">
        <v>0</v>
      </c>
      <c r="L124" t="n">
        <v>0</v>
      </c>
      <c r="M124" t="n">
        <v>0</v>
      </c>
      <c r="N124" t="n">
        <v>0</v>
      </c>
      <c r="O124" t="n">
        <v>0</v>
      </c>
      <c r="P124" t="n">
        <v>0</v>
      </c>
      <c r="Q124" t="n">
        <v>0</v>
      </c>
      <c r="R124" s="2" t="inlineStr"/>
    </row>
    <row r="125" ht="15" customHeight="1">
      <c r="A125" t="inlineStr">
        <is>
          <t>A 14775-2024</t>
        </is>
      </c>
      <c r="B125" s="1" t="n">
        <v>45397.73675925926</v>
      </c>
      <c r="C125" s="1" t="n">
        <v>45912</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8565-2025</t>
        </is>
      </c>
      <c r="B126" s="1" t="n">
        <v>45709</v>
      </c>
      <c r="C126" s="1" t="n">
        <v>45912</v>
      </c>
      <c r="D126" t="inlineStr">
        <is>
          <t>STOCKHOLMS LÄN</t>
        </is>
      </c>
      <c r="E126" t="inlineStr">
        <is>
          <t>VALLENTUNA</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8787-2024</t>
        </is>
      </c>
      <c r="B127" s="1" t="n">
        <v>45356</v>
      </c>
      <c r="C127" s="1" t="n">
        <v>45912</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45912</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45912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52562-2023</t>
        </is>
      </c>
      <c r="B130" s="1" t="n">
        <v>45225</v>
      </c>
      <c r="C130" s="1" t="n">
        <v>45912</v>
      </c>
      <c r="D130" t="inlineStr">
        <is>
          <t>STOCKHOLMS LÄN</t>
        </is>
      </c>
      <c r="E130" t="inlineStr">
        <is>
          <t>VALLENTUNA</t>
        </is>
      </c>
      <c r="G130" t="n">
        <v>3.4</v>
      </c>
      <c r="H130" t="n">
        <v>0</v>
      </c>
      <c r="I130" t="n">
        <v>0</v>
      </c>
      <c r="J130" t="n">
        <v>0</v>
      </c>
      <c r="K130" t="n">
        <v>0</v>
      </c>
      <c r="L130" t="n">
        <v>0</v>
      </c>
      <c r="M130" t="n">
        <v>0</v>
      </c>
      <c r="N130" t="n">
        <v>0</v>
      </c>
      <c r="O130" t="n">
        <v>0</v>
      </c>
      <c r="P130" t="n">
        <v>0</v>
      </c>
      <c r="Q130" t="n">
        <v>0</v>
      </c>
      <c r="R130" s="2" t="inlineStr"/>
    </row>
    <row r="131" ht="15" customHeight="1">
      <c r="A131" t="inlineStr">
        <is>
          <t>A 49530-2023</t>
        </is>
      </c>
      <c r="B131" s="1" t="n">
        <v>45205</v>
      </c>
      <c r="C131" s="1" t="n">
        <v>45912</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52542-2023</t>
        </is>
      </c>
      <c r="B132" s="1" t="n">
        <v>45225</v>
      </c>
      <c r="C132" s="1" t="n">
        <v>45912</v>
      </c>
      <c r="D132" t="inlineStr">
        <is>
          <t>STOCKHOLMS LÄN</t>
        </is>
      </c>
      <c r="E132" t="inlineStr">
        <is>
          <t>VALLENTUNA</t>
        </is>
      </c>
      <c r="G132" t="n">
        <v>3.8</v>
      </c>
      <c r="H132" t="n">
        <v>0</v>
      </c>
      <c r="I132" t="n">
        <v>0</v>
      </c>
      <c r="J132" t="n">
        <v>0</v>
      </c>
      <c r="K132" t="n">
        <v>0</v>
      </c>
      <c r="L132" t="n">
        <v>0</v>
      </c>
      <c r="M132" t="n">
        <v>0</v>
      </c>
      <c r="N132" t="n">
        <v>0</v>
      </c>
      <c r="O132" t="n">
        <v>0</v>
      </c>
      <c r="P132" t="n">
        <v>0</v>
      </c>
      <c r="Q132" t="n">
        <v>0</v>
      </c>
      <c r="R132" s="2" t="inlineStr"/>
    </row>
    <row r="133" ht="15" customHeight="1">
      <c r="A133" t="inlineStr">
        <is>
          <t>A 2318-2024</t>
        </is>
      </c>
      <c r="B133" s="1" t="n">
        <v>45310</v>
      </c>
      <c r="C133" s="1" t="n">
        <v>45912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9063-2024</t>
        </is>
      </c>
      <c r="B134" s="1" t="n">
        <v>45357.72652777778</v>
      </c>
      <c r="C134" s="1" t="n">
        <v>45912</v>
      </c>
      <c r="D134" t="inlineStr">
        <is>
          <t>STOCKHOLMS LÄN</t>
        </is>
      </c>
      <c r="E134" t="inlineStr">
        <is>
          <t>VALLENTUNA</t>
        </is>
      </c>
      <c r="G134" t="n">
        <v>4.1</v>
      </c>
      <c r="H134" t="n">
        <v>0</v>
      </c>
      <c r="I134" t="n">
        <v>0</v>
      </c>
      <c r="J134" t="n">
        <v>0</v>
      </c>
      <c r="K134" t="n">
        <v>0</v>
      </c>
      <c r="L134" t="n">
        <v>0</v>
      </c>
      <c r="M134" t="n">
        <v>0</v>
      </c>
      <c r="N134" t="n">
        <v>0</v>
      </c>
      <c r="O134" t="n">
        <v>0</v>
      </c>
      <c r="P134" t="n">
        <v>0</v>
      </c>
      <c r="Q134" t="n">
        <v>0</v>
      </c>
      <c r="R134" s="2" t="inlineStr"/>
    </row>
    <row r="135" ht="15" customHeight="1">
      <c r="A135" t="inlineStr">
        <is>
          <t>A 21445-2023</t>
        </is>
      </c>
      <c r="B135" s="1" t="n">
        <v>45063</v>
      </c>
      <c r="C135" s="1" t="n">
        <v>45912</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19356-2025</t>
        </is>
      </c>
      <c r="B136" s="1" t="n">
        <v>45769.62061342593</v>
      </c>
      <c r="C136" s="1" t="n">
        <v>45912</v>
      </c>
      <c r="D136" t="inlineStr">
        <is>
          <t>STOCKHOLMS LÄN</t>
        </is>
      </c>
      <c r="E136" t="inlineStr">
        <is>
          <t>VALLENTUNA</t>
        </is>
      </c>
      <c r="F136" t="inlineStr">
        <is>
          <t>Övriga Aktiebolag</t>
        </is>
      </c>
      <c r="G136" t="n">
        <v>1.6</v>
      </c>
      <c r="H136" t="n">
        <v>0</v>
      </c>
      <c r="I136" t="n">
        <v>0</v>
      </c>
      <c r="J136" t="n">
        <v>0</v>
      </c>
      <c r="K136" t="n">
        <v>0</v>
      </c>
      <c r="L136" t="n">
        <v>0</v>
      </c>
      <c r="M136" t="n">
        <v>0</v>
      </c>
      <c r="N136" t="n">
        <v>0</v>
      </c>
      <c r="O136" t="n">
        <v>0</v>
      </c>
      <c r="P136" t="n">
        <v>0</v>
      </c>
      <c r="Q136" t="n">
        <v>0</v>
      </c>
      <c r="R136" s="2" t="inlineStr"/>
    </row>
    <row r="137" ht="15" customHeight="1">
      <c r="A137" t="inlineStr">
        <is>
          <t>A 11950-2025</t>
        </is>
      </c>
      <c r="B137" s="1" t="n">
        <v>45728.55622685186</v>
      </c>
      <c r="C137" s="1" t="n">
        <v>45912</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34441-2023</t>
        </is>
      </c>
      <c r="B138" s="1" t="n">
        <v>45139</v>
      </c>
      <c r="C138" s="1" t="n">
        <v>45912</v>
      </c>
      <c r="D138" t="inlineStr">
        <is>
          <t>STOCKHOLMS LÄN</t>
        </is>
      </c>
      <c r="E138" t="inlineStr">
        <is>
          <t>VALLENTUNA</t>
        </is>
      </c>
      <c r="G138" t="n">
        <v>1.6</v>
      </c>
      <c r="H138" t="n">
        <v>0</v>
      </c>
      <c r="I138" t="n">
        <v>0</v>
      </c>
      <c r="J138" t="n">
        <v>0</v>
      </c>
      <c r="K138" t="n">
        <v>0</v>
      </c>
      <c r="L138" t="n">
        <v>0</v>
      </c>
      <c r="M138" t="n">
        <v>0</v>
      </c>
      <c r="N138" t="n">
        <v>0</v>
      </c>
      <c r="O138" t="n">
        <v>0</v>
      </c>
      <c r="P138" t="n">
        <v>0</v>
      </c>
      <c r="Q138" t="n">
        <v>0</v>
      </c>
      <c r="R138" s="2" t="inlineStr"/>
    </row>
    <row r="139" ht="15" customHeight="1">
      <c r="A139" t="inlineStr">
        <is>
          <t>A 34445-2023</t>
        </is>
      </c>
      <c r="B139" s="1" t="n">
        <v>45139</v>
      </c>
      <c r="C139" s="1" t="n">
        <v>45912</v>
      </c>
      <c r="D139" t="inlineStr">
        <is>
          <t>STOCKHOLMS LÄN</t>
        </is>
      </c>
      <c r="E139" t="inlineStr">
        <is>
          <t>VALLENTUNA</t>
        </is>
      </c>
      <c r="G139" t="n">
        <v>0.9</v>
      </c>
      <c r="H139" t="n">
        <v>0</v>
      </c>
      <c r="I139" t="n">
        <v>0</v>
      </c>
      <c r="J139" t="n">
        <v>0</v>
      </c>
      <c r="K139" t="n">
        <v>0</v>
      </c>
      <c r="L139" t="n">
        <v>0</v>
      </c>
      <c r="M139" t="n">
        <v>0</v>
      </c>
      <c r="N139" t="n">
        <v>0</v>
      </c>
      <c r="O139" t="n">
        <v>0</v>
      </c>
      <c r="P139" t="n">
        <v>0</v>
      </c>
      <c r="Q139" t="n">
        <v>0</v>
      </c>
      <c r="R139" s="2" t="inlineStr"/>
    </row>
    <row r="140">
      <c r="A140" t="inlineStr">
        <is>
          <t>A 34460-2023</t>
        </is>
      </c>
      <c r="B140" s="1" t="n">
        <v>45139</v>
      </c>
      <c r="C140" s="1" t="n">
        <v>45912</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2025-09-12T08:54:49Z</dcterms:created>
  <dcterms:modified xmlns:dcterms="http://purl.org/dc/terms/" xmlns:xsi="http://www.w3.org/2001/XMLSchema-instance" xsi:type="dcterms:W3CDTF">2025-09-12T08:54:49Z</dcterms:modified>
</cp:coreProperties>
</file>