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46217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46217</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46217</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46217</v>
      </c>
      <c r="F5" t="inlineStr">
        <is>
          <t>STOCKHOLMS LÄN</t>
        </is>
      </c>
      <c r="G5" t="inlineStr">
        <is>
          <t>VALLENTUNA</t>
        </is>
      </c>
      <c r="I5" t="n">
        <v>4.9</v>
      </c>
      <c r="J5" t="n">
        <v>7</v>
      </c>
      <c r="K5" t="n">
        <v>6</v>
      </c>
      <c r="L5" t="n">
        <v>3</v>
      </c>
      <c r="M5" t="n">
        <v>2</v>
      </c>
      <c r="N5" t="n">
        <v>0</v>
      </c>
      <c r="O5" t="n">
        <v>0</v>
      </c>
      <c r="P5" t="n">
        <v>0</v>
      </c>
      <c r="Q5" t="n">
        <v>5</v>
      </c>
      <c r="R5" t="n">
        <v>2</v>
      </c>
      <c r="S5" t="n">
        <v>16</v>
      </c>
      <c r="T5" t="n">
        <v>46</v>
      </c>
      <c r="U5" s="2" t="inlineStr">
        <is>
          <t>Garnlav
Knärot
Talltita
Ullticka
Vedskivlav
Björksplintborre
Blodticka
Flagellkvastmossa
Jättesvampmal
Mindre märgborre
Vedticka
Mattlummer
Spillkråka
Tjäder
Fläcknycklar
Revlummer</t>
        </is>
      </c>
      <c r="V5">
        <f>HYPERLINK("https://klasma.github.io/Logging_0115/artfynd/A 55825-2023 artfynd.xlsx", "A 55825-2023")</f>
        <v/>
      </c>
      <c r="W5">
        <f>HYPERLINK("https://klasma.github.io/Logging_0115/kartor/A 55825-2023 karta.png", "A 55825-2023")</f>
        <v/>
      </c>
      <c r="X5">
        <f>HYPERLINK("https://klasma.github.io/Logging_0115/knärot/A 55825-2023 karta knärot.png", "A 55825-2023")</f>
        <v/>
      </c>
      <c r="Y5">
        <f>HYPERLINK("https://klasma.github.io/Logging_0115/klagomål/A 55825-2023 FSC-klagomål.docx", "A 55825-2023")</f>
        <v/>
      </c>
      <c r="Z5">
        <f>HYPERLINK("https://klasma.github.io/Logging_0115/klagomålsmail/A 55825-2023 FSC-klagomål mail.docx", "A 55825-2023")</f>
        <v/>
      </c>
      <c r="AA5">
        <f>HYPERLINK("https://klasma.github.io/Logging_0115/tillsyn/A 55825-2023 tillsynsbegäran.docx", "A 55825-2023")</f>
        <v/>
      </c>
      <c r="AB5">
        <f>HYPERLINK("https://klasma.github.io/Logging_0115/tillsynsmail/A 55825-2023 tillsynsbegäran mail.docx", "A 55825-2023")</f>
        <v/>
      </c>
      <c r="AC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46217</v>
      </c>
      <c r="F6" t="inlineStr">
        <is>
          <t>STOCKHOLMS LÄN</t>
        </is>
      </c>
      <c r="G6" t="inlineStr">
        <is>
          <t>VALLENTUNA</t>
        </is>
      </c>
      <c r="I6" t="n">
        <v>4.2</v>
      </c>
      <c r="J6" t="n">
        <v>4</v>
      </c>
      <c r="K6" t="n">
        <v>7</v>
      </c>
      <c r="L6" t="n">
        <v>5</v>
      </c>
      <c r="M6" t="n">
        <v>1</v>
      </c>
      <c r="N6" t="n">
        <v>0</v>
      </c>
      <c r="O6" t="n">
        <v>0</v>
      </c>
      <c r="P6" t="n">
        <v>0</v>
      </c>
      <c r="Q6" t="n">
        <v>6</v>
      </c>
      <c r="R6" t="n">
        <v>1</v>
      </c>
      <c r="S6" t="n">
        <v>16</v>
      </c>
      <c r="T6" t="n">
        <v>47</v>
      </c>
      <c r="U6" s="2" t="inlineStr">
        <is>
          <t>Ostticka
Fjällig taggsvamp s.str.
Motaggsvamp
Orange taggsvamp
Talltita
Tjockfotad fingersvamp
Björksplintborre
Granbarkgnagare
Grönpyrola
Mindre märgborre
Rödgul trumpetsvamp
Vedticka
Vågbandad barkbock
Blåsippa
Spillkråka
Kungsfågel</t>
        </is>
      </c>
      <c r="V6">
        <f>HYPERLINK("https://klasma.github.io/Logging_0115/artfynd/A 42922-2023 artfynd.xlsx", "A 42922-2023")</f>
        <v/>
      </c>
      <c r="W6">
        <f>HYPERLINK("https://klasma.github.io/Logging_0115/kartor/A 42922-2023 karta.png", "A 42922-2023")</f>
        <v/>
      </c>
      <c r="Y6">
        <f>HYPERLINK("https://klasma.github.io/Logging_0115/klagomål/A 42922-2023 FSC-klagomål.docx", "A 42922-2023")</f>
        <v/>
      </c>
      <c r="Z6">
        <f>HYPERLINK("https://klasma.github.io/Logging_0115/klagomålsmail/A 42922-2023 FSC-klagomål mail.docx", "A 42922-2023")</f>
        <v/>
      </c>
      <c r="AA6">
        <f>HYPERLINK("https://klasma.github.io/Logging_0115/tillsyn/A 42922-2023 tillsynsbegäran.docx", "A 42922-2023")</f>
        <v/>
      </c>
      <c r="AB6">
        <f>HYPERLINK("https://klasma.github.io/Logging_0115/tillsynsmail/A 42922-2023 tillsynsbegäran mail.docx", "A 42922-2023")</f>
        <v/>
      </c>
      <c r="AC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46217</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46217</v>
      </c>
      <c r="F8" t="inlineStr">
        <is>
          <t>STOCKHOLMS LÄN</t>
        </is>
      </c>
      <c r="G8" t="inlineStr">
        <is>
          <t>VALLENTUNA</t>
        </is>
      </c>
      <c r="I8" t="n">
        <v>6.9</v>
      </c>
      <c r="J8" t="n">
        <v>2</v>
      </c>
      <c r="K8" t="n">
        <v>5</v>
      </c>
      <c r="L8" t="n">
        <v>2</v>
      </c>
      <c r="M8" t="n">
        <v>1</v>
      </c>
      <c r="N8" t="n">
        <v>0</v>
      </c>
      <c r="O8" t="n">
        <v>0</v>
      </c>
      <c r="P8" t="n">
        <v>0</v>
      </c>
      <c r="Q8" t="n">
        <v>3</v>
      </c>
      <c r="R8" t="n">
        <v>1</v>
      </c>
      <c r="S8" t="n">
        <v>9</v>
      </c>
      <c r="T8" t="n">
        <v>9</v>
      </c>
      <c r="U8" s="2" t="inlineStr">
        <is>
          <t>Gränsticka
Dunmossa
Talltita
Björksplintborre
Blomkålssvamp
Mörk husmossa
Stubbspretmossa
Vågbandad barkbock
Kungsfågel</t>
        </is>
      </c>
      <c r="V8">
        <f>HYPERLINK("https://klasma.github.io/Logging_0115/artfynd/A 61763-2025 artfynd.xlsx", "A 61763-2025")</f>
        <v/>
      </c>
      <c r="W8">
        <f>HYPERLINK("https://klasma.github.io/Logging_0115/kartor/A 61763-2025 karta.png", "A 61763-2025")</f>
        <v/>
      </c>
      <c r="Y8">
        <f>HYPERLINK("https://klasma.github.io/Logging_0115/klagomål/A 61763-2025 FSC-klagomål.docx", "A 61763-2025")</f>
        <v/>
      </c>
      <c r="Z8">
        <f>HYPERLINK("https://klasma.github.io/Logging_0115/klagomålsmail/A 61763-2025 FSC-klagomål mail.docx", "A 61763-2025")</f>
        <v/>
      </c>
      <c r="AA8">
        <f>HYPERLINK("https://klasma.github.io/Logging_0115/tillsyn/A 61763-2025 tillsynsbegäran.docx", "A 61763-2025")</f>
        <v/>
      </c>
      <c r="AB8">
        <f>HYPERLINK("https://klasma.github.io/Logging_0115/tillsynsmail/A 61763-2025 tillsynsbegäran mail.docx", "A 61763-2025")</f>
        <v/>
      </c>
      <c r="AC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46217</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s="2" t="inlineStr">
        <is>
          <t>Grönsångare
Talltita
Aprikosfingersvamp
Mindre märgborre
Mönjevaxing
Nästrot
Tibast
Blåsippa
Tjäder</t>
        </is>
      </c>
      <c r="V9">
        <f>HYPERLINK("https://klasma.github.io/Logging_0115/artfynd/A 50435-2024 artfynd.xlsx", "A 50435-2024")</f>
        <v/>
      </c>
      <c r="W9">
        <f>HYPERLINK("https://klasma.github.io/Logging_0115/kartor/A 50435-2024 karta.png", "A 50435-2024")</f>
        <v/>
      </c>
      <c r="Y9">
        <f>HYPERLINK("https://klasma.github.io/Logging_0115/klagomål/A 50435-2024 FSC-klagomål.docx", "A 50435-2024")</f>
        <v/>
      </c>
      <c r="Z9">
        <f>HYPERLINK("https://klasma.github.io/Logging_0115/klagomålsmail/A 50435-2024 FSC-klagomål mail.docx", "A 50435-2024")</f>
        <v/>
      </c>
      <c r="AA9">
        <f>HYPERLINK("https://klasma.github.io/Logging_0115/tillsyn/A 50435-2024 tillsynsbegäran.docx", "A 50435-2024")</f>
        <v/>
      </c>
      <c r="AB9">
        <f>HYPERLINK("https://klasma.github.io/Logging_0115/tillsynsmail/A 50435-2024 tillsynsbegäran mail.docx", "A 50435-2024")</f>
        <v/>
      </c>
      <c r="AC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46217</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46217</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46217</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46217</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46217</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46217</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s="2" t="inlineStr">
        <is>
          <t>Hussvala
Berggräsfjäril
Mindre hackspett</t>
        </is>
      </c>
      <c r="V15">
        <f>HYPERLINK("https://klasma.github.io/Logging_0115/artfynd/A 14508-2024 artfynd.xlsx", "A 14508-2024")</f>
        <v/>
      </c>
      <c r="W15">
        <f>HYPERLINK("https://klasma.github.io/Logging_0115/kartor/A 14508-2024 karta.png", "A 14508-2024")</f>
        <v/>
      </c>
      <c r="Y15">
        <f>HYPERLINK("https://klasma.github.io/Logging_0115/klagomål/A 14508-2024 FSC-klagomål.docx", "A 14508-2024")</f>
        <v/>
      </c>
      <c r="Z15">
        <f>HYPERLINK("https://klasma.github.io/Logging_0115/klagomålsmail/A 14508-2024 FSC-klagomål mail.docx", "A 14508-2024")</f>
        <v/>
      </c>
      <c r="AA15">
        <f>HYPERLINK("https://klasma.github.io/Logging_0115/tillsyn/A 14508-2024 tillsynsbegäran.docx", "A 14508-2024")</f>
        <v/>
      </c>
      <c r="AB15">
        <f>HYPERLINK("https://klasma.github.io/Logging_0115/tillsynsmail/A 14508-2024 tillsynsbegäran mail.docx", "A 14508-2024")</f>
        <v/>
      </c>
      <c r="AC15">
        <f>HYPERLINK("https://klasma.github.io/Logging_0115/fåglar/A 14508-2024 prioriterade fågelarter.docx", "A 14508-2024")</f>
        <v/>
      </c>
    </row>
    <row r="16" ht="15" customHeight="1">
      <c r="A16" t="inlineStr">
        <is>
          <t>A 37456-2023</t>
        </is>
      </c>
      <c r="B16" t="inlineStr">
        <is>
          <t>avverkningsanmälan</t>
        </is>
      </c>
      <c r="C16" t="inlineStr">
        <is>
          <t>Föryngringsavverkning</t>
        </is>
      </c>
      <c r="D16" s="1" t="n">
        <v>45156</v>
      </c>
      <c r="E16" s="1" t="n">
        <v>46217</v>
      </c>
      <c r="F16" t="inlineStr">
        <is>
          <t>STOCKHOLMS LÄN</t>
        </is>
      </c>
      <c r="G16" t="inlineStr">
        <is>
          <t>VALLENTUNA</t>
        </is>
      </c>
      <c r="H16" t="inlineStr">
        <is>
          <t>Övriga Aktiebolag</t>
        </is>
      </c>
      <c r="I16" t="n">
        <v>3.3</v>
      </c>
      <c r="J16" t="n">
        <v>1</v>
      </c>
      <c r="K16" t="n">
        <v>0</v>
      </c>
      <c r="L16" t="n">
        <v>2</v>
      </c>
      <c r="M16" t="n">
        <v>0</v>
      </c>
      <c r="N16" t="n">
        <v>0</v>
      </c>
      <c r="O16" t="n">
        <v>0</v>
      </c>
      <c r="P16" t="n">
        <v>0</v>
      </c>
      <c r="Q16" t="n">
        <v>2</v>
      </c>
      <c r="R16" t="n">
        <v>0</v>
      </c>
      <c r="S16" t="n">
        <v>3</v>
      </c>
      <c r="T16" t="n">
        <v>4</v>
      </c>
      <c r="U16" s="2" t="inlineStr">
        <is>
          <t>Skarp dropptaggsvamp
Tjockfotad fingersvamp
Blåsippa</t>
        </is>
      </c>
      <c r="V16">
        <f>HYPERLINK("https://klasma.github.io/Logging_0115/artfynd/A 37456-2023 artfynd.xlsx", "A 37456-2023")</f>
        <v/>
      </c>
      <c r="W16">
        <f>HYPERLINK("https://klasma.github.io/Logging_0115/kartor/A 37456-2023 karta.png", "A 37456-2023")</f>
        <v/>
      </c>
      <c r="Y16">
        <f>HYPERLINK("https://klasma.github.io/Logging_0115/klagomål/A 37456-2023 FSC-klagomål.docx", "A 37456-2023")</f>
        <v/>
      </c>
      <c r="Z16">
        <f>HYPERLINK("https://klasma.github.io/Logging_0115/klagomålsmail/A 37456-2023 FSC-klagomål mail.docx", "A 37456-2023")</f>
        <v/>
      </c>
      <c r="AA16">
        <f>HYPERLINK("https://klasma.github.io/Logging_0115/tillsyn/A 37456-2023 tillsynsbegäran.docx", "A 37456-2023")</f>
        <v/>
      </c>
      <c r="AB16">
        <f>HYPERLINK("https://klasma.github.io/Logging_0115/tillsynsmail/A 37456-2023 tillsynsbegäran mail.docx", "A 37456-2023")</f>
        <v/>
      </c>
    </row>
    <row r="17" ht="15" customHeight="1">
      <c r="A17" t="inlineStr">
        <is>
          <t>A 63543-2025</t>
        </is>
      </c>
      <c r="B17" t="inlineStr">
        <is>
          <t>avverkningsanmälan</t>
        </is>
      </c>
      <c r="C17" t="inlineStr">
        <is>
          <t>Föryngringsavverkning</t>
        </is>
      </c>
      <c r="D17" s="1" t="n">
        <v>46013</v>
      </c>
      <c r="E17" s="1" t="n">
        <v>46217</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s="2" t="inlineStr">
        <is>
          <t>Tallticka
Vedskivlav
Björksplintborre</t>
        </is>
      </c>
      <c r="V17">
        <f>HYPERLINK("https://klasma.github.io/Logging_0115/artfynd/A 63543-2025 artfynd.xlsx", "A 63543-2025")</f>
        <v/>
      </c>
      <c r="W17">
        <f>HYPERLINK("https://klasma.github.io/Logging_0115/kartor/A 63543-2025 karta.png", "A 63543-2025")</f>
        <v/>
      </c>
      <c r="Y17">
        <f>HYPERLINK("https://klasma.github.io/Logging_0115/klagomål/A 63543-2025 FSC-klagomål.docx", "A 63543-2025")</f>
        <v/>
      </c>
      <c r="Z17">
        <f>HYPERLINK("https://klasma.github.io/Logging_0115/klagomålsmail/A 63543-2025 FSC-klagomål mail.docx", "A 63543-2025")</f>
        <v/>
      </c>
      <c r="AA17">
        <f>HYPERLINK("https://klasma.github.io/Logging_0115/tillsyn/A 63543-2025 tillsynsbegäran.docx", "A 63543-2025")</f>
        <v/>
      </c>
      <c r="AB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46217</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s="2" t="inlineStr">
        <is>
          <t>Ullticka
Tjäder
Kungsfågel</t>
        </is>
      </c>
      <c r="V18">
        <f>HYPERLINK("https://klasma.github.io/Logging_0115/artfynd/A 48717-2024 artfynd.xlsx", "A 48717-2024")</f>
        <v/>
      </c>
      <c r="W18">
        <f>HYPERLINK("https://klasma.github.io/Logging_0115/kartor/A 48717-2024 karta.png", "A 48717-2024")</f>
        <v/>
      </c>
      <c r="Y18">
        <f>HYPERLINK("https://klasma.github.io/Logging_0115/klagomål/A 48717-2024 FSC-klagomål.docx", "A 48717-2024")</f>
        <v/>
      </c>
      <c r="Z18">
        <f>HYPERLINK("https://klasma.github.io/Logging_0115/klagomålsmail/A 48717-2024 FSC-klagomål mail.docx", "A 48717-2024")</f>
        <v/>
      </c>
      <c r="AA18">
        <f>HYPERLINK("https://klasma.github.io/Logging_0115/tillsyn/A 48717-2024 tillsynsbegäran.docx", "A 48717-2024")</f>
        <v/>
      </c>
      <c r="AB18">
        <f>HYPERLINK("https://klasma.github.io/Logging_0115/tillsynsmail/A 48717-2024 tillsynsbegäran mail.docx", "A 48717-2024")</f>
        <v/>
      </c>
      <c r="AC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46217</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s="2" t="inlineStr">
        <is>
          <t>Järnsparv
Grönsiska
Kungsfågel</t>
        </is>
      </c>
      <c r="V19">
        <f>HYPERLINK("https://klasma.github.io/Logging_0115/artfynd/A 9807-2026 artfynd.xlsx", "A 9807-2026")</f>
        <v/>
      </c>
      <c r="W19">
        <f>HYPERLINK("https://klasma.github.io/Logging_0115/kartor/A 9807-2026 karta.png", "A 9807-2026")</f>
        <v/>
      </c>
      <c r="Y19">
        <f>HYPERLINK("https://klasma.github.io/Logging_0115/klagomål/A 9807-2026 FSC-klagomål.docx", "A 9807-2026")</f>
        <v/>
      </c>
      <c r="Z19">
        <f>HYPERLINK("https://klasma.github.io/Logging_0115/klagomålsmail/A 9807-2026 FSC-klagomål mail.docx", "A 9807-2026")</f>
        <v/>
      </c>
      <c r="AA19">
        <f>HYPERLINK("https://klasma.github.io/Logging_0115/tillsyn/A 9807-2026 tillsynsbegäran.docx", "A 9807-2026")</f>
        <v/>
      </c>
      <c r="AB19">
        <f>HYPERLINK("https://klasma.github.io/Logging_0115/tillsynsmail/A 9807-2026 tillsynsbegäran mail.docx", "A 9807-2026")</f>
        <v/>
      </c>
      <c r="AC19">
        <f>HYPERLINK("https://klasma.github.io/Logging_0115/fåglar/A 9807-2026 prioriterade fågelarter.docx", "A 9807-2026")</f>
        <v/>
      </c>
    </row>
    <row r="20" ht="15" customHeight="1">
      <c r="A20" t="inlineStr">
        <is>
          <t>A 9745-2022</t>
        </is>
      </c>
      <c r="B20" t="inlineStr">
        <is>
          <t>avverkningsanmälan</t>
        </is>
      </c>
      <c r="C20" t="inlineStr">
        <is>
          <t>Föryngringsavverkning</t>
        </is>
      </c>
      <c r="D20" s="1" t="n">
        <v>44618</v>
      </c>
      <c r="E20" s="1" t="n">
        <v>46217</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s="2" t="inlineStr">
        <is>
          <t>Björksplintborre
Vedticka
Spillkråka</t>
        </is>
      </c>
      <c r="V20">
        <f>HYPERLINK("https://klasma.github.io/Logging_0115/artfynd/A 9745-2022 artfynd.xlsx", "A 9745-2022")</f>
        <v/>
      </c>
      <c r="W20">
        <f>HYPERLINK("https://klasma.github.io/Logging_0115/kartor/A 9745-2022 karta.png", "A 9745-2022")</f>
        <v/>
      </c>
      <c r="Y20">
        <f>HYPERLINK("https://klasma.github.io/Logging_0115/klagomål/A 9745-2022 FSC-klagomål.docx", "A 9745-2022")</f>
        <v/>
      </c>
      <c r="Z20">
        <f>HYPERLINK("https://klasma.github.io/Logging_0115/klagomålsmail/A 9745-2022 FSC-klagomål mail.docx", "A 9745-2022")</f>
        <v/>
      </c>
      <c r="AA20">
        <f>HYPERLINK("https://klasma.github.io/Logging_0115/tillsyn/A 9745-2022 tillsynsbegäran.docx", "A 9745-2022")</f>
        <v/>
      </c>
      <c r="AB20">
        <f>HYPERLINK("https://klasma.github.io/Logging_0115/tillsynsmail/A 9745-2022 tillsynsbegäran mail.docx", "A 9745-2022")</f>
        <v/>
      </c>
      <c r="AC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46217</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46217</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46217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46217</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s="2" t="inlineStr">
        <is>
          <t>Tallticka
Vårärt</t>
        </is>
      </c>
      <c r="V24">
        <f>HYPERLINK("https://klasma.github.io/Logging_0115/artfynd/A 63539-2025 artfynd.xlsx", "A 63539-2025")</f>
        <v/>
      </c>
      <c r="W24">
        <f>HYPERLINK("https://klasma.github.io/Logging_0115/kartor/A 63539-2025 karta.png", "A 63539-2025")</f>
        <v/>
      </c>
      <c r="Y24">
        <f>HYPERLINK("https://klasma.github.io/Logging_0115/klagomål/A 63539-2025 FSC-klagomål.docx", "A 63539-2025")</f>
        <v/>
      </c>
      <c r="Z24">
        <f>HYPERLINK("https://klasma.github.io/Logging_0115/klagomålsmail/A 63539-2025 FSC-klagomål mail.docx", "A 63539-2025")</f>
        <v/>
      </c>
      <c r="AA24">
        <f>HYPERLINK("https://klasma.github.io/Logging_0115/tillsyn/A 63539-2025 tillsynsbegäran.docx", "A 63539-2025")</f>
        <v/>
      </c>
      <c r="AB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46217</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s="2" t="inlineStr">
        <is>
          <t>Större vattensalamander
Mindre vattensalamander</t>
        </is>
      </c>
      <c r="V25">
        <f>HYPERLINK("https://klasma.github.io/Logging_0115/artfynd/A 27935-2026 artfynd.xlsx", "A 27935-2026")</f>
        <v/>
      </c>
      <c r="W25">
        <f>HYPERLINK("https://klasma.github.io/Logging_0115/kartor/A 27935-2026 karta.png", "A 27935-2026")</f>
        <v/>
      </c>
      <c r="Y25">
        <f>HYPERLINK("https://klasma.github.io/Logging_0115/klagomål/A 27935-2026 FSC-klagomål.docx", "A 27935-2026")</f>
        <v/>
      </c>
      <c r="Z25">
        <f>HYPERLINK("https://klasma.github.io/Logging_0115/klagomålsmail/A 27935-2026 FSC-klagomål mail.docx", "A 27935-2026")</f>
        <v/>
      </c>
      <c r="AA25">
        <f>HYPERLINK("https://klasma.github.io/Logging_0115/tillsyn/A 27935-2026 tillsynsbegäran.docx", "A 27935-2026")</f>
        <v/>
      </c>
      <c r="AB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46217</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s="2" t="inlineStr">
        <is>
          <t>Fjällig taggsvamp s.str.
Orange taggsvamp</t>
        </is>
      </c>
      <c r="V26">
        <f>HYPERLINK("https://klasma.github.io/Logging_0115/artfynd/A 41021-2023 artfynd.xlsx", "A 41021-2023")</f>
        <v/>
      </c>
      <c r="W26">
        <f>HYPERLINK("https://klasma.github.io/Logging_0115/kartor/A 41021-2023 karta.png", "A 41021-2023")</f>
        <v/>
      </c>
      <c r="Y26">
        <f>HYPERLINK("https://klasma.github.io/Logging_0115/klagomål/A 41021-2023 FSC-klagomål.docx", "A 41021-2023")</f>
        <v/>
      </c>
      <c r="Z26">
        <f>HYPERLINK("https://klasma.github.io/Logging_0115/klagomålsmail/A 41021-2023 FSC-klagomål mail.docx", "A 41021-2023")</f>
        <v/>
      </c>
      <c r="AA26">
        <f>HYPERLINK("https://klasma.github.io/Logging_0115/tillsyn/A 41021-2023 tillsynsbegäran.docx", "A 41021-2023")</f>
        <v/>
      </c>
      <c r="AB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46217</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s="2" t="inlineStr">
        <is>
          <t>Motaggsvamp
Orange taggsvamp</t>
        </is>
      </c>
      <c r="V27">
        <f>HYPERLINK("https://klasma.github.io/Logging_0115/artfynd/A 34460-2023 artfynd.xlsx", "A 34460-2023")</f>
        <v/>
      </c>
      <c r="W27">
        <f>HYPERLINK("https://klasma.github.io/Logging_0115/kartor/A 34460-2023 karta.png", "A 34460-2023")</f>
        <v/>
      </c>
      <c r="Y27">
        <f>HYPERLINK("https://klasma.github.io/Logging_0115/klagomål/A 34460-2023 FSC-klagomål.docx", "A 34460-2023")</f>
        <v/>
      </c>
      <c r="Z27">
        <f>HYPERLINK("https://klasma.github.io/Logging_0115/klagomålsmail/A 34460-2023 FSC-klagomål mail.docx", "A 34460-2023")</f>
        <v/>
      </c>
      <c r="AA27">
        <f>HYPERLINK("https://klasma.github.io/Logging_0115/tillsyn/A 34460-2023 tillsynsbegäran.docx", "A 34460-2023")</f>
        <v/>
      </c>
      <c r="AB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46217</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46217</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s="2" t="inlineStr">
        <is>
          <t>Björksplintborre</t>
        </is>
      </c>
      <c r="V29">
        <f>HYPERLINK("https://klasma.github.io/Logging_0115/artfynd/A 17348-2025 artfynd.xlsx", "A 17348-2025")</f>
        <v/>
      </c>
      <c r="W29">
        <f>HYPERLINK("https://klasma.github.io/Logging_0115/kartor/A 17348-2025 karta.png", "A 17348-2025")</f>
        <v/>
      </c>
      <c r="Y29">
        <f>HYPERLINK("https://klasma.github.io/Logging_0115/klagomål/A 17348-2025 FSC-klagomål.docx", "A 17348-2025")</f>
        <v/>
      </c>
      <c r="Z29">
        <f>HYPERLINK("https://klasma.github.io/Logging_0115/klagomålsmail/A 17348-2025 FSC-klagomål mail.docx", "A 17348-2025")</f>
        <v/>
      </c>
      <c r="AA29">
        <f>HYPERLINK("https://klasma.github.io/Logging_0115/tillsyn/A 17348-2025 tillsynsbegäran.docx", "A 17348-2025")</f>
        <v/>
      </c>
      <c r="AB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46217</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s="2" t="inlineStr">
        <is>
          <t>Tallticka</t>
        </is>
      </c>
      <c r="V30">
        <f>HYPERLINK("https://klasma.github.io/Logging_0115/artfynd/A 22830-2024 artfynd.xlsx", "A 22830-2024")</f>
        <v/>
      </c>
      <c r="W30">
        <f>HYPERLINK("https://klasma.github.io/Logging_0115/kartor/A 22830-2024 karta.png", "A 22830-2024")</f>
        <v/>
      </c>
      <c r="Y30">
        <f>HYPERLINK("https://klasma.github.io/Logging_0115/klagomål/A 22830-2024 FSC-klagomål.docx", "A 22830-2024")</f>
        <v/>
      </c>
      <c r="Z30">
        <f>HYPERLINK("https://klasma.github.io/Logging_0115/klagomålsmail/A 22830-2024 FSC-klagomål mail.docx", "A 22830-2024")</f>
        <v/>
      </c>
      <c r="AA30">
        <f>HYPERLINK("https://klasma.github.io/Logging_0115/tillsyn/A 22830-2024 tillsynsbegäran.docx", "A 22830-2024")</f>
        <v/>
      </c>
      <c r="AB30">
        <f>HYPERLINK("https://klasma.github.io/Logging_0115/tillsynsmail/A 22830-2024 tillsynsbegäran mail.docx", "A 22830-2024")</f>
        <v/>
      </c>
    </row>
    <row r="31" ht="15" customHeight="1">
      <c r="A31" t="inlineStr">
        <is>
          <t>A 24068-2024</t>
        </is>
      </c>
      <c r="B31" t="inlineStr">
        <is>
          <t>avverkningsanmälan</t>
        </is>
      </c>
      <c r="C31" t="inlineStr">
        <is>
          <t>Föryngringsavverkning</t>
        </is>
      </c>
      <c r="D31" s="1" t="n">
        <v>45456</v>
      </c>
      <c r="E31" s="1" t="n">
        <v>46217</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s="2" t="inlineStr">
        <is>
          <t>Vedskivlav</t>
        </is>
      </c>
      <c r="V31">
        <f>HYPERLINK("https://klasma.github.io/Logging_0115/artfynd/A 24068-2024 artfynd.xlsx", "A 24068-2024")</f>
        <v/>
      </c>
      <c r="W31">
        <f>HYPERLINK("https://klasma.github.io/Logging_0115/kartor/A 24068-2024 karta.png", "A 24068-2024")</f>
        <v/>
      </c>
      <c r="Y31">
        <f>HYPERLINK("https://klasma.github.io/Logging_0115/klagomål/A 24068-2024 FSC-klagomål.docx", "A 24068-2024")</f>
        <v/>
      </c>
      <c r="Z31">
        <f>HYPERLINK("https://klasma.github.io/Logging_0115/klagomålsmail/A 24068-2024 FSC-klagomål mail.docx", "A 24068-2024")</f>
        <v/>
      </c>
      <c r="AA31">
        <f>HYPERLINK("https://klasma.github.io/Logging_0115/tillsyn/A 24068-2024 tillsynsbegäran.docx", "A 24068-2024")</f>
        <v/>
      </c>
      <c r="AB31">
        <f>HYPERLINK("https://klasma.github.io/Logging_0115/tillsynsmail/A 24068-2024 tillsynsbegäran mail.docx", "A 24068-2024")</f>
        <v/>
      </c>
    </row>
    <row r="32" ht="15" customHeight="1">
      <c r="A32" t="inlineStr">
        <is>
          <t>A 7890-2023</t>
        </is>
      </c>
      <c r="B32" t="inlineStr">
        <is>
          <t>avverkningsanmälan</t>
        </is>
      </c>
      <c r="C32" t="inlineStr">
        <is>
          <t>Föryngringsavverkning</t>
        </is>
      </c>
      <c r="D32" s="1" t="n">
        <v>44973</v>
      </c>
      <c r="E32" s="1" t="n">
        <v>46217</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s="2" t="inlineStr">
        <is>
          <t>Ullticka</t>
        </is>
      </c>
      <c r="V32">
        <f>HYPERLINK("https://klasma.github.io/Logging_0115/artfynd/A 7890-2023 artfynd.xlsx", "A 7890-2023")</f>
        <v/>
      </c>
      <c r="W32">
        <f>HYPERLINK("https://klasma.github.io/Logging_0115/kartor/A 7890-2023 karta.png", "A 7890-2023")</f>
        <v/>
      </c>
      <c r="Y32">
        <f>HYPERLINK("https://klasma.github.io/Logging_0115/klagomål/A 7890-2023 FSC-klagomål.docx", "A 7890-2023")</f>
        <v/>
      </c>
      <c r="Z32">
        <f>HYPERLINK("https://klasma.github.io/Logging_0115/klagomålsmail/A 7890-2023 FSC-klagomål mail.docx", "A 7890-2023")</f>
        <v/>
      </c>
      <c r="AA32">
        <f>HYPERLINK("https://klasma.github.io/Logging_0115/tillsyn/A 7890-2023 tillsynsbegäran.docx", "A 7890-2023")</f>
        <v/>
      </c>
      <c r="AB32">
        <f>HYPERLINK("https://klasma.github.io/Logging_0115/tillsynsmail/A 7890-2023 tillsynsbegäran mail.docx", "A 7890-2023")</f>
        <v/>
      </c>
    </row>
    <row r="33" ht="15" customHeight="1">
      <c r="A33" t="inlineStr">
        <is>
          <t>A 54481-2025</t>
        </is>
      </c>
      <c r="B33" t="inlineStr">
        <is>
          <t>avverkningsanmälan</t>
        </is>
      </c>
      <c r="C33" t="inlineStr">
        <is>
          <t>Föryngringsavverkning</t>
        </is>
      </c>
      <c r="D33" s="1" t="n">
        <v>45965</v>
      </c>
      <c r="E33" s="1" t="n">
        <v>46217</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54481-2025 artfynd.xlsx", "A 54481-2025")</f>
        <v/>
      </c>
      <c r="W33">
        <f>HYPERLINK("https://klasma.github.io/Logging_0115/kartor/A 54481-2025 karta.png", "A 54481-2025")</f>
        <v/>
      </c>
      <c r="Y33">
        <f>HYPERLINK("https://klasma.github.io/Logging_0115/klagomål/A 54481-2025 FSC-klagomål.docx", "A 54481-2025")</f>
        <v/>
      </c>
      <c r="Z33">
        <f>HYPERLINK("https://klasma.github.io/Logging_0115/klagomålsmail/A 54481-2025 FSC-klagomål mail.docx", "A 54481-2025")</f>
        <v/>
      </c>
      <c r="AA33">
        <f>HYPERLINK("https://klasma.github.io/Logging_0115/tillsyn/A 54481-2025 tillsynsbegäran.docx", "A 54481-2025")</f>
        <v/>
      </c>
      <c r="AB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46217</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54460-2025 artfynd.xlsx", "A 54460-2025")</f>
        <v/>
      </c>
      <c r="W34">
        <f>HYPERLINK("https://klasma.github.io/Logging_0115/kartor/A 54460-2025 karta.png", "A 54460-2025")</f>
        <v/>
      </c>
      <c r="Y34">
        <f>HYPERLINK("https://klasma.github.io/Logging_0115/klagomål/A 54460-2025 FSC-klagomål.docx", "A 54460-2025")</f>
        <v/>
      </c>
      <c r="Z34">
        <f>HYPERLINK("https://klasma.github.io/Logging_0115/klagomålsmail/A 54460-2025 FSC-klagomål mail.docx", "A 54460-2025")</f>
        <v/>
      </c>
      <c r="AA34">
        <f>HYPERLINK("https://klasma.github.io/Logging_0115/tillsyn/A 54460-2025 tillsynsbegäran.docx", "A 54460-2025")</f>
        <v/>
      </c>
      <c r="AB34">
        <f>HYPERLINK("https://klasma.github.io/Logging_0115/tillsynsmail/A 54460-2025 tillsynsbegäran mail.docx", "A 54460-2025")</f>
        <v/>
      </c>
    </row>
    <row r="35" ht="15" customHeight="1">
      <c r="A35" t="inlineStr">
        <is>
          <t>A 20910-2026</t>
        </is>
      </c>
      <c r="B35" t="inlineStr">
        <is>
          <t>avverkningsanmälan</t>
        </is>
      </c>
      <c r="C35" t="inlineStr">
        <is>
          <t>Föryngringsavverkning</t>
        </is>
      </c>
      <c r="D35" s="1" t="n">
        <v>46142</v>
      </c>
      <c r="E35" s="1" t="n">
        <v>46217</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s="2" t="inlineStr">
        <is>
          <t>Revlummer</t>
        </is>
      </c>
      <c r="V35">
        <f>HYPERLINK("https://klasma.github.io/Logging_0115/artfynd/A 20910-2026 artfynd.xlsx", "A 20910-2026")</f>
        <v/>
      </c>
      <c r="W35">
        <f>HYPERLINK("https://klasma.github.io/Logging_0115/kartor/A 20910-2026 karta.png", "A 20910-2026")</f>
        <v/>
      </c>
      <c r="Y35">
        <f>HYPERLINK("https://klasma.github.io/Logging_0115/klagomål/A 20910-2026 FSC-klagomål.docx", "A 20910-2026")</f>
        <v/>
      </c>
      <c r="Z35">
        <f>HYPERLINK("https://klasma.github.io/Logging_0115/klagomålsmail/A 20910-2026 FSC-klagomål mail.docx", "A 20910-2026")</f>
        <v/>
      </c>
      <c r="AA35">
        <f>HYPERLINK("https://klasma.github.io/Logging_0115/tillsyn/A 20910-2026 tillsynsbegäran.docx", "A 20910-2026")</f>
        <v/>
      </c>
      <c r="AB35">
        <f>HYPERLINK("https://klasma.github.io/Logging_0115/tillsynsmail/A 20910-2026 tillsynsbegäran mail.docx", "A 20910-2026")</f>
        <v/>
      </c>
    </row>
    <row r="36" ht="15" customHeight="1">
      <c r="A36" t="inlineStr">
        <is>
          <t>A 21-2022</t>
        </is>
      </c>
      <c r="B36" t="inlineStr">
        <is>
          <t>avverkningsanmälan</t>
        </is>
      </c>
      <c r="C36" t="inlineStr">
        <is>
          <t>Föryngringsavverkning</t>
        </is>
      </c>
      <c r="D36" s="1" t="n">
        <v>44560</v>
      </c>
      <c r="E36" s="1" t="n">
        <v>46217</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s="2" t="inlineStr">
        <is>
          <t>Nattviol</t>
        </is>
      </c>
      <c r="V36">
        <f>HYPERLINK("https://klasma.github.io/Logging_0115/artfynd/A 21-2022 artfynd.xlsx", "A 21-2022")</f>
        <v/>
      </c>
      <c r="W36">
        <f>HYPERLINK("https://klasma.github.io/Logging_0115/kartor/A 21-2022 karta.png", "A 21-2022")</f>
        <v/>
      </c>
      <c r="Y36">
        <f>HYPERLINK("https://klasma.github.io/Logging_0115/klagomål/A 21-2022 FSC-klagomål.docx", "A 21-2022")</f>
        <v/>
      </c>
      <c r="Z36">
        <f>HYPERLINK("https://klasma.github.io/Logging_0115/klagomålsmail/A 21-2022 FSC-klagomål mail.docx", "A 21-2022")</f>
        <v/>
      </c>
      <c r="AA36">
        <f>HYPERLINK("https://klasma.github.io/Logging_0115/tillsyn/A 21-2022 tillsynsbegäran.docx", "A 21-2022")</f>
        <v/>
      </c>
      <c r="AB36">
        <f>HYPERLINK("https://klasma.github.io/Logging_0115/tillsynsmail/A 21-2022 tillsynsbegäran mail.docx", "A 21-2022")</f>
        <v/>
      </c>
    </row>
    <row r="37" ht="15" customHeight="1">
      <c r="A37" t="inlineStr">
        <is>
          <t>A 20914-2026</t>
        </is>
      </c>
      <c r="B37" t="inlineStr">
        <is>
          <t>avverkningsanmälan</t>
        </is>
      </c>
      <c r="C37" t="inlineStr">
        <is>
          <t>Avverkning för att bevara och utveckla /försöksver</t>
        </is>
      </c>
      <c r="D37" s="1" t="n">
        <v>46142</v>
      </c>
      <c r="E37" s="1" t="n">
        <v>46217</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s="2" t="inlineStr">
        <is>
          <t>Tallticka</t>
        </is>
      </c>
      <c r="V37">
        <f>HYPERLINK("https://klasma.github.io/Logging_0115/artfynd/A 20914-2026 artfynd.xlsx", "A 20914-2026")</f>
        <v/>
      </c>
      <c r="W37">
        <f>HYPERLINK("https://klasma.github.io/Logging_0115/kartor/A 20914-2026 karta.png", "A 20914-2026")</f>
        <v/>
      </c>
      <c r="Y37">
        <f>HYPERLINK("https://klasma.github.io/Logging_0115/klagomål/A 20914-2026 FSC-klagomål.docx", "A 20914-2026")</f>
        <v/>
      </c>
      <c r="Z37">
        <f>HYPERLINK("https://klasma.github.io/Logging_0115/klagomålsmail/A 20914-2026 FSC-klagomål mail.docx", "A 20914-2026")</f>
        <v/>
      </c>
      <c r="AA37">
        <f>HYPERLINK("https://klasma.github.io/Logging_0115/tillsyn/A 20914-2026 tillsynsbegäran.docx", "A 20914-2026")</f>
        <v/>
      </c>
      <c r="AB37">
        <f>HYPERLINK("https://klasma.github.io/Logging_0115/tillsynsmail/A 20914-2026 tillsynsbegäran mail.docx", "A 20914-2026")</f>
        <v/>
      </c>
    </row>
    <row r="38" ht="15" customHeight="1">
      <c r="A38" t="inlineStr">
        <is>
          <t>A 12396-2026</t>
        </is>
      </c>
      <c r="B38" t="inlineStr">
        <is>
          <t>avverkningsanmälan</t>
        </is>
      </c>
      <c r="C38" t="inlineStr">
        <is>
          <t>Föryngringsavverkning</t>
        </is>
      </c>
      <c r="D38" s="1" t="n">
        <v>46090</v>
      </c>
      <c r="E38" s="1" t="n">
        <v>46217</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s="2" t="inlineStr">
        <is>
          <t>Spillkråka</t>
        </is>
      </c>
      <c r="V38">
        <f>HYPERLINK("https://klasma.github.io/Logging_0115/artfynd/A 12396-2026 artfynd.xlsx", "A 12396-2026")</f>
        <v/>
      </c>
      <c r="W38">
        <f>HYPERLINK("https://klasma.github.io/Logging_0115/kartor/A 12396-2026 karta.png", "A 12396-2026")</f>
        <v/>
      </c>
      <c r="Y38">
        <f>HYPERLINK("https://klasma.github.io/Logging_0115/klagomål/A 12396-2026 FSC-klagomål.docx", "A 12396-2026")</f>
        <v/>
      </c>
      <c r="Z38">
        <f>HYPERLINK("https://klasma.github.io/Logging_0115/klagomålsmail/A 12396-2026 FSC-klagomål mail.docx", "A 12396-2026")</f>
        <v/>
      </c>
      <c r="AA38">
        <f>HYPERLINK("https://klasma.github.io/Logging_0115/tillsyn/A 12396-2026 tillsynsbegäran.docx", "A 12396-2026")</f>
        <v/>
      </c>
      <c r="AB38">
        <f>HYPERLINK("https://klasma.github.io/Logging_0115/tillsynsmail/A 12396-2026 tillsynsbegäran mail.docx", "A 12396-2026")</f>
        <v/>
      </c>
      <c r="AC38">
        <f>HYPERLINK("https://klasma.github.io/Logging_0115/fåglar/A 12396-2026 prioriterade fågelarter.docx", "A 12396-2026")</f>
        <v/>
      </c>
    </row>
    <row r="39" ht="15" customHeight="1">
      <c r="A39" t="inlineStr">
        <is>
          <t>A 12401-2026</t>
        </is>
      </c>
      <c r="B39" t="inlineStr">
        <is>
          <t>avverkningsanmälan</t>
        </is>
      </c>
      <c r="C39" t="inlineStr">
        <is>
          <t>Föryngringsavverkning</t>
        </is>
      </c>
      <c r="D39" s="1" t="n">
        <v>46090</v>
      </c>
      <c r="E39" s="1" t="n">
        <v>46217</v>
      </c>
      <c r="F39" t="inlineStr">
        <is>
          <t>STOCKHOLMS LÄN</t>
        </is>
      </c>
      <c r="G39" t="inlineStr">
        <is>
          <t>VALLENTUNA</t>
        </is>
      </c>
      <c r="I39" t="n">
        <v>5.9</v>
      </c>
      <c r="J39" t="n">
        <v>1</v>
      </c>
      <c r="K39" t="n">
        <v>0</v>
      </c>
      <c r="L39" t="n">
        <v>0</v>
      </c>
      <c r="M39" t="n">
        <v>0</v>
      </c>
      <c r="N39" t="n">
        <v>0</v>
      </c>
      <c r="O39" t="n">
        <v>0</v>
      </c>
      <c r="P39" t="n">
        <v>0</v>
      </c>
      <c r="Q39" t="n">
        <v>0</v>
      </c>
      <c r="R39" t="n">
        <v>0</v>
      </c>
      <c r="S39" t="n">
        <v>1</v>
      </c>
      <c r="T39" t="n">
        <v>1</v>
      </c>
      <c r="U39" s="2" t="inlineStr">
        <is>
          <t>Spillkråka</t>
        </is>
      </c>
      <c r="V39">
        <f>HYPERLINK("https://klasma.github.io/Logging_0115/artfynd/A 12401-2026 artfynd.xlsx", "A 12401-2026")</f>
        <v/>
      </c>
      <c r="W39">
        <f>HYPERLINK("https://klasma.github.io/Logging_0115/kartor/A 12401-2026 karta.png", "A 12401-2026")</f>
        <v/>
      </c>
      <c r="Y39">
        <f>HYPERLINK("https://klasma.github.io/Logging_0115/klagomål/A 12401-2026 FSC-klagomål.docx", "A 12401-2026")</f>
        <v/>
      </c>
      <c r="Z39">
        <f>HYPERLINK("https://klasma.github.io/Logging_0115/klagomålsmail/A 12401-2026 FSC-klagomål mail.docx", "A 12401-2026")</f>
        <v/>
      </c>
      <c r="AA39">
        <f>HYPERLINK("https://klasma.github.io/Logging_0115/tillsyn/A 12401-2026 tillsynsbegäran.docx", "A 12401-2026")</f>
        <v/>
      </c>
      <c r="AB39">
        <f>HYPERLINK("https://klasma.github.io/Logging_0115/tillsynsmail/A 12401-2026 tillsynsbegäran mail.docx", "A 12401-2026")</f>
        <v/>
      </c>
      <c r="AC39">
        <f>HYPERLINK("https://klasma.github.io/Logging_0115/fåglar/A 12401-2026 prioriterade fågelarter.docx", "A 12401-2026")</f>
        <v/>
      </c>
    </row>
    <row r="40" ht="15" customHeight="1">
      <c r="A40" t="inlineStr">
        <is>
          <t>A 17341-2025</t>
        </is>
      </c>
      <c r="B40" t="inlineStr">
        <is>
          <t>avverkningsanmälan</t>
        </is>
      </c>
      <c r="C40" t="inlineStr">
        <is>
          <t>Föryngringsavverkning</t>
        </is>
      </c>
      <c r="D40" s="1" t="n">
        <v>45756</v>
      </c>
      <c r="E40" s="1" t="n">
        <v>46217</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s="2" t="inlineStr">
        <is>
          <t>Björksplintborre</t>
        </is>
      </c>
      <c r="V40">
        <f>HYPERLINK("https://klasma.github.io/Logging_0115/artfynd/A 17341-2025 artfynd.xlsx", "A 17341-2025")</f>
        <v/>
      </c>
      <c r="W40">
        <f>HYPERLINK("https://klasma.github.io/Logging_0115/kartor/A 17341-2025 karta.png", "A 17341-2025")</f>
        <v/>
      </c>
      <c r="Y40">
        <f>HYPERLINK("https://klasma.github.io/Logging_0115/klagomål/A 17341-2025 FSC-klagomål.docx", "A 17341-2025")</f>
        <v/>
      </c>
      <c r="Z40">
        <f>HYPERLINK("https://klasma.github.io/Logging_0115/klagomålsmail/A 17341-2025 FSC-klagomål mail.docx", "A 17341-2025")</f>
        <v/>
      </c>
      <c r="AA40">
        <f>HYPERLINK("https://klasma.github.io/Logging_0115/tillsyn/A 17341-2025 tillsynsbegäran.docx", "A 17341-2025")</f>
        <v/>
      </c>
      <c r="AB40">
        <f>HYPERLINK("https://klasma.github.io/Logging_0115/tillsynsmail/A 17341-2025 tillsynsbegäran mail.docx", "A 17341-2025")</f>
        <v/>
      </c>
    </row>
    <row r="41" ht="15" customHeight="1">
      <c r="A41" t="inlineStr">
        <is>
          <t>A 34458-2023</t>
        </is>
      </c>
      <c r="B41" t="inlineStr">
        <is>
          <t>avverkningsanmälan</t>
        </is>
      </c>
      <c r="C41" t="inlineStr">
        <is>
          <t>Föryngringsavverkning</t>
        </is>
      </c>
      <c r="D41" s="1" t="n">
        <v>45139</v>
      </c>
      <c r="E41" s="1" t="n">
        <v>46217</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s="2" t="inlineStr">
        <is>
          <t>Motaggsvamp</t>
        </is>
      </c>
      <c r="V41">
        <f>HYPERLINK("https://klasma.github.io/Logging_0115/artfynd/A 34458-2023 artfynd.xlsx", "A 34458-2023")</f>
        <v/>
      </c>
      <c r="W41">
        <f>HYPERLINK("https://klasma.github.io/Logging_0115/kartor/A 34458-2023 karta.png", "A 34458-2023")</f>
        <v/>
      </c>
      <c r="Y41">
        <f>HYPERLINK("https://klasma.github.io/Logging_0115/klagomål/A 34458-2023 FSC-klagomål.docx", "A 34458-2023")</f>
        <v/>
      </c>
      <c r="Z41">
        <f>HYPERLINK("https://klasma.github.io/Logging_0115/klagomålsmail/A 34458-2023 FSC-klagomål mail.docx", "A 34458-2023")</f>
        <v/>
      </c>
      <c r="AA41">
        <f>HYPERLINK("https://klasma.github.io/Logging_0115/tillsyn/A 34458-2023 tillsynsbegäran.docx", "A 34458-2023")</f>
        <v/>
      </c>
      <c r="AB41">
        <f>HYPERLINK("https://klasma.github.io/Logging_0115/tillsynsmail/A 34458-2023 tillsynsbegäran mail.docx", "A 34458-2023")</f>
        <v/>
      </c>
    </row>
    <row r="42" ht="15" customHeight="1">
      <c r="A42" t="inlineStr">
        <is>
          <t>A 23009-2024</t>
        </is>
      </c>
      <c r="B42" t="inlineStr">
        <is>
          <t>avverkningsanmälan</t>
        </is>
      </c>
      <c r="C42" t="inlineStr">
        <is>
          <t>Föryngringsavverkning</t>
        </is>
      </c>
      <c r="D42" s="1" t="n">
        <v>45450</v>
      </c>
      <c r="E42" s="1" t="n">
        <v>46217</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Y42">
        <f>HYPERLINK("https://klasma.github.io/Logging_0115/klagomål/A 23009-2024 FSC-klagomål.docx", "A 23009-2024")</f>
        <v/>
      </c>
      <c r="Z42">
        <f>HYPERLINK("https://klasma.github.io/Logging_0115/klagomålsmail/A 23009-2024 FSC-klagomål mail.docx", "A 23009-2024")</f>
        <v/>
      </c>
      <c r="AA42">
        <f>HYPERLINK("https://klasma.github.io/Logging_0115/tillsyn/A 23009-2024 tillsynsbegäran.docx", "A 23009-2024")</f>
        <v/>
      </c>
      <c r="AB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46217</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46217</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46217</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46217</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46217</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46217</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46217</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46217</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46217</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46217</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46217</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46217</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49530-2023</t>
        </is>
      </c>
      <c r="B55" t="inlineStr">
        <is>
          <t>avverkningsanmälan</t>
        </is>
      </c>
      <c r="C55" t="inlineStr">
        <is>
          <t>Föryngringsavverkning</t>
        </is>
      </c>
      <c r="D55" s="1" t="n">
        <v>45205</v>
      </c>
      <c r="E55" s="1" t="n">
        <v>46217</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s="2" t="inlineStr"/>
    </row>
    <row r="56" ht="15" customHeight="1">
      <c r="A56" t="inlineStr">
        <is>
          <t>A 52989-2023</t>
        </is>
      </c>
      <c r="B56" t="inlineStr">
        <is>
          <t>avverkningsanmälan</t>
        </is>
      </c>
      <c r="C56" t="inlineStr">
        <is>
          <t>Föryngringsavverkning</t>
        </is>
      </c>
      <c r="D56" s="1" t="n">
        <v>45226</v>
      </c>
      <c r="E56" s="1" t="n">
        <v>46217</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s="2" t="inlineStr"/>
    </row>
    <row r="57" ht="15" customHeight="1">
      <c r="A57" t="inlineStr">
        <is>
          <t>A 3078-2023</t>
        </is>
      </c>
      <c r="B57" t="inlineStr">
        <is>
          <t>avverkningsanmälan</t>
        </is>
      </c>
      <c r="C57" t="inlineStr">
        <is>
          <t>Föryngringsavverkning</t>
        </is>
      </c>
      <c r="D57" s="1" t="n">
        <v>44946</v>
      </c>
      <c r="E57" s="1" t="n">
        <v>46217</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s="2" t="inlineStr"/>
    </row>
    <row r="58" ht="15" customHeight="1">
      <c r="A58" t="inlineStr">
        <is>
          <t>A 60795-2023</t>
        </is>
      </c>
      <c r="B58" t="inlineStr">
        <is>
          <t>avverkningsanmälan</t>
        </is>
      </c>
      <c r="C58" t="inlineStr">
        <is>
          <t>Avverkning för annat ändamål</t>
        </is>
      </c>
      <c r="D58" s="1" t="n">
        <v>45260</v>
      </c>
      <c r="E58" s="1" t="n">
        <v>46217</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s="2" t="inlineStr"/>
    </row>
    <row r="59" ht="15" customHeight="1">
      <c r="A59" t="inlineStr">
        <is>
          <t>A 14480-2024</t>
        </is>
      </c>
      <c r="B59" t="inlineStr">
        <is>
          <t>avverkningsanmälan</t>
        </is>
      </c>
      <c r="C59" t="inlineStr">
        <is>
          <t>Föryngringsavverkning</t>
        </is>
      </c>
      <c r="D59" s="1" t="n">
        <v>45394</v>
      </c>
      <c r="E59" s="1" t="n">
        <v>46217</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s="2" t="inlineStr"/>
    </row>
    <row r="60" ht="15" customHeight="1">
      <c r="A60" t="inlineStr">
        <is>
          <t>A 3937-2022</t>
        </is>
      </c>
      <c r="B60" t="inlineStr">
        <is>
          <t>avverkningsanmälan</t>
        </is>
      </c>
      <c r="C60" t="inlineStr">
        <is>
          <t>Föryngringsavverkning</t>
        </is>
      </c>
      <c r="D60" s="1" t="n">
        <v>44587</v>
      </c>
      <c r="E60" s="1" t="n">
        <v>46217</v>
      </c>
      <c r="F60" t="inlineStr">
        <is>
          <t>STOCKHOLMS LÄN</t>
        </is>
      </c>
      <c r="G60" t="inlineStr">
        <is>
          <t>VALLENTUNA</t>
        </is>
      </c>
      <c r="I60" t="n">
        <v>6.6</v>
      </c>
      <c r="J60" t="n">
        <v>0</v>
      </c>
      <c r="K60" t="n">
        <v>0</v>
      </c>
      <c r="L60" t="n">
        <v>0</v>
      </c>
      <c r="M60" t="n">
        <v>0</v>
      </c>
      <c r="N60" t="n">
        <v>0</v>
      </c>
      <c r="O60" t="n">
        <v>0</v>
      </c>
      <c r="P60" t="n">
        <v>0</v>
      </c>
      <c r="Q60" t="n">
        <v>0</v>
      </c>
      <c r="R60" t="n">
        <v>0</v>
      </c>
      <c r="S60" t="n">
        <v>0</v>
      </c>
      <c r="T60" t="n">
        <v>0</v>
      </c>
      <c r="U60" s="2" t="inlineStr"/>
    </row>
    <row r="61" ht="15" customHeight="1">
      <c r="A61" t="inlineStr">
        <is>
          <t>A 48068-2021</t>
        </is>
      </c>
      <c r="B61" t="inlineStr">
        <is>
          <t>avverkningsanmälan</t>
        </is>
      </c>
      <c r="C61" t="inlineStr">
        <is>
          <t>Föryngringsavverkning</t>
        </is>
      </c>
      <c r="D61" s="1" t="n">
        <v>44449</v>
      </c>
      <c r="E61" s="1" t="n">
        <v>46217</v>
      </c>
      <c r="F61" t="inlineStr">
        <is>
          <t>STOCKHOLMS LÄN</t>
        </is>
      </c>
      <c r="G61" t="inlineStr">
        <is>
          <t>VALLENTUNA</t>
        </is>
      </c>
      <c r="I61" t="n">
        <v>1.3</v>
      </c>
      <c r="J61" t="n">
        <v>0</v>
      </c>
      <c r="K61" t="n">
        <v>0</v>
      </c>
      <c r="L61" t="n">
        <v>0</v>
      </c>
      <c r="M61" t="n">
        <v>0</v>
      </c>
      <c r="N61" t="n">
        <v>0</v>
      </c>
      <c r="O61" t="n">
        <v>0</v>
      </c>
      <c r="P61" t="n">
        <v>0</v>
      </c>
      <c r="Q61" t="n">
        <v>0</v>
      </c>
      <c r="R61" t="n">
        <v>0</v>
      </c>
      <c r="S61" t="n">
        <v>0</v>
      </c>
      <c r="T61" t="n">
        <v>0</v>
      </c>
      <c r="U61" s="2" t="inlineStr"/>
    </row>
    <row r="62" ht="15" customHeight="1">
      <c r="A62" t="inlineStr">
        <is>
          <t>A 60818-2023</t>
        </is>
      </c>
      <c r="B62" t="inlineStr">
        <is>
          <t>avverkningsanmälan</t>
        </is>
      </c>
      <c r="C62" t="inlineStr">
        <is>
          <t>Föryngringsavverkning</t>
        </is>
      </c>
      <c r="D62" s="1" t="n">
        <v>45259</v>
      </c>
      <c r="E62" s="1" t="n">
        <v>46217</v>
      </c>
      <c r="F62" t="inlineStr">
        <is>
          <t>STOCKHOLMS LÄN</t>
        </is>
      </c>
      <c r="G62" t="inlineStr">
        <is>
          <t>VALLENTUNA</t>
        </is>
      </c>
      <c r="I62" t="n">
        <v>9.4</v>
      </c>
      <c r="J62" t="n">
        <v>0</v>
      </c>
      <c r="K62" t="n">
        <v>0</v>
      </c>
      <c r="L62" t="n">
        <v>0</v>
      </c>
      <c r="M62" t="n">
        <v>0</v>
      </c>
      <c r="N62" t="n">
        <v>0</v>
      </c>
      <c r="O62" t="n">
        <v>0</v>
      </c>
      <c r="P62" t="n">
        <v>0</v>
      </c>
      <c r="Q62" t="n">
        <v>0</v>
      </c>
      <c r="R62" t="n">
        <v>0</v>
      </c>
      <c r="S62" t="n">
        <v>0</v>
      </c>
      <c r="T62" t="n">
        <v>0</v>
      </c>
      <c r="U62" s="2" t="inlineStr"/>
    </row>
    <row r="63" ht="15" customHeight="1">
      <c r="A63" t="inlineStr">
        <is>
          <t>A 7264-2022</t>
        </is>
      </c>
      <c r="B63" t="inlineStr">
        <is>
          <t>avverkningsanmälan</t>
        </is>
      </c>
      <c r="C63" t="inlineStr">
        <is>
          <t>Föryngringsavverkning</t>
        </is>
      </c>
      <c r="D63" s="1" t="n">
        <v>44606</v>
      </c>
      <c r="E63" s="1" t="n">
        <v>46217</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s="2" t="inlineStr"/>
    </row>
    <row r="64" ht="15" customHeight="1">
      <c r="A64" t="inlineStr">
        <is>
          <t>A 19356-2025</t>
        </is>
      </c>
      <c r="B64" t="inlineStr">
        <is>
          <t>avverkningsanmälan</t>
        </is>
      </c>
      <c r="C64" t="inlineStr">
        <is>
          <t>Föryngringsavverkning</t>
        </is>
      </c>
      <c r="D64" s="1" t="n">
        <v>45769</v>
      </c>
      <c r="E64" s="1" t="n">
        <v>46217</v>
      </c>
      <c r="F64" t="inlineStr">
        <is>
          <t>STOCKHOLMS LÄN</t>
        </is>
      </c>
      <c r="G64" t="inlineStr">
        <is>
          <t>VALLENTUNA</t>
        </is>
      </c>
      <c r="H64" t="inlineStr">
        <is>
          <t>Övriga Aktiebolag</t>
        </is>
      </c>
      <c r="I64" t="n">
        <v>1.6</v>
      </c>
      <c r="J64" t="n">
        <v>0</v>
      </c>
      <c r="K64" t="n">
        <v>0</v>
      </c>
      <c r="L64" t="n">
        <v>0</v>
      </c>
      <c r="M64" t="n">
        <v>0</v>
      </c>
      <c r="N64" t="n">
        <v>0</v>
      </c>
      <c r="O64" t="n">
        <v>0</v>
      </c>
      <c r="P64" t="n">
        <v>0</v>
      </c>
      <c r="Q64" t="n">
        <v>0</v>
      </c>
      <c r="R64" t="n">
        <v>0</v>
      </c>
      <c r="S64" t="n">
        <v>0</v>
      </c>
      <c r="T64" t="n">
        <v>0</v>
      </c>
      <c r="U64" s="2" t="inlineStr"/>
    </row>
    <row r="65" ht="15" customHeight="1">
      <c r="A65" t="inlineStr">
        <is>
          <t>A 12562-2023</t>
        </is>
      </c>
      <c r="B65" t="inlineStr">
        <is>
          <t>avverkningsanmälan</t>
        </is>
      </c>
      <c r="C65" t="inlineStr">
        <is>
          <t>Föryngringsavverkning</t>
        </is>
      </c>
      <c r="D65" s="1" t="n">
        <v>45000</v>
      </c>
      <c r="E65" s="1" t="n">
        <v>46217</v>
      </c>
      <c r="F65" t="inlineStr">
        <is>
          <t>STOCKHOLMS LÄN</t>
        </is>
      </c>
      <c r="G65" t="inlineStr">
        <is>
          <t>VALLENTUNA</t>
        </is>
      </c>
      <c r="I65" t="n">
        <v>2.1</v>
      </c>
      <c r="J65" t="n">
        <v>0</v>
      </c>
      <c r="K65" t="n">
        <v>0</v>
      </c>
      <c r="L65" t="n">
        <v>0</v>
      </c>
      <c r="M65" t="n">
        <v>0</v>
      </c>
      <c r="N65" t="n">
        <v>0</v>
      </c>
      <c r="O65" t="n">
        <v>0</v>
      </c>
      <c r="P65" t="n">
        <v>0</v>
      </c>
      <c r="Q65" t="n">
        <v>0</v>
      </c>
      <c r="R65" t="n">
        <v>0</v>
      </c>
      <c r="S65" t="n">
        <v>0</v>
      </c>
      <c r="T65" t="n">
        <v>0</v>
      </c>
      <c r="U65" s="2" t="inlineStr"/>
    </row>
    <row r="66" ht="15" customHeight="1">
      <c r="A66" t="inlineStr">
        <is>
          <t>A 4804-2024</t>
        </is>
      </c>
      <c r="B66" t="inlineStr">
        <is>
          <t>avverkningsanmälan</t>
        </is>
      </c>
      <c r="C66" t="inlineStr">
        <is>
          <t>Avverkning för annat ändamål</t>
        </is>
      </c>
      <c r="D66" s="1" t="n">
        <v>45328</v>
      </c>
      <c r="E66" s="1" t="n">
        <v>46217</v>
      </c>
      <c r="F66" t="inlineStr">
        <is>
          <t>STOCKHOLMS LÄN</t>
        </is>
      </c>
      <c r="G66" t="inlineStr">
        <is>
          <t>VALLENTUNA</t>
        </is>
      </c>
      <c r="I66" t="n">
        <v>3</v>
      </c>
      <c r="J66" t="n">
        <v>0</v>
      </c>
      <c r="K66" t="n">
        <v>0</v>
      </c>
      <c r="L66" t="n">
        <v>0</v>
      </c>
      <c r="M66" t="n">
        <v>0</v>
      </c>
      <c r="N66" t="n">
        <v>0</v>
      </c>
      <c r="O66" t="n">
        <v>0</v>
      </c>
      <c r="P66" t="n">
        <v>0</v>
      </c>
      <c r="Q66" t="n">
        <v>0</v>
      </c>
      <c r="R66" t="n">
        <v>0</v>
      </c>
      <c r="S66" t="n">
        <v>0</v>
      </c>
      <c r="T66" t="n">
        <v>0</v>
      </c>
      <c r="U66" s="2" t="inlineStr"/>
    </row>
    <row r="67" ht="15" customHeight="1">
      <c r="A67" t="inlineStr">
        <is>
          <t>A 25740-2026</t>
        </is>
      </c>
      <c r="B67" t="inlineStr">
        <is>
          <t>avverkningsanmälan</t>
        </is>
      </c>
      <c r="C67" t="inlineStr">
        <is>
          <t>Föryngringsavverkning</t>
        </is>
      </c>
      <c r="D67" s="1" t="n">
        <v>46178</v>
      </c>
      <c r="E67" s="1" t="n">
        <v>46217</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s="2" t="inlineStr"/>
    </row>
    <row r="68" ht="15" customHeight="1">
      <c r="A68" t="inlineStr">
        <is>
          <t>A 44346-2021</t>
        </is>
      </c>
      <c r="B68" t="inlineStr">
        <is>
          <t>avverkningsanmälan</t>
        </is>
      </c>
      <c r="C68" t="inlineStr">
        <is>
          <t>Föryngringsavverkning</t>
        </is>
      </c>
      <c r="D68" s="1" t="n">
        <v>44434</v>
      </c>
      <c r="E68" s="1" t="n">
        <v>46217</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s="2" t="inlineStr"/>
    </row>
    <row r="69" ht="15" customHeight="1">
      <c r="A69" t="inlineStr">
        <is>
          <t>A 25752-2026</t>
        </is>
      </c>
      <c r="B69" t="inlineStr">
        <is>
          <t>avverkningsanmälan</t>
        </is>
      </c>
      <c r="C69" t="inlineStr">
        <is>
          <t>Föryngringsavverkning</t>
        </is>
      </c>
      <c r="D69" s="1" t="n">
        <v>46178</v>
      </c>
      <c r="E69" s="1" t="n">
        <v>46217</v>
      </c>
      <c r="F69" t="inlineStr">
        <is>
          <t>STOCKHOLMS LÄN</t>
        </is>
      </c>
      <c r="G69" t="inlineStr">
        <is>
          <t>VALLENTUNA</t>
        </is>
      </c>
      <c r="I69" t="n">
        <v>2.6</v>
      </c>
      <c r="J69" t="n">
        <v>0</v>
      </c>
      <c r="K69" t="n">
        <v>0</v>
      </c>
      <c r="L69" t="n">
        <v>0</v>
      </c>
      <c r="M69" t="n">
        <v>0</v>
      </c>
      <c r="N69" t="n">
        <v>0</v>
      </c>
      <c r="O69" t="n">
        <v>0</v>
      </c>
      <c r="P69" t="n">
        <v>0</v>
      </c>
      <c r="Q69" t="n">
        <v>0</v>
      </c>
      <c r="R69" t="n">
        <v>0</v>
      </c>
      <c r="S69" t="n">
        <v>0</v>
      </c>
      <c r="T69" t="n">
        <v>0</v>
      </c>
      <c r="U69" s="2" t="inlineStr"/>
    </row>
    <row r="70" ht="15" customHeight="1">
      <c r="A70" t="inlineStr">
        <is>
          <t>A 61442-2024</t>
        </is>
      </c>
      <c r="B70" t="inlineStr">
        <is>
          <t>avverkningsanmälan</t>
        </is>
      </c>
      <c r="C70" t="inlineStr">
        <is>
          <t>Föryngringsavverkning</t>
        </is>
      </c>
      <c r="D70" s="1" t="n">
        <v>45646</v>
      </c>
      <c r="E70" s="1" t="n">
        <v>46217</v>
      </c>
      <c r="F70" t="inlineStr">
        <is>
          <t>STOCKHOLMS LÄN</t>
        </is>
      </c>
      <c r="G70" t="inlineStr">
        <is>
          <t>VALLENTUNA</t>
        </is>
      </c>
      <c r="I70" t="n">
        <v>4.6</v>
      </c>
      <c r="J70" t="n">
        <v>0</v>
      </c>
      <c r="K70" t="n">
        <v>0</v>
      </c>
      <c r="L70" t="n">
        <v>0</v>
      </c>
      <c r="M70" t="n">
        <v>0</v>
      </c>
      <c r="N70" t="n">
        <v>0</v>
      </c>
      <c r="O70" t="n">
        <v>0</v>
      </c>
      <c r="P70" t="n">
        <v>0</v>
      </c>
      <c r="Q70" t="n">
        <v>0</v>
      </c>
      <c r="R70" t="n">
        <v>0</v>
      </c>
      <c r="S70" t="n">
        <v>0</v>
      </c>
      <c r="T70" t="n">
        <v>0</v>
      </c>
      <c r="U70" s="2" t="inlineStr"/>
    </row>
    <row r="71" ht="15" customHeight="1">
      <c r="A71" t="inlineStr">
        <is>
          <t>A 48014-2025</t>
        </is>
      </c>
      <c r="B71" t="inlineStr">
        <is>
          <t>avverkningsanmälan</t>
        </is>
      </c>
      <c r="C71" t="inlineStr">
        <is>
          <t>Föryngringsavverkning</t>
        </is>
      </c>
      <c r="D71" s="1" t="n">
        <v>45932</v>
      </c>
      <c r="E71" s="1" t="n">
        <v>46217</v>
      </c>
      <c r="F71" t="inlineStr">
        <is>
          <t>STOCKHOLMS LÄN</t>
        </is>
      </c>
      <c r="G71" t="inlineStr">
        <is>
          <t>VALLENTUNA</t>
        </is>
      </c>
      <c r="I71" t="n">
        <v>0.6</v>
      </c>
      <c r="J71" t="n">
        <v>0</v>
      </c>
      <c r="K71" t="n">
        <v>0</v>
      </c>
      <c r="L71" t="n">
        <v>0</v>
      </c>
      <c r="M71" t="n">
        <v>0</v>
      </c>
      <c r="N71" t="n">
        <v>0</v>
      </c>
      <c r="O71" t="n">
        <v>0</v>
      </c>
      <c r="P71" t="n">
        <v>0</v>
      </c>
      <c r="Q71" t="n">
        <v>0</v>
      </c>
      <c r="R71" t="n">
        <v>0</v>
      </c>
      <c r="S71" t="n">
        <v>0</v>
      </c>
      <c r="T71" t="n">
        <v>0</v>
      </c>
      <c r="U71" s="2" t="inlineStr"/>
    </row>
    <row r="72" ht="15" customHeight="1">
      <c r="A72" t="inlineStr">
        <is>
          <t>A 48038-2025</t>
        </is>
      </c>
      <c r="B72" t="inlineStr">
        <is>
          <t>avverkningsanmälan</t>
        </is>
      </c>
      <c r="C72" t="inlineStr">
        <is>
          <t>Föryngringsavverkning</t>
        </is>
      </c>
      <c r="D72" s="1" t="n">
        <v>45932</v>
      </c>
      <c r="E72" s="1" t="n">
        <v>46217</v>
      </c>
      <c r="F72" t="inlineStr">
        <is>
          <t>STOCKHOLMS LÄN</t>
        </is>
      </c>
      <c r="G72" t="inlineStr">
        <is>
          <t>VALLENTUNA</t>
        </is>
      </c>
      <c r="I72" t="n">
        <v>0.5</v>
      </c>
      <c r="J72" t="n">
        <v>0</v>
      </c>
      <c r="K72" t="n">
        <v>0</v>
      </c>
      <c r="L72" t="n">
        <v>0</v>
      </c>
      <c r="M72" t="n">
        <v>0</v>
      </c>
      <c r="N72" t="n">
        <v>0</v>
      </c>
      <c r="O72" t="n">
        <v>0</v>
      </c>
      <c r="P72" t="n">
        <v>0</v>
      </c>
      <c r="Q72" t="n">
        <v>0</v>
      </c>
      <c r="R72" t="n">
        <v>0</v>
      </c>
      <c r="S72" t="n">
        <v>0</v>
      </c>
      <c r="T72" t="n">
        <v>0</v>
      </c>
      <c r="U72" s="2" t="inlineStr"/>
    </row>
    <row r="73" ht="15" customHeight="1">
      <c r="A73" t="inlineStr">
        <is>
          <t>A 19503-2023</t>
        </is>
      </c>
      <c r="B73" t="inlineStr">
        <is>
          <t>avverkningsanmälan</t>
        </is>
      </c>
      <c r="C73" t="inlineStr">
        <is>
          <t>Föryngringsavverkning</t>
        </is>
      </c>
      <c r="D73" s="1" t="n">
        <v>45050</v>
      </c>
      <c r="E73" s="1" t="n">
        <v>46217</v>
      </c>
      <c r="F73" t="inlineStr">
        <is>
          <t>STOCKHOLMS LÄN</t>
        </is>
      </c>
      <c r="G73" t="inlineStr">
        <is>
          <t>VALLENTUNA</t>
        </is>
      </c>
      <c r="I73" t="n">
        <v>0.7</v>
      </c>
      <c r="J73" t="n">
        <v>0</v>
      </c>
      <c r="K73" t="n">
        <v>0</v>
      </c>
      <c r="L73" t="n">
        <v>0</v>
      </c>
      <c r="M73" t="n">
        <v>0</v>
      </c>
      <c r="N73" t="n">
        <v>0</v>
      </c>
      <c r="O73" t="n">
        <v>0</v>
      </c>
      <c r="P73" t="n">
        <v>0</v>
      </c>
      <c r="Q73" t="n">
        <v>0</v>
      </c>
      <c r="R73" t="n">
        <v>0</v>
      </c>
      <c r="S73" t="n">
        <v>0</v>
      </c>
      <c r="T73" t="n">
        <v>0</v>
      </c>
      <c r="U73" s="2" t="inlineStr"/>
    </row>
    <row r="74" ht="15" customHeight="1">
      <c r="A74" t="inlineStr">
        <is>
          <t>A 21445-2023</t>
        </is>
      </c>
      <c r="B74" t="inlineStr">
        <is>
          <t>avverkningsanmälan</t>
        </is>
      </c>
      <c r="C74" t="inlineStr">
        <is>
          <t>Föryngringsavverkning</t>
        </is>
      </c>
      <c r="D74" s="1" t="n">
        <v>45063</v>
      </c>
      <c r="E74" s="1" t="n">
        <v>46217</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s="2" t="inlineStr"/>
    </row>
    <row r="75" ht="15" customHeight="1">
      <c r="A75" t="inlineStr">
        <is>
          <t>A 22683-2023</t>
        </is>
      </c>
      <c r="B75" t="inlineStr">
        <is>
          <t>avverkningsanmälan</t>
        </is>
      </c>
      <c r="C75" t="inlineStr">
        <is>
          <t>Föryngringsavverkning</t>
        </is>
      </c>
      <c r="D75" s="1" t="n">
        <v>45071</v>
      </c>
      <c r="E75" s="1" t="n">
        <v>46217</v>
      </c>
      <c r="F75" t="inlineStr">
        <is>
          <t>STOCKHOLMS LÄN</t>
        </is>
      </c>
      <c r="G75" t="inlineStr">
        <is>
          <t>VALLENTUNA</t>
        </is>
      </c>
      <c r="I75" t="n">
        <v>1.2</v>
      </c>
      <c r="J75" t="n">
        <v>0</v>
      </c>
      <c r="K75" t="n">
        <v>0</v>
      </c>
      <c r="L75" t="n">
        <v>0</v>
      </c>
      <c r="M75" t="n">
        <v>0</v>
      </c>
      <c r="N75" t="n">
        <v>0</v>
      </c>
      <c r="O75" t="n">
        <v>0</v>
      </c>
      <c r="P75" t="n">
        <v>0</v>
      </c>
      <c r="Q75" t="n">
        <v>0</v>
      </c>
      <c r="R75" t="n">
        <v>0</v>
      </c>
      <c r="S75" t="n">
        <v>0</v>
      </c>
      <c r="T75" t="n">
        <v>0</v>
      </c>
      <c r="U75" s="2" t="inlineStr"/>
    </row>
    <row r="76" ht="15" customHeight="1">
      <c r="A76" t="inlineStr">
        <is>
          <t>A 24943-2024</t>
        </is>
      </c>
      <c r="B76" t="inlineStr">
        <is>
          <t>avverkningsanmälan</t>
        </is>
      </c>
      <c r="C76" t="inlineStr">
        <is>
          <t>Föryngringsavverkning</t>
        </is>
      </c>
      <c r="D76" s="1" t="n">
        <v>45461</v>
      </c>
      <c r="E76" s="1" t="n">
        <v>46217</v>
      </c>
      <c r="F76" t="inlineStr">
        <is>
          <t>STOCKHOLMS LÄN</t>
        </is>
      </c>
      <c r="G76" t="inlineStr">
        <is>
          <t>VALLENTUNA</t>
        </is>
      </c>
      <c r="I76" t="n">
        <v>2</v>
      </c>
      <c r="J76" t="n">
        <v>0</v>
      </c>
      <c r="K76" t="n">
        <v>0</v>
      </c>
      <c r="L76" t="n">
        <v>0</v>
      </c>
      <c r="M76" t="n">
        <v>0</v>
      </c>
      <c r="N76" t="n">
        <v>0</v>
      </c>
      <c r="O76" t="n">
        <v>0</v>
      </c>
      <c r="P76" t="n">
        <v>0</v>
      </c>
      <c r="Q76" t="n">
        <v>0</v>
      </c>
      <c r="R76" t="n">
        <v>0</v>
      </c>
      <c r="S76" t="n">
        <v>0</v>
      </c>
      <c r="T76" t="n">
        <v>0</v>
      </c>
      <c r="U76" s="2" t="inlineStr"/>
    </row>
    <row r="77" ht="15" customHeight="1">
      <c r="A77" t="inlineStr">
        <is>
          <t>A 5910-2022</t>
        </is>
      </c>
      <c r="B77" t="inlineStr">
        <is>
          <t>avverkningsanmälan</t>
        </is>
      </c>
      <c r="C77" t="inlineStr">
        <is>
          <t>Föryngringsavverkning</t>
        </is>
      </c>
      <c r="D77" s="1" t="n">
        <v>44597</v>
      </c>
      <c r="E77" s="1" t="n">
        <v>46217</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s="2" t="inlineStr"/>
    </row>
    <row r="78" ht="15" customHeight="1">
      <c r="A78" t="inlineStr">
        <is>
          <t>A 26390-2023</t>
        </is>
      </c>
      <c r="B78" t="inlineStr">
        <is>
          <t>avverkningsanmälan</t>
        </is>
      </c>
      <c r="C78" t="inlineStr">
        <is>
          <t>Föryngringsavverkning</t>
        </is>
      </c>
      <c r="D78" s="1" t="n">
        <v>45086</v>
      </c>
      <c r="E78" s="1" t="n">
        <v>46217</v>
      </c>
      <c r="F78" t="inlineStr">
        <is>
          <t>STOCKHOLMS LÄN</t>
        </is>
      </c>
      <c r="G78" t="inlineStr">
        <is>
          <t>VALLENTUNA</t>
        </is>
      </c>
      <c r="I78" t="n">
        <v>1.6</v>
      </c>
      <c r="J78" t="n">
        <v>0</v>
      </c>
      <c r="K78" t="n">
        <v>0</v>
      </c>
      <c r="L78" t="n">
        <v>0</v>
      </c>
      <c r="M78" t="n">
        <v>0</v>
      </c>
      <c r="N78" t="n">
        <v>0</v>
      </c>
      <c r="O78" t="n">
        <v>0</v>
      </c>
      <c r="P78" t="n">
        <v>0</v>
      </c>
      <c r="Q78" t="n">
        <v>0</v>
      </c>
      <c r="R78" t="n">
        <v>0</v>
      </c>
      <c r="S78" t="n">
        <v>0</v>
      </c>
      <c r="T78" t="n">
        <v>0</v>
      </c>
      <c r="U78" s="2" t="inlineStr"/>
    </row>
    <row r="79" ht="15" customHeight="1">
      <c r="A79" t="inlineStr">
        <is>
          <t>A 61646-2025</t>
        </is>
      </c>
      <c r="B79" t="inlineStr">
        <is>
          <t>avverkningsanmälan</t>
        </is>
      </c>
      <c r="C79" t="inlineStr">
        <is>
          <t>Föryngringsavverkning</t>
        </is>
      </c>
      <c r="D79" s="1" t="n">
        <v>46002</v>
      </c>
      <c r="E79" s="1" t="n">
        <v>46217</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s="2" t="inlineStr"/>
    </row>
    <row r="80" ht="15" customHeight="1">
      <c r="A80" t="inlineStr">
        <is>
          <t>A 24707-2023</t>
        </is>
      </c>
      <c r="B80" t="inlineStr">
        <is>
          <t>avverkningsanmälan</t>
        </is>
      </c>
      <c r="C80" t="inlineStr">
        <is>
          <t>Föryngringsavverkning</t>
        </is>
      </c>
      <c r="D80" s="1" t="n">
        <v>45084</v>
      </c>
      <c r="E80" s="1" t="n">
        <v>46217</v>
      </c>
      <c r="F80" t="inlineStr">
        <is>
          <t>STOCKHOLMS LÄN</t>
        </is>
      </c>
      <c r="G80" t="inlineStr">
        <is>
          <t>VALLENTUNA</t>
        </is>
      </c>
      <c r="I80" t="n">
        <v>1.1</v>
      </c>
      <c r="J80" t="n">
        <v>0</v>
      </c>
      <c r="K80" t="n">
        <v>0</v>
      </c>
      <c r="L80" t="n">
        <v>0</v>
      </c>
      <c r="M80" t="n">
        <v>0</v>
      </c>
      <c r="N80" t="n">
        <v>0</v>
      </c>
      <c r="O80" t="n">
        <v>0</v>
      </c>
      <c r="P80" t="n">
        <v>0</v>
      </c>
      <c r="Q80" t="n">
        <v>0</v>
      </c>
      <c r="R80" t="n">
        <v>0</v>
      </c>
      <c r="S80" t="n">
        <v>0</v>
      </c>
      <c r="T80" t="n">
        <v>0</v>
      </c>
      <c r="U80" s="2" t="inlineStr"/>
    </row>
    <row r="81" ht="15" customHeight="1">
      <c r="A81" t="inlineStr">
        <is>
          <t>A 12609-2024</t>
        </is>
      </c>
      <c r="B81" t="inlineStr">
        <is>
          <t>avverkningsanmälan</t>
        </is>
      </c>
      <c r="C81" t="inlineStr">
        <is>
          <t>Avverkning för annat ändamål</t>
        </is>
      </c>
      <c r="D81" s="1" t="n">
        <v>45382</v>
      </c>
      <c r="E81" s="1" t="n">
        <v>46217</v>
      </c>
      <c r="F81" t="inlineStr">
        <is>
          <t>STOCKHOLMS LÄN</t>
        </is>
      </c>
      <c r="G81" t="inlineStr">
        <is>
          <t>VALLENTUNA</t>
        </is>
      </c>
      <c r="I81" t="n">
        <v>0.9</v>
      </c>
      <c r="J81" t="n">
        <v>0</v>
      </c>
      <c r="K81" t="n">
        <v>0</v>
      </c>
      <c r="L81" t="n">
        <v>0</v>
      </c>
      <c r="M81" t="n">
        <v>0</v>
      </c>
      <c r="N81" t="n">
        <v>0</v>
      </c>
      <c r="O81" t="n">
        <v>0</v>
      </c>
      <c r="P81" t="n">
        <v>0</v>
      </c>
      <c r="Q81" t="n">
        <v>0</v>
      </c>
      <c r="R81" t="n">
        <v>0</v>
      </c>
      <c r="S81" t="n">
        <v>0</v>
      </c>
      <c r="T81" t="n">
        <v>0</v>
      </c>
      <c r="U81" s="2" t="inlineStr"/>
    </row>
    <row r="82" ht="15" customHeight="1">
      <c r="A82" t="inlineStr">
        <is>
          <t>A 47140-2024</t>
        </is>
      </c>
      <c r="B82" t="inlineStr">
        <is>
          <t>avverkningsanmälan</t>
        </is>
      </c>
      <c r="C82" t="inlineStr">
        <is>
          <t>Föryngringsavverkning</t>
        </is>
      </c>
      <c r="D82" s="1" t="n">
        <v>45586</v>
      </c>
      <c r="E82" s="1" t="n">
        <v>46217</v>
      </c>
      <c r="F82" t="inlineStr">
        <is>
          <t>STOCKHOLMS LÄN</t>
        </is>
      </c>
      <c r="G82" t="inlineStr">
        <is>
          <t>VALLENTUNA</t>
        </is>
      </c>
      <c r="I82" t="n">
        <v>1</v>
      </c>
      <c r="J82" t="n">
        <v>0</v>
      </c>
      <c r="K82" t="n">
        <v>0</v>
      </c>
      <c r="L82" t="n">
        <v>0</v>
      </c>
      <c r="M82" t="n">
        <v>0</v>
      </c>
      <c r="N82" t="n">
        <v>0</v>
      </c>
      <c r="O82" t="n">
        <v>0</v>
      </c>
      <c r="P82" t="n">
        <v>0</v>
      </c>
      <c r="Q82" t="n">
        <v>0</v>
      </c>
      <c r="R82" t="n">
        <v>0</v>
      </c>
      <c r="S82" t="n">
        <v>0</v>
      </c>
      <c r="T82" t="n">
        <v>0</v>
      </c>
      <c r="U82" s="2" t="inlineStr"/>
    </row>
    <row r="83" ht="15" customHeight="1">
      <c r="A83" t="inlineStr">
        <is>
          <t>A 414-2026</t>
        </is>
      </c>
      <c r="B83" t="inlineStr">
        <is>
          <t>avverkningsanmälan</t>
        </is>
      </c>
      <c r="C83" t="inlineStr">
        <is>
          <t>Föryngringsavverkning</t>
        </is>
      </c>
      <c r="D83" s="1" t="n">
        <v>46028</v>
      </c>
      <c r="E83" s="1" t="n">
        <v>46217</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s="2" t="inlineStr"/>
    </row>
    <row r="84" ht="15" customHeight="1">
      <c r="A84" t="inlineStr">
        <is>
          <t>A 9063-2024</t>
        </is>
      </c>
      <c r="B84" t="inlineStr">
        <is>
          <t>avverkningsanmälan</t>
        </is>
      </c>
      <c r="C84" t="inlineStr">
        <is>
          <t>Föryngringsavverkning</t>
        </is>
      </c>
      <c r="D84" s="1" t="n">
        <v>45357</v>
      </c>
      <c r="E84" s="1" t="n">
        <v>46217</v>
      </c>
      <c r="F84" t="inlineStr">
        <is>
          <t>STOCKHOLMS LÄN</t>
        </is>
      </c>
      <c r="G84" t="inlineStr">
        <is>
          <t>VALLENTUNA</t>
        </is>
      </c>
      <c r="I84" t="n">
        <v>4.1</v>
      </c>
      <c r="J84" t="n">
        <v>0</v>
      </c>
      <c r="K84" t="n">
        <v>0</v>
      </c>
      <c r="L84" t="n">
        <v>0</v>
      </c>
      <c r="M84" t="n">
        <v>0</v>
      </c>
      <c r="N84" t="n">
        <v>0</v>
      </c>
      <c r="O84" t="n">
        <v>0</v>
      </c>
      <c r="P84" t="n">
        <v>0</v>
      </c>
      <c r="Q84" t="n">
        <v>0</v>
      </c>
      <c r="R84" t="n">
        <v>0</v>
      </c>
      <c r="S84" t="n">
        <v>0</v>
      </c>
      <c r="T84" t="n">
        <v>0</v>
      </c>
      <c r="U84" s="2" t="inlineStr"/>
    </row>
    <row r="85" ht="15" customHeight="1">
      <c r="A85" t="inlineStr">
        <is>
          <t>A 4803-2024</t>
        </is>
      </c>
      <c r="B85" t="inlineStr">
        <is>
          <t>avverkningsanmälan</t>
        </is>
      </c>
      <c r="C85" t="inlineStr">
        <is>
          <t>Avverkning för annat ändamål</t>
        </is>
      </c>
      <c r="D85" s="1" t="n">
        <v>45328</v>
      </c>
      <c r="E85" s="1" t="n">
        <v>46217</v>
      </c>
      <c r="F85" t="inlineStr">
        <is>
          <t>STOCKHOLMS LÄN</t>
        </is>
      </c>
      <c r="G85" t="inlineStr">
        <is>
          <t>VALLENTUNA</t>
        </is>
      </c>
      <c r="I85" t="n">
        <v>4.6</v>
      </c>
      <c r="J85" t="n">
        <v>0</v>
      </c>
      <c r="K85" t="n">
        <v>0</v>
      </c>
      <c r="L85" t="n">
        <v>0</v>
      </c>
      <c r="M85" t="n">
        <v>0</v>
      </c>
      <c r="N85" t="n">
        <v>0</v>
      </c>
      <c r="O85" t="n">
        <v>0</v>
      </c>
      <c r="P85" t="n">
        <v>0</v>
      </c>
      <c r="Q85" t="n">
        <v>0</v>
      </c>
      <c r="R85" t="n">
        <v>0</v>
      </c>
      <c r="S85" t="n">
        <v>0</v>
      </c>
      <c r="T85" t="n">
        <v>0</v>
      </c>
      <c r="U85" s="2" t="inlineStr"/>
    </row>
    <row r="86" ht="15" customHeight="1">
      <c r="A86" t="inlineStr">
        <is>
          <t>A 52542-2023</t>
        </is>
      </c>
      <c r="B86" t="inlineStr">
        <is>
          <t>avverkningsanmälan</t>
        </is>
      </c>
      <c r="C86" t="inlineStr">
        <is>
          <t>Föryngringsavverkning</t>
        </is>
      </c>
      <c r="D86" s="1" t="n">
        <v>45225</v>
      </c>
      <c r="E86" s="1" t="n">
        <v>46217</v>
      </c>
      <c r="F86" t="inlineStr">
        <is>
          <t>STOCKHOLMS LÄN</t>
        </is>
      </c>
      <c r="G86" t="inlineStr">
        <is>
          <t>VALLENTUNA</t>
        </is>
      </c>
      <c r="I86" t="n">
        <v>3.8</v>
      </c>
      <c r="J86" t="n">
        <v>0</v>
      </c>
      <c r="K86" t="n">
        <v>0</v>
      </c>
      <c r="L86" t="n">
        <v>0</v>
      </c>
      <c r="M86" t="n">
        <v>0</v>
      </c>
      <c r="N86" t="n">
        <v>0</v>
      </c>
      <c r="O86" t="n">
        <v>0</v>
      </c>
      <c r="P86" t="n">
        <v>0</v>
      </c>
      <c r="Q86" t="n">
        <v>0</v>
      </c>
      <c r="R86" t="n">
        <v>0</v>
      </c>
      <c r="S86" t="n">
        <v>0</v>
      </c>
      <c r="T86" t="n">
        <v>0</v>
      </c>
      <c r="U86" s="2" t="inlineStr"/>
    </row>
    <row r="87" ht="15" customHeight="1">
      <c r="A87" t="inlineStr">
        <is>
          <t>A 6298-2026</t>
        </is>
      </c>
      <c r="B87" t="inlineStr">
        <is>
          <t>avverkningsanmälan</t>
        </is>
      </c>
      <c r="C87" t="inlineStr">
        <is>
          <t>Föryngringsavverkning</t>
        </is>
      </c>
      <c r="D87" s="1" t="n">
        <v>46055</v>
      </c>
      <c r="E87" s="1" t="n">
        <v>46217</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s="2" t="inlineStr"/>
    </row>
    <row r="88" ht="15" customHeight="1">
      <c r="A88" t="inlineStr">
        <is>
          <t>A 11950-2025</t>
        </is>
      </c>
      <c r="B88" t="inlineStr">
        <is>
          <t>avverkningsanmälan</t>
        </is>
      </c>
      <c r="C88" t="inlineStr">
        <is>
          <t>Föryngringsavverkning</t>
        </is>
      </c>
      <c r="D88" s="1" t="n">
        <v>45728</v>
      </c>
      <c r="E88" s="1" t="n">
        <v>46217</v>
      </c>
      <c r="F88" t="inlineStr">
        <is>
          <t>STOCKHOLMS LÄN</t>
        </is>
      </c>
      <c r="G88" t="inlineStr">
        <is>
          <t>VALLENTUNA</t>
        </is>
      </c>
      <c r="I88" t="n">
        <v>1.4</v>
      </c>
      <c r="J88" t="n">
        <v>0</v>
      </c>
      <c r="K88" t="n">
        <v>0</v>
      </c>
      <c r="L88" t="n">
        <v>0</v>
      </c>
      <c r="M88" t="n">
        <v>0</v>
      </c>
      <c r="N88" t="n">
        <v>0</v>
      </c>
      <c r="O88" t="n">
        <v>0</v>
      </c>
      <c r="P88" t="n">
        <v>0</v>
      </c>
      <c r="Q88" t="n">
        <v>0</v>
      </c>
      <c r="R88" t="n">
        <v>0</v>
      </c>
      <c r="S88" t="n">
        <v>0</v>
      </c>
      <c r="T88" t="n">
        <v>0</v>
      </c>
      <c r="U88" s="2" t="inlineStr"/>
    </row>
    <row r="89" ht="15" customHeight="1">
      <c r="A89" t="inlineStr">
        <is>
          <t>A 14489-2024</t>
        </is>
      </c>
      <c r="B89" t="inlineStr">
        <is>
          <t>avverkningsanmälan</t>
        </is>
      </c>
      <c r="C89" t="inlineStr">
        <is>
          <t>Föryngringsavverkning</t>
        </is>
      </c>
      <c r="D89" s="1" t="n">
        <v>45394</v>
      </c>
      <c r="E89" s="1" t="n">
        <v>46217</v>
      </c>
      <c r="F89" t="inlineStr">
        <is>
          <t>STOCKHOLMS LÄN</t>
        </is>
      </c>
      <c r="G89" t="inlineStr">
        <is>
          <t>VALLENTUNA</t>
        </is>
      </c>
      <c r="I89" t="n">
        <v>2.3</v>
      </c>
      <c r="J89" t="n">
        <v>0</v>
      </c>
      <c r="K89" t="n">
        <v>0</v>
      </c>
      <c r="L89" t="n">
        <v>0</v>
      </c>
      <c r="M89" t="n">
        <v>0</v>
      </c>
      <c r="N89" t="n">
        <v>0</v>
      </c>
      <c r="O89" t="n">
        <v>0</v>
      </c>
      <c r="P89" t="n">
        <v>0</v>
      </c>
      <c r="Q89" t="n">
        <v>0</v>
      </c>
      <c r="R89" t="n">
        <v>0</v>
      </c>
      <c r="S89" t="n">
        <v>0</v>
      </c>
      <c r="T89" t="n">
        <v>0</v>
      </c>
      <c r="U89" s="2" t="inlineStr"/>
    </row>
    <row r="90" ht="15" customHeight="1">
      <c r="A90" t="inlineStr">
        <is>
          <t>A 12400-2026</t>
        </is>
      </c>
      <c r="B90" t="inlineStr">
        <is>
          <t>avverkningsanmälan</t>
        </is>
      </c>
      <c r="C90" t="inlineStr">
        <is>
          <t>Föryngringsavverkning</t>
        </is>
      </c>
      <c r="D90" s="1" t="n">
        <v>46090</v>
      </c>
      <c r="E90" s="1" t="n">
        <v>46217</v>
      </c>
      <c r="F90" t="inlineStr">
        <is>
          <t>STOCKHOLMS LÄN</t>
        </is>
      </c>
      <c r="G90" t="inlineStr">
        <is>
          <t>VALLENTUNA</t>
        </is>
      </c>
      <c r="I90" t="n">
        <v>1.9</v>
      </c>
      <c r="J90" t="n">
        <v>0</v>
      </c>
      <c r="K90" t="n">
        <v>0</v>
      </c>
      <c r="L90" t="n">
        <v>0</v>
      </c>
      <c r="M90" t="n">
        <v>0</v>
      </c>
      <c r="N90" t="n">
        <v>0</v>
      </c>
      <c r="O90" t="n">
        <v>0</v>
      </c>
      <c r="P90" t="n">
        <v>0</v>
      </c>
      <c r="Q90" t="n">
        <v>0</v>
      </c>
      <c r="R90" t="n">
        <v>0</v>
      </c>
      <c r="S90" t="n">
        <v>0</v>
      </c>
      <c r="T90" t="n">
        <v>0</v>
      </c>
      <c r="U90" s="2" t="inlineStr"/>
    </row>
    <row r="91" ht="15" customHeight="1">
      <c r="A91" t="inlineStr">
        <is>
          <t>A 52562-2023</t>
        </is>
      </c>
      <c r="B91" t="inlineStr">
        <is>
          <t>avverkningsanmälan</t>
        </is>
      </c>
      <c r="C91" t="inlineStr">
        <is>
          <t>Föryngringsavverkning</t>
        </is>
      </c>
      <c r="D91" s="1" t="n">
        <v>45225</v>
      </c>
      <c r="E91" s="1" t="n">
        <v>46217</v>
      </c>
      <c r="F91" t="inlineStr">
        <is>
          <t>STOCKHOLMS LÄN</t>
        </is>
      </c>
      <c r="G91" t="inlineStr">
        <is>
          <t>VALLENTUNA</t>
        </is>
      </c>
      <c r="I91" t="n">
        <v>3.4</v>
      </c>
      <c r="J91" t="n">
        <v>0</v>
      </c>
      <c r="K91" t="n">
        <v>0</v>
      </c>
      <c r="L91" t="n">
        <v>0</v>
      </c>
      <c r="M91" t="n">
        <v>0</v>
      </c>
      <c r="N91" t="n">
        <v>0</v>
      </c>
      <c r="O91" t="n">
        <v>0</v>
      </c>
      <c r="P91" t="n">
        <v>0</v>
      </c>
      <c r="Q91" t="n">
        <v>0</v>
      </c>
      <c r="R91" t="n">
        <v>0</v>
      </c>
      <c r="S91" t="n">
        <v>0</v>
      </c>
      <c r="T91" t="n">
        <v>0</v>
      </c>
      <c r="U91" s="2" t="inlineStr"/>
    </row>
    <row r="92" ht="15" customHeight="1">
      <c r="A92" t="inlineStr">
        <is>
          <t>A 12819-2026</t>
        </is>
      </c>
      <c r="B92" t="inlineStr">
        <is>
          <t>avverkningsanmälan</t>
        </is>
      </c>
      <c r="C92" t="inlineStr">
        <is>
          <t>Föryngringsavverkning</t>
        </is>
      </c>
      <c r="D92" s="1" t="n">
        <v>46092</v>
      </c>
      <c r="E92" s="1" t="n">
        <v>46217</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s="2" t="inlineStr"/>
    </row>
    <row r="93" ht="15" customHeight="1">
      <c r="A93" t="inlineStr">
        <is>
          <t>A 12830-2026</t>
        </is>
      </c>
      <c r="B93" t="inlineStr">
        <is>
          <t>avverkningsanmälan</t>
        </is>
      </c>
      <c r="C93" t="inlineStr">
        <is>
          <t>Föryngringsavverkning</t>
        </is>
      </c>
      <c r="D93" s="1" t="n">
        <v>46092</v>
      </c>
      <c r="E93" s="1" t="n">
        <v>46217</v>
      </c>
      <c r="F93" t="inlineStr">
        <is>
          <t>STOCKHOLMS LÄN</t>
        </is>
      </c>
      <c r="G93" t="inlineStr">
        <is>
          <t>VALLENTUNA</t>
        </is>
      </c>
      <c r="I93" t="n">
        <v>1.6</v>
      </c>
      <c r="J93" t="n">
        <v>0</v>
      </c>
      <c r="K93" t="n">
        <v>0</v>
      </c>
      <c r="L93" t="n">
        <v>0</v>
      </c>
      <c r="M93" t="n">
        <v>0</v>
      </c>
      <c r="N93" t="n">
        <v>0</v>
      </c>
      <c r="O93" t="n">
        <v>0</v>
      </c>
      <c r="P93" t="n">
        <v>0</v>
      </c>
      <c r="Q93" t="n">
        <v>0</v>
      </c>
      <c r="R93" t="n">
        <v>0</v>
      </c>
      <c r="S93" t="n">
        <v>0</v>
      </c>
      <c r="T93" t="n">
        <v>0</v>
      </c>
      <c r="U93" s="2" t="inlineStr"/>
    </row>
    <row r="94" ht="15" customHeight="1">
      <c r="A94" t="inlineStr">
        <is>
          <t>A 12822-2026</t>
        </is>
      </c>
      <c r="B94" t="inlineStr">
        <is>
          <t>avverkningsanmälan</t>
        </is>
      </c>
      <c r="C94" t="inlineStr">
        <is>
          <t>Föryngringsavverkning</t>
        </is>
      </c>
      <c r="D94" s="1" t="n">
        <v>46092</v>
      </c>
      <c r="E94" s="1" t="n">
        <v>46217</v>
      </c>
      <c r="F94" t="inlineStr">
        <is>
          <t>STOCKHOLMS LÄN</t>
        </is>
      </c>
      <c r="G94" t="inlineStr">
        <is>
          <t>VALLENTUNA</t>
        </is>
      </c>
      <c r="I94" t="n">
        <v>2.7</v>
      </c>
      <c r="J94" t="n">
        <v>0</v>
      </c>
      <c r="K94" t="n">
        <v>0</v>
      </c>
      <c r="L94" t="n">
        <v>0</v>
      </c>
      <c r="M94" t="n">
        <v>0</v>
      </c>
      <c r="N94" t="n">
        <v>0</v>
      </c>
      <c r="O94" t="n">
        <v>0</v>
      </c>
      <c r="P94" t="n">
        <v>0</v>
      </c>
      <c r="Q94" t="n">
        <v>0</v>
      </c>
      <c r="R94" t="n">
        <v>0</v>
      </c>
      <c r="S94" t="n">
        <v>0</v>
      </c>
      <c r="T94" t="n">
        <v>0</v>
      </c>
      <c r="U94" s="2" t="inlineStr"/>
    </row>
    <row r="95" ht="15" customHeight="1">
      <c r="A95" t="inlineStr">
        <is>
          <t>A 12828-2026</t>
        </is>
      </c>
      <c r="B95" t="inlineStr">
        <is>
          <t>avverkningsanmälan</t>
        </is>
      </c>
      <c r="C95" t="inlineStr">
        <is>
          <t>Föryngringsavverkning</t>
        </is>
      </c>
      <c r="D95" s="1" t="n">
        <v>46092</v>
      </c>
      <c r="E95" s="1" t="n">
        <v>46217</v>
      </c>
      <c r="F95" t="inlineStr">
        <is>
          <t>STOCKHOLMS LÄN</t>
        </is>
      </c>
      <c r="G95" t="inlineStr">
        <is>
          <t>VALLENTUNA</t>
        </is>
      </c>
      <c r="I95" t="n">
        <v>1</v>
      </c>
      <c r="J95" t="n">
        <v>0</v>
      </c>
      <c r="K95" t="n">
        <v>0</v>
      </c>
      <c r="L95" t="n">
        <v>0</v>
      </c>
      <c r="M95" t="n">
        <v>0</v>
      </c>
      <c r="N95" t="n">
        <v>0</v>
      </c>
      <c r="O95" t="n">
        <v>0</v>
      </c>
      <c r="P95" t="n">
        <v>0</v>
      </c>
      <c r="Q95" t="n">
        <v>0</v>
      </c>
      <c r="R95" t="n">
        <v>0</v>
      </c>
      <c r="S95" t="n">
        <v>0</v>
      </c>
      <c r="T95" t="n">
        <v>0</v>
      </c>
      <c r="U95" s="2" t="inlineStr"/>
    </row>
    <row r="96" ht="15" customHeight="1">
      <c r="A96" t="inlineStr">
        <is>
          <t>A 14799-2026</t>
        </is>
      </c>
      <c r="B96" t="inlineStr">
        <is>
          <t>avverkningsanmälan</t>
        </is>
      </c>
      <c r="C96" t="inlineStr">
        <is>
          <t>Föryngringsavverkning</t>
        </is>
      </c>
      <c r="D96" s="1" t="n">
        <v>46102</v>
      </c>
      <c r="E96" s="1" t="n">
        <v>46217</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s="2" t="inlineStr"/>
    </row>
    <row r="97" ht="15" customHeight="1">
      <c r="A97" t="inlineStr">
        <is>
          <t>A 23013-2024</t>
        </is>
      </c>
      <c r="B97" t="inlineStr">
        <is>
          <t>avverkningsanmälan</t>
        </is>
      </c>
      <c r="C97" t="inlineStr">
        <is>
          <t>Föryngringsavverkning</t>
        </is>
      </c>
      <c r="D97" s="1" t="n">
        <v>45450</v>
      </c>
      <c r="E97" s="1" t="n">
        <v>46217</v>
      </c>
      <c r="F97" t="inlineStr">
        <is>
          <t>STOCKHOLMS LÄN</t>
        </is>
      </c>
      <c r="G97" t="inlineStr">
        <is>
          <t>VALLENTUNA</t>
        </is>
      </c>
      <c r="I97" t="n">
        <v>0.4</v>
      </c>
      <c r="J97" t="n">
        <v>0</v>
      </c>
      <c r="K97" t="n">
        <v>0</v>
      </c>
      <c r="L97" t="n">
        <v>0</v>
      </c>
      <c r="M97" t="n">
        <v>0</v>
      </c>
      <c r="N97" t="n">
        <v>0</v>
      </c>
      <c r="O97" t="n">
        <v>0</v>
      </c>
      <c r="P97" t="n">
        <v>0</v>
      </c>
      <c r="Q97" t="n">
        <v>0</v>
      </c>
      <c r="R97" t="n">
        <v>0</v>
      </c>
      <c r="S97" t="n">
        <v>0</v>
      </c>
      <c r="T97" t="n">
        <v>0</v>
      </c>
      <c r="U97" s="2" t="inlineStr"/>
    </row>
    <row r="98" ht="15" customHeight="1">
      <c r="A98" t="inlineStr">
        <is>
          <t>A 2318-2024</t>
        </is>
      </c>
      <c r="B98" t="inlineStr">
        <is>
          <t>avverkningsanmälan</t>
        </is>
      </c>
      <c r="C98" t="inlineStr">
        <is>
          <t>Föryngringsavverkning</t>
        </is>
      </c>
      <c r="D98" s="1" t="n">
        <v>45310</v>
      </c>
      <c r="E98" s="1" t="n">
        <v>46217</v>
      </c>
      <c r="F98" t="inlineStr">
        <is>
          <t>STOCKHOLMS LÄN</t>
        </is>
      </c>
      <c r="G98" t="inlineStr">
        <is>
          <t>VALLENTUNA</t>
        </is>
      </c>
      <c r="I98" t="n">
        <v>2.2</v>
      </c>
      <c r="J98" t="n">
        <v>0</v>
      </c>
      <c r="K98" t="n">
        <v>0</v>
      </c>
      <c r="L98" t="n">
        <v>0</v>
      </c>
      <c r="M98" t="n">
        <v>0</v>
      </c>
      <c r="N98" t="n">
        <v>0</v>
      </c>
      <c r="O98" t="n">
        <v>0</v>
      </c>
      <c r="P98" t="n">
        <v>0</v>
      </c>
      <c r="Q98" t="n">
        <v>0</v>
      </c>
      <c r="R98" t="n">
        <v>0</v>
      </c>
      <c r="S98" t="n">
        <v>0</v>
      </c>
      <c r="T98" t="n">
        <v>0</v>
      </c>
      <c r="U98" s="2" t="inlineStr"/>
    </row>
    <row r="99" ht="15" customHeight="1">
      <c r="A99" t="inlineStr">
        <is>
          <t>A 17389-2026</t>
        </is>
      </c>
      <c r="B99" t="inlineStr">
        <is>
          <t>avverkningsanmälan</t>
        </is>
      </c>
      <c r="C99" t="inlineStr">
        <is>
          <t>Föryngringsavverkning</t>
        </is>
      </c>
      <c r="D99" s="1" t="n">
        <v>46119</v>
      </c>
      <c r="E99" s="1" t="n">
        <v>46217</v>
      </c>
      <c r="F99" t="inlineStr">
        <is>
          <t>STOCKHOLMS LÄN</t>
        </is>
      </c>
      <c r="G99" t="inlineStr">
        <is>
          <t>VALLENTUNA</t>
        </is>
      </c>
      <c r="I99" t="n">
        <v>1.1</v>
      </c>
      <c r="J99" t="n">
        <v>0</v>
      </c>
      <c r="K99" t="n">
        <v>0</v>
      </c>
      <c r="L99" t="n">
        <v>0</v>
      </c>
      <c r="M99" t="n">
        <v>0</v>
      </c>
      <c r="N99" t="n">
        <v>0</v>
      </c>
      <c r="O99" t="n">
        <v>0</v>
      </c>
      <c r="P99" t="n">
        <v>0</v>
      </c>
      <c r="Q99" t="n">
        <v>0</v>
      </c>
      <c r="R99" t="n">
        <v>0</v>
      </c>
      <c r="S99" t="n">
        <v>0</v>
      </c>
      <c r="T99" t="n">
        <v>0</v>
      </c>
      <c r="U99" s="2" t="inlineStr"/>
    </row>
    <row r="100" ht="15" customHeight="1">
      <c r="A100" t="inlineStr">
        <is>
          <t>A 17387-2026</t>
        </is>
      </c>
      <c r="B100" t="inlineStr">
        <is>
          <t>avverkningsanmälan</t>
        </is>
      </c>
      <c r="C100" t="inlineStr">
        <is>
          <t>Föryngringsavverkning</t>
        </is>
      </c>
      <c r="D100" s="1" t="n">
        <v>46119</v>
      </c>
      <c r="E100" s="1" t="n">
        <v>46217</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61742-2022</t>
        </is>
      </c>
      <c r="B101" t="inlineStr">
        <is>
          <t>avverkningsanmälan</t>
        </is>
      </c>
      <c r="C101" t="inlineStr">
        <is>
          <t>Avverkning för annat ändamål</t>
        </is>
      </c>
      <c r="D101" s="1" t="n">
        <v>44917</v>
      </c>
      <c r="E101" s="1" t="n">
        <v>46217</v>
      </c>
      <c r="F101" t="inlineStr">
        <is>
          <t>STOCKHOLMS LÄN</t>
        </is>
      </c>
      <c r="G101" t="inlineStr">
        <is>
          <t>VALLENTUNA</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3698-2022</t>
        </is>
      </c>
      <c r="B102" t="inlineStr">
        <is>
          <t>avverkningsanmälan</t>
        </is>
      </c>
      <c r="C102" t="inlineStr">
        <is>
          <t>Föryngringsavverkning</t>
        </is>
      </c>
      <c r="D102" s="1" t="n">
        <v>44586</v>
      </c>
      <c r="E102" s="1" t="n">
        <v>46217</v>
      </c>
      <c r="F102" t="inlineStr">
        <is>
          <t>STOCKHOLMS LÄN</t>
        </is>
      </c>
      <c r="G102" t="inlineStr">
        <is>
          <t>VALLENTUNA</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24740-2026</t>
        </is>
      </c>
      <c r="B103" t="inlineStr">
        <is>
          <t>avverkningsanmälan</t>
        </is>
      </c>
      <c r="C103" t="inlineStr">
        <is>
          <t>Föryngringsavverkning</t>
        </is>
      </c>
      <c r="D103" s="1" t="n">
        <v>46171</v>
      </c>
      <c r="E103" s="1" t="n">
        <v>46217</v>
      </c>
      <c r="F103" t="inlineStr">
        <is>
          <t>STOCKHOLMS LÄN</t>
        </is>
      </c>
      <c r="G103" t="inlineStr">
        <is>
          <t>VALLENTUNA</t>
        </is>
      </c>
      <c r="H103" t="inlineStr">
        <is>
          <t>Övriga Aktiebolag</t>
        </is>
      </c>
      <c r="I103" t="n">
        <v>5.7</v>
      </c>
      <c r="J103" t="n">
        <v>0</v>
      </c>
      <c r="K103" t="n">
        <v>0</v>
      </c>
      <c r="L103" t="n">
        <v>0</v>
      </c>
      <c r="M103" t="n">
        <v>0</v>
      </c>
      <c r="N103" t="n">
        <v>0</v>
      </c>
      <c r="O103" t="n">
        <v>0</v>
      </c>
      <c r="P103" t="n">
        <v>0</v>
      </c>
      <c r="Q103" t="n">
        <v>0</v>
      </c>
      <c r="R103" t="n">
        <v>0</v>
      </c>
      <c r="S103" t="n">
        <v>0</v>
      </c>
      <c r="T103" t="n">
        <v>0</v>
      </c>
      <c r="U103" s="2" t="inlineStr"/>
    </row>
    <row r="104" ht="15" customHeight="1">
      <c r="A104" t="inlineStr">
        <is>
          <t>A 12234-2022</t>
        </is>
      </c>
      <c r="B104" t="inlineStr">
        <is>
          <t>avverkningsanmälan</t>
        </is>
      </c>
      <c r="C104" t="inlineStr">
        <is>
          <t>Föryngringsavverkning</t>
        </is>
      </c>
      <c r="D104" s="1" t="n">
        <v>44637</v>
      </c>
      <c r="E104" s="1" t="n">
        <v>46217</v>
      </c>
      <c r="F104" t="inlineStr">
        <is>
          <t>STOCKHOLMS LÄN</t>
        </is>
      </c>
      <c r="G104" t="inlineStr">
        <is>
          <t>VALLENTUNA</t>
        </is>
      </c>
      <c r="I104" t="n">
        <v>2.4</v>
      </c>
      <c r="J104" t="n">
        <v>0</v>
      </c>
      <c r="K104" t="n">
        <v>0</v>
      </c>
      <c r="L104" t="n">
        <v>0</v>
      </c>
      <c r="M104" t="n">
        <v>0</v>
      </c>
      <c r="N104" t="n">
        <v>0</v>
      </c>
      <c r="O104" t="n">
        <v>0</v>
      </c>
      <c r="P104" t="n">
        <v>0</v>
      </c>
      <c r="Q104" t="n">
        <v>0</v>
      </c>
      <c r="R104" t="n">
        <v>0</v>
      </c>
      <c r="S104" t="n">
        <v>0</v>
      </c>
      <c r="T104" t="n">
        <v>0</v>
      </c>
      <c r="U104" s="2" t="inlineStr"/>
    </row>
    <row r="105" ht="15" customHeight="1">
      <c r="A105" t="inlineStr">
        <is>
          <t>A 21614-2022</t>
        </is>
      </c>
      <c r="B105" t="inlineStr">
        <is>
          <t>avverkningsanmälan</t>
        </is>
      </c>
      <c r="C105" t="inlineStr">
        <is>
          <t>Föryngringsavverkning</t>
        </is>
      </c>
      <c r="D105" s="1" t="n">
        <v>44706</v>
      </c>
      <c r="E105" s="1" t="n">
        <v>46217</v>
      </c>
      <c r="F105" t="inlineStr">
        <is>
          <t>STOCKHOLMS LÄN</t>
        </is>
      </c>
      <c r="G105" t="inlineStr">
        <is>
          <t>VALLENTUNA</t>
        </is>
      </c>
      <c r="I105" t="n">
        <v>4</v>
      </c>
      <c r="J105" t="n">
        <v>0</v>
      </c>
      <c r="K105" t="n">
        <v>0</v>
      </c>
      <c r="L105" t="n">
        <v>0</v>
      </c>
      <c r="M105" t="n">
        <v>0</v>
      </c>
      <c r="N105" t="n">
        <v>0</v>
      </c>
      <c r="O105" t="n">
        <v>0</v>
      </c>
      <c r="P105" t="n">
        <v>0</v>
      </c>
      <c r="Q105" t="n">
        <v>0</v>
      </c>
      <c r="R105" t="n">
        <v>0</v>
      </c>
      <c r="S105" t="n">
        <v>0</v>
      </c>
      <c r="T105" t="n">
        <v>0</v>
      </c>
      <c r="U105" s="2" t="inlineStr"/>
    </row>
    <row r="106" ht="15" customHeight="1">
      <c r="A106" t="inlineStr">
        <is>
          <t>A 12585-2023</t>
        </is>
      </c>
      <c r="B106" t="inlineStr">
        <is>
          <t>avverkningsanmälan</t>
        </is>
      </c>
      <c r="C106" t="inlineStr">
        <is>
          <t>Föryngringsavverkning</t>
        </is>
      </c>
      <c r="D106" s="1" t="n">
        <v>45000</v>
      </c>
      <c r="E106" s="1" t="n">
        <v>46217</v>
      </c>
      <c r="F106" t="inlineStr">
        <is>
          <t>STOCKHOLMS LÄN</t>
        </is>
      </c>
      <c r="G106" t="inlineStr">
        <is>
          <t>VALLENTUNA</t>
        </is>
      </c>
      <c r="I106" t="n">
        <v>3.7</v>
      </c>
      <c r="J106" t="n">
        <v>0</v>
      </c>
      <c r="K106" t="n">
        <v>0</v>
      </c>
      <c r="L106" t="n">
        <v>0</v>
      </c>
      <c r="M106" t="n">
        <v>0</v>
      </c>
      <c r="N106" t="n">
        <v>0</v>
      </c>
      <c r="O106" t="n">
        <v>0</v>
      </c>
      <c r="P106" t="n">
        <v>0</v>
      </c>
      <c r="Q106" t="n">
        <v>0</v>
      </c>
      <c r="R106" t="n">
        <v>0</v>
      </c>
      <c r="S106" t="n">
        <v>0</v>
      </c>
      <c r="T106" t="n">
        <v>0</v>
      </c>
      <c r="U106" s="2" t="inlineStr"/>
    </row>
    <row r="107" ht="15" customHeight="1">
      <c r="A107" t="inlineStr">
        <is>
          <t>A 8787-2024</t>
        </is>
      </c>
      <c r="B107" t="inlineStr">
        <is>
          <t>avverkningsanmälan</t>
        </is>
      </c>
      <c r="C107" t="inlineStr">
        <is>
          <t>Avverkning för annat ändamål</t>
        </is>
      </c>
      <c r="D107" s="1" t="n">
        <v>45356</v>
      </c>
      <c r="E107" s="1" t="n">
        <v>46217</v>
      </c>
      <c r="F107" t="inlineStr">
        <is>
          <t>STOCKHOLMS LÄN</t>
        </is>
      </c>
      <c r="G107" t="inlineStr">
        <is>
          <t>VALLENTUNA</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34441-2023</t>
        </is>
      </c>
      <c r="B108" t="inlineStr">
        <is>
          <t>avverkningsanmälan</t>
        </is>
      </c>
      <c r="C108" t="inlineStr">
        <is>
          <t>Föryngringsavverkning</t>
        </is>
      </c>
      <c r="D108" s="1" t="n">
        <v>45139</v>
      </c>
      <c r="E108" s="1" t="n">
        <v>46217</v>
      </c>
      <c r="F108" t="inlineStr">
        <is>
          <t>STOCKHOLMS LÄN</t>
        </is>
      </c>
      <c r="G108" t="inlineStr">
        <is>
          <t>VALLENTUNA</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34445-2023</t>
        </is>
      </c>
      <c r="B109" t="inlineStr">
        <is>
          <t>avverkningsanmälan</t>
        </is>
      </c>
      <c r="C109" t="inlineStr">
        <is>
          <t>Föryngringsavverkning</t>
        </is>
      </c>
      <c r="D109" s="1" t="n">
        <v>45139</v>
      </c>
      <c r="E109" s="1" t="n">
        <v>46217</v>
      </c>
      <c r="F109" t="inlineStr">
        <is>
          <t>STOCKHOLMS LÄN</t>
        </is>
      </c>
      <c r="G109" t="inlineStr">
        <is>
          <t>VALLENTUNA</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23986-2023</t>
        </is>
      </c>
      <c r="B110" t="inlineStr">
        <is>
          <t>avverkningsanmälan</t>
        </is>
      </c>
      <c r="C110" t="inlineStr">
        <is>
          <t>Föryngringsavverkning</t>
        </is>
      </c>
      <c r="D110" s="1" t="n">
        <v>45078</v>
      </c>
      <c r="E110" s="1" t="n">
        <v>46217</v>
      </c>
      <c r="F110" t="inlineStr">
        <is>
          <t>STOCKHOLMS LÄN</t>
        </is>
      </c>
      <c r="G110" t="inlineStr">
        <is>
          <t>VALLENTUNA</t>
        </is>
      </c>
      <c r="H110" t="inlineStr">
        <is>
          <t>Kyrkan</t>
        </is>
      </c>
      <c r="I110" t="n">
        <v>5.7</v>
      </c>
      <c r="J110" t="n">
        <v>0</v>
      </c>
      <c r="K110" t="n">
        <v>0</v>
      </c>
      <c r="L110" t="n">
        <v>0</v>
      </c>
      <c r="M110" t="n">
        <v>0</v>
      </c>
      <c r="N110" t="n">
        <v>0</v>
      </c>
      <c r="O110" t="n">
        <v>0</v>
      </c>
      <c r="P110" t="n">
        <v>0</v>
      </c>
      <c r="Q110" t="n">
        <v>0</v>
      </c>
      <c r="R110" t="n">
        <v>0</v>
      </c>
      <c r="S110" t="n">
        <v>0</v>
      </c>
      <c r="T110" t="n">
        <v>0</v>
      </c>
      <c r="U110" s="2" t="inlineStr"/>
    </row>
    <row r="111" ht="15" customHeight="1">
      <c r="A111" t="inlineStr">
        <is>
          <t>A 8077-2022</t>
        </is>
      </c>
      <c r="B111" t="inlineStr">
        <is>
          <t>avverkningsanmälan</t>
        </is>
      </c>
      <c r="C111" t="inlineStr">
        <is>
          <t>Föryngringsavverkning</t>
        </is>
      </c>
      <c r="D111" s="1" t="n">
        <v>44609</v>
      </c>
      <c r="E111" s="1" t="n">
        <v>46217</v>
      </c>
      <c r="F111" t="inlineStr">
        <is>
          <t>STOCKHOLMS LÄN</t>
        </is>
      </c>
      <c r="G111" t="inlineStr">
        <is>
          <t>VALLENTUNA</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13836-2022</t>
        </is>
      </c>
      <c r="B112" t="inlineStr">
        <is>
          <t>avverkningsanmälan</t>
        </is>
      </c>
      <c r="C112" t="inlineStr">
        <is>
          <t>Föryngringsavverkning</t>
        </is>
      </c>
      <c r="D112" s="1" t="n">
        <v>44649</v>
      </c>
      <c r="E112" s="1" t="n">
        <v>46217</v>
      </c>
      <c r="F112" t="inlineStr">
        <is>
          <t>STOCKHOLMS LÄN</t>
        </is>
      </c>
      <c r="G112" t="inlineStr">
        <is>
          <t>VALLENTUNA</t>
        </is>
      </c>
      <c r="I112" t="n">
        <v>3.5</v>
      </c>
      <c r="J112" t="n">
        <v>0</v>
      </c>
      <c r="K112" t="n">
        <v>0</v>
      </c>
      <c r="L112" t="n">
        <v>0</v>
      </c>
      <c r="M112" t="n">
        <v>0</v>
      </c>
      <c r="N112" t="n">
        <v>0</v>
      </c>
      <c r="O112" t="n">
        <v>0</v>
      </c>
      <c r="P112" t="n">
        <v>0</v>
      </c>
      <c r="Q112" t="n">
        <v>0</v>
      </c>
      <c r="R112" t="n">
        <v>0</v>
      </c>
      <c r="S112" t="n">
        <v>0</v>
      </c>
      <c r="T112" t="n">
        <v>0</v>
      </c>
      <c r="U112" s="2" t="inlineStr"/>
    </row>
    <row r="113" ht="15" customHeight="1">
      <c r="A113" t="inlineStr">
        <is>
          <t>A 29704-2023</t>
        </is>
      </c>
      <c r="B113" t="inlineStr">
        <is>
          <t>avverkningsanmälan</t>
        </is>
      </c>
      <c r="C113" t="inlineStr">
        <is>
          <t>Föryngringsavverkning</t>
        </is>
      </c>
      <c r="D113" s="1" t="n">
        <v>45107</v>
      </c>
      <c r="E113" s="1" t="n">
        <v>46217</v>
      </c>
      <c r="F113" t="inlineStr">
        <is>
          <t>STOCKHOLMS LÄN</t>
        </is>
      </c>
      <c r="G113" t="inlineStr">
        <is>
          <t>VALLENTUNA</t>
        </is>
      </c>
      <c r="I113" t="n">
        <v>3.7</v>
      </c>
      <c r="J113" t="n">
        <v>0</v>
      </c>
      <c r="K113" t="n">
        <v>0</v>
      </c>
      <c r="L113" t="n">
        <v>0</v>
      </c>
      <c r="M113" t="n">
        <v>0</v>
      </c>
      <c r="N113" t="n">
        <v>0</v>
      </c>
      <c r="O113" t="n">
        <v>0</v>
      </c>
      <c r="P113" t="n">
        <v>0</v>
      </c>
      <c r="Q113" t="n">
        <v>0</v>
      </c>
      <c r="R113" t="n">
        <v>0</v>
      </c>
      <c r="S113" t="n">
        <v>0</v>
      </c>
      <c r="T113" t="n">
        <v>0</v>
      </c>
      <c r="U113" s="2" t="inlineStr"/>
    </row>
    <row r="114" ht="15" customHeight="1">
      <c r="A114" t="inlineStr">
        <is>
          <t>A 21765-2023</t>
        </is>
      </c>
      <c r="B114" t="inlineStr">
        <is>
          <t>avverkningsanmälan</t>
        </is>
      </c>
      <c r="C114" t="inlineStr">
        <is>
          <t>Föryngringsavverkning</t>
        </is>
      </c>
      <c r="D114" s="1" t="n">
        <v>45064</v>
      </c>
      <c r="E114" s="1" t="n">
        <v>46217</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45496-2023</t>
        </is>
      </c>
      <c r="B115" t="inlineStr">
        <is>
          <t>avverkningsanmälan</t>
        </is>
      </c>
      <c r="C115" t="inlineStr">
        <is>
          <t>Föryngringsavverkning</t>
        </is>
      </c>
      <c r="D115" s="1" t="n">
        <v>45194</v>
      </c>
      <c r="E115" s="1" t="n">
        <v>46217</v>
      </c>
      <c r="F115" t="inlineStr">
        <is>
          <t>STOCKHOLMS LÄN</t>
        </is>
      </c>
      <c r="G115" t="inlineStr">
        <is>
          <t>VALLENTUNA</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45499-2023</t>
        </is>
      </c>
      <c r="B116" t="inlineStr">
        <is>
          <t>avverkningsanmälan</t>
        </is>
      </c>
      <c r="C116" t="inlineStr">
        <is>
          <t>Föryngringsavverkning</t>
        </is>
      </c>
      <c r="D116" s="1" t="n">
        <v>45194</v>
      </c>
      <c r="E116" s="1" t="n">
        <v>46217</v>
      </c>
      <c r="F116" t="inlineStr">
        <is>
          <t>STOCKHOLMS LÄN</t>
        </is>
      </c>
      <c r="G116" t="inlineStr">
        <is>
          <t>VALLENTUNA</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14782-2024</t>
        </is>
      </c>
      <c r="B117" t="inlineStr">
        <is>
          <t>avverkningsanmälan</t>
        </is>
      </c>
      <c r="C117" t="inlineStr">
        <is>
          <t>Avverkning för att bevara och utveckla /försöksver</t>
        </is>
      </c>
      <c r="D117" s="1" t="n">
        <v>45397</v>
      </c>
      <c r="E117" s="1" t="n">
        <v>46217</v>
      </c>
      <c r="F117" t="inlineStr">
        <is>
          <t>STOCKHOLMS LÄN</t>
        </is>
      </c>
      <c r="G117" t="inlineStr">
        <is>
          <t>VALLENTUNA</t>
        </is>
      </c>
      <c r="I117" t="n">
        <v>3.1</v>
      </c>
      <c r="J117" t="n">
        <v>0</v>
      </c>
      <c r="K117" t="n">
        <v>0</v>
      </c>
      <c r="L117" t="n">
        <v>0</v>
      </c>
      <c r="M117" t="n">
        <v>0</v>
      </c>
      <c r="N117" t="n">
        <v>0</v>
      </c>
      <c r="O117" t="n">
        <v>0</v>
      </c>
      <c r="P117" t="n">
        <v>0</v>
      </c>
      <c r="Q117" t="n">
        <v>0</v>
      </c>
      <c r="R117" t="n">
        <v>0</v>
      </c>
      <c r="S117" t="n">
        <v>0</v>
      </c>
      <c r="T117" t="n">
        <v>0</v>
      </c>
      <c r="U117" s="2" t="inlineStr"/>
    </row>
    <row r="118" ht="15" customHeight="1">
      <c r="A118" t="inlineStr">
        <is>
          <t>A 1385-2024</t>
        </is>
      </c>
      <c r="B118" t="inlineStr">
        <is>
          <t>avverkningsanmälan</t>
        </is>
      </c>
      <c r="C118" t="inlineStr">
        <is>
          <t>Föryngringsavverkning</t>
        </is>
      </c>
      <c r="D118" s="1" t="n">
        <v>45303</v>
      </c>
      <c r="E118" s="1" t="n">
        <v>46217</v>
      </c>
      <c r="F118" t="inlineStr">
        <is>
          <t>STOCKHOLMS LÄN</t>
        </is>
      </c>
      <c r="G118" t="inlineStr">
        <is>
          <t>VALLENTUNA</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14775-2024</t>
        </is>
      </c>
      <c r="B119" t="inlineStr">
        <is>
          <t>avverkningsanmälan</t>
        </is>
      </c>
      <c r="C119" t="inlineStr">
        <is>
          <t>Föryngringsavverkning</t>
        </is>
      </c>
      <c r="D119" s="1" t="n">
        <v>45397</v>
      </c>
      <c r="E119" s="1" t="n">
        <v>46217</v>
      </c>
      <c r="F119" t="inlineStr">
        <is>
          <t>STOCKHOLMS LÄN</t>
        </is>
      </c>
      <c r="G119" t="inlineStr">
        <is>
          <t>VALLENTUNA</t>
        </is>
      </c>
      <c r="I119" t="n">
        <v>1.7</v>
      </c>
      <c r="J119" t="n">
        <v>0</v>
      </c>
      <c r="K119" t="n">
        <v>0</v>
      </c>
      <c r="L119" t="n">
        <v>0</v>
      </c>
      <c r="M119" t="n">
        <v>0</v>
      </c>
      <c r="N119" t="n">
        <v>0</v>
      </c>
      <c r="O119" t="n">
        <v>0</v>
      </c>
      <c r="P119" t="n">
        <v>0</v>
      </c>
      <c r="Q119" t="n">
        <v>0</v>
      </c>
      <c r="R119" t="n">
        <v>0</v>
      </c>
      <c r="S119" t="n">
        <v>0</v>
      </c>
      <c r="T119" t="n">
        <v>0</v>
      </c>
      <c r="U119" s="2" t="inlineStr"/>
    </row>
    <row r="120" ht="15" customHeight="1">
      <c r="A120" t="inlineStr">
        <is>
          <t>A 17411-2023</t>
        </is>
      </c>
      <c r="B120" t="inlineStr">
        <is>
          <t>avverkningsanmälan</t>
        </is>
      </c>
      <c r="C120" t="inlineStr">
        <is>
          <t>Föryngringsavverkning</t>
        </is>
      </c>
      <c r="D120" s="1" t="n">
        <v>45035</v>
      </c>
      <c r="E120" s="1" t="n">
        <v>46217</v>
      </c>
      <c r="F120" t="inlineStr">
        <is>
          <t>STOCKHOLMS LÄN</t>
        </is>
      </c>
      <c r="G120" t="inlineStr">
        <is>
          <t>VALLENTUNA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38102-2024</t>
        </is>
      </c>
      <c r="B121" t="inlineStr">
        <is>
          <t>avverkningsanmälan</t>
        </is>
      </c>
      <c r="C121" t="inlineStr">
        <is>
          <t>Föryngringsavverkning</t>
        </is>
      </c>
      <c r="D121" s="1" t="n">
        <v>45545</v>
      </c>
      <c r="E121" s="1" t="n">
        <v>46217</v>
      </c>
      <c r="F121" t="inlineStr">
        <is>
          <t>STOCKHOLMS LÄN</t>
        </is>
      </c>
      <c r="G121" t="inlineStr">
        <is>
          <t>VALLENTUNA</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17340-2025</t>
        </is>
      </c>
      <c r="B122" t="inlineStr">
        <is>
          <t>avverkningsanmälan</t>
        </is>
      </c>
      <c r="C122" t="inlineStr">
        <is>
          <t>Föryngringsavverkning</t>
        </is>
      </c>
      <c r="D122" s="1" t="n">
        <v>45756</v>
      </c>
      <c r="E122" s="1" t="n">
        <v>46217</v>
      </c>
      <c r="F122" t="inlineStr">
        <is>
          <t>STOCKHOLMS LÄN</t>
        </is>
      </c>
      <c r="G122" t="inlineStr">
        <is>
          <t>VALLENTUNA</t>
        </is>
      </c>
      <c r="H122" t="inlineStr">
        <is>
          <t>Övriga Aktiebolag</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10073-2024</t>
        </is>
      </c>
      <c r="B123" t="inlineStr">
        <is>
          <t>avverkningsanmälan</t>
        </is>
      </c>
      <c r="C123" t="inlineStr">
        <is>
          <t>Föryngringsavverkning</t>
        </is>
      </c>
      <c r="D123" s="1" t="n">
        <v>45364</v>
      </c>
      <c r="E123" s="1" t="n">
        <v>46217</v>
      </c>
      <c r="F123" t="inlineStr">
        <is>
          <t>STOCKHOLMS LÄN</t>
        </is>
      </c>
      <c r="G123" t="inlineStr">
        <is>
          <t>VALLENTUNA</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12621-2024</t>
        </is>
      </c>
      <c r="B124" t="inlineStr">
        <is>
          <t>avverkningsanmälan</t>
        </is>
      </c>
      <c r="C124" t="inlineStr">
        <is>
          <t>Föryngringsavverkning</t>
        </is>
      </c>
      <c r="D124" s="1" t="n">
        <v>45383</v>
      </c>
      <c r="E124" s="1" t="n">
        <v>46217</v>
      </c>
      <c r="F124" t="inlineStr">
        <is>
          <t>STOCKHOLMS LÄN</t>
        </is>
      </c>
      <c r="G124" t="inlineStr">
        <is>
          <t>VALLENTUNA</t>
        </is>
      </c>
      <c r="I124" t="n">
        <v>4.4</v>
      </c>
      <c r="J124" t="n">
        <v>0</v>
      </c>
      <c r="K124" t="n">
        <v>0</v>
      </c>
      <c r="L124" t="n">
        <v>0</v>
      </c>
      <c r="M124" t="n">
        <v>0</v>
      </c>
      <c r="N124" t="n">
        <v>0</v>
      </c>
      <c r="O124" t="n">
        <v>0</v>
      </c>
      <c r="P124" t="n">
        <v>0</v>
      </c>
      <c r="Q124" t="n">
        <v>0</v>
      </c>
      <c r="R124" t="n">
        <v>0</v>
      </c>
      <c r="S124" t="n">
        <v>0</v>
      </c>
      <c r="T124" t="n">
        <v>0</v>
      </c>
      <c r="U124" s="2" t="inlineStr"/>
    </row>
    <row r="125" ht="15" customHeight="1">
      <c r="A125" t="inlineStr">
        <is>
          <t>A 46381-2023</t>
        </is>
      </c>
      <c r="B125" t="inlineStr">
        <is>
          <t>avverkningsanmälan</t>
        </is>
      </c>
      <c r="C125" t="inlineStr">
        <is>
          <t>Föryngringsavverkning</t>
        </is>
      </c>
      <c r="D125" s="1" t="n">
        <v>45193</v>
      </c>
      <c r="E125" s="1" t="n">
        <v>46217</v>
      </c>
      <c r="F125" t="inlineStr">
        <is>
          <t>STOCKHOLMS LÄN</t>
        </is>
      </c>
      <c r="G125" t="inlineStr">
        <is>
          <t>VALLENTUNA</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61027-2023</t>
        </is>
      </c>
      <c r="B126" t="inlineStr">
        <is>
          <t>avverkningsanmälan</t>
        </is>
      </c>
      <c r="C126" t="inlineStr">
        <is>
          <t>Föryngringsavverkning</t>
        </is>
      </c>
      <c r="D126" s="1" t="n">
        <v>45261</v>
      </c>
      <c r="E126" s="1" t="n">
        <v>46217</v>
      </c>
      <c r="F126" t="inlineStr">
        <is>
          <t>STOCKHOLMS LÄN</t>
        </is>
      </c>
      <c r="G126" t="inlineStr">
        <is>
          <t>VALLENTUNA</t>
        </is>
      </c>
      <c r="I126" t="n">
        <v>7.1</v>
      </c>
      <c r="J126" t="n">
        <v>0</v>
      </c>
      <c r="K126" t="n">
        <v>0</v>
      </c>
      <c r="L126" t="n">
        <v>0</v>
      </c>
      <c r="M126" t="n">
        <v>0</v>
      </c>
      <c r="N126" t="n">
        <v>0</v>
      </c>
      <c r="O126" t="n">
        <v>0</v>
      </c>
      <c r="P126" t="n">
        <v>0</v>
      </c>
      <c r="Q126" t="n">
        <v>0</v>
      </c>
      <c r="R126" t="n">
        <v>0</v>
      </c>
      <c r="S126" t="n">
        <v>0</v>
      </c>
      <c r="T126" t="n">
        <v>0</v>
      </c>
      <c r="U126" s="2" t="inlineStr"/>
    </row>
    <row r="127" ht="15" customHeight="1">
      <c r="A127" t="inlineStr">
        <is>
          <t>A 30902-2025</t>
        </is>
      </c>
      <c r="B127" t="inlineStr">
        <is>
          <t>avverkningsanmälan</t>
        </is>
      </c>
      <c r="C127" t="inlineStr">
        <is>
          <t>Föryngringsavverkning</t>
        </is>
      </c>
      <c r="D127" s="1" t="n">
        <v>45832</v>
      </c>
      <c r="E127" s="1" t="n">
        <v>46217</v>
      </c>
      <c r="F127" t="inlineStr">
        <is>
          <t>STOCKHOLMS LÄN</t>
        </is>
      </c>
      <c r="G127" t="inlineStr">
        <is>
          <t>VALLENTUNA</t>
        </is>
      </c>
      <c r="I127" t="n">
        <v>8.199999999999999</v>
      </c>
      <c r="J127" t="n">
        <v>0</v>
      </c>
      <c r="K127" t="n">
        <v>0</v>
      </c>
      <c r="L127" t="n">
        <v>0</v>
      </c>
      <c r="M127" t="n">
        <v>0</v>
      </c>
      <c r="N127" t="n">
        <v>0</v>
      </c>
      <c r="O127" t="n">
        <v>0</v>
      </c>
      <c r="P127" t="n">
        <v>0</v>
      </c>
      <c r="Q127" t="n">
        <v>0</v>
      </c>
      <c r="R127" t="n">
        <v>0</v>
      </c>
      <c r="S127" t="n">
        <v>0</v>
      </c>
      <c r="T127" t="n">
        <v>0</v>
      </c>
      <c r="U127" s="2" t="inlineStr"/>
    </row>
    <row r="128" ht="15" customHeight="1">
      <c r="A128" t="inlineStr">
        <is>
          <t>A 28431-2025</t>
        </is>
      </c>
      <c r="B128" t="inlineStr">
        <is>
          <t>avverkningsanmälan</t>
        </is>
      </c>
      <c r="C128" t="inlineStr">
        <is>
          <t>Föryngringsavverkning</t>
        </is>
      </c>
      <c r="D128" s="1" t="n">
        <v>45819</v>
      </c>
      <c r="E128" s="1" t="n">
        <v>46217</v>
      </c>
      <c r="F128" t="inlineStr">
        <is>
          <t>STOCKHOLMS LÄN</t>
        </is>
      </c>
      <c r="G128" t="inlineStr">
        <is>
          <t>VALLENTUNA</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S 6321-2022</t>
        </is>
      </c>
      <c r="B129" t="inlineStr">
        <is>
          <t>samrådsanmälan</t>
        </is>
      </c>
      <c r="C129" t="inlineStr">
        <is>
          <t>Annan skogsbruksåtgärd</t>
        </is>
      </c>
      <c r="D129" s="1" t="n">
        <v>44872</v>
      </c>
      <c r="E129" s="1" t="n">
        <v>46217</v>
      </c>
      <c r="F129" t="inlineStr">
        <is>
          <t>STOCKHOLMS LÄN</t>
        </is>
      </c>
      <c r="G129" t="inlineStr">
        <is>
          <t>VALLENTUNA</t>
        </is>
      </c>
      <c r="I129" t="n">
        <v>0.1</v>
      </c>
      <c r="J129" t="n">
        <v>0</v>
      </c>
      <c r="K129" t="n">
        <v>0</v>
      </c>
      <c r="L129" t="n">
        <v>0</v>
      </c>
      <c r="M129" t="n">
        <v>0</v>
      </c>
      <c r="N129" t="n">
        <v>0</v>
      </c>
      <c r="O129" t="n">
        <v>0</v>
      </c>
      <c r="P129" t="n">
        <v>0</v>
      </c>
      <c r="Q129" t="n">
        <v>0</v>
      </c>
      <c r="R129" t="n">
        <v>0</v>
      </c>
      <c r="S129" t="n">
        <v>0</v>
      </c>
      <c r="T129" t="n">
        <v>0</v>
      </c>
      <c r="U129" s="2" t="inlineStr"/>
    </row>
    <row r="130">
      <c r="A130" t="inlineStr">
        <is>
          <t>S 2547-2025</t>
        </is>
      </c>
      <c r="B130" t="inlineStr">
        <is>
          <t>samrådsanmälan</t>
        </is>
      </c>
      <c r="C130" t="inlineStr">
        <is>
          <t>Annan skogsbruksåtgärd</t>
        </is>
      </c>
      <c r="D130" s="1" t="n">
        <v>45911</v>
      </c>
      <c r="E130" s="1" t="n">
        <v>46217</v>
      </c>
      <c r="F130" t="inlineStr">
        <is>
          <t>STOCKHOLMS LÄN</t>
        </is>
      </c>
      <c r="G130" t="inlineStr">
        <is>
          <t>VALLENTUNA</t>
        </is>
      </c>
      <c r="I130" t="n">
        <v>1.9</v>
      </c>
      <c r="J130" t="n">
        <v>0</v>
      </c>
      <c r="K130" t="n">
        <v>0</v>
      </c>
      <c r="L130" t="n">
        <v>0</v>
      </c>
      <c r="M130" t="n">
        <v>0</v>
      </c>
      <c r="N130" t="n">
        <v>0</v>
      </c>
      <c r="O130" t="n">
        <v>0</v>
      </c>
      <c r="P130" t="n">
        <v>0</v>
      </c>
      <c r="Q130" t="n">
        <v>0</v>
      </c>
      <c r="R130" t="n">
        <v>0</v>
      </c>
      <c r="S130" t="n">
        <v>0</v>
      </c>
      <c r="T130" t="n">
        <v>0</v>
      </c>
      <c r="U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2026-07-14T08:59:28Z</dcterms:created>
  <dcterms:modified xmlns:dcterms="http://purl.org/dc/terms/" xmlns:xsi="http://www.w3.org/2001/XMLSchema-instance" xsi:type="dcterms:W3CDTF">2026-07-14T08:59:28Z</dcterms:modified>
</cp:coreProperties>
</file>