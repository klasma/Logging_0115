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46098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46098</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46098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46098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46098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46098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46098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46098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46098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46098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46098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46098</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46098</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46098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46098</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46098</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46098</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46098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46098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46098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46098</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46098</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46098</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46098</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46098</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46098</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14508-2024</t>
        </is>
      </c>
      <c r="B28" s="1" t="n">
        <v>45394.61583333334</v>
      </c>
      <c r="C28" s="1" t="n">
        <v>46098</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21439-2025</t>
        </is>
      </c>
      <c r="B29" s="1" t="n">
        <v>45782.52939814814</v>
      </c>
      <c r="C29" s="1" t="n">
        <v>46098</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8817-2025</t>
        </is>
      </c>
      <c r="B30" s="1" t="n">
        <v>45712.70987268518</v>
      </c>
      <c r="C30" s="1" t="n">
        <v>46098</v>
      </c>
      <c r="D30" t="inlineStr">
        <is>
          <t>STOCKHOLMS LÄN</t>
        </is>
      </c>
      <c r="E30" t="inlineStr">
        <is>
          <t>VALLENTUNA</t>
        </is>
      </c>
      <c r="G30" t="n">
        <v>3.6</v>
      </c>
      <c r="H30" t="n">
        <v>0</v>
      </c>
      <c r="I30" t="n">
        <v>1</v>
      </c>
      <c r="J30" t="n">
        <v>0</v>
      </c>
      <c r="K30" t="n">
        <v>0</v>
      </c>
      <c r="L30" t="n">
        <v>0</v>
      </c>
      <c r="M30" t="n">
        <v>0</v>
      </c>
      <c r="N30" t="n">
        <v>0</v>
      </c>
      <c r="O30" t="n">
        <v>0</v>
      </c>
      <c r="P30" t="n">
        <v>0</v>
      </c>
      <c r="Q30" t="n">
        <v>1</v>
      </c>
      <c r="R30" s="2" t="inlineStr">
        <is>
          <t>Tibast</t>
        </is>
      </c>
      <c r="S30">
        <f>HYPERLINK("https://klasma.github.io/Logging_0115/artfynd/A 8817-2025 artfynd.xlsx", "A 8817-2025")</f>
        <v/>
      </c>
      <c r="T30">
        <f>HYPERLINK("https://klasma.github.io/Logging_0115/kartor/A 8817-2025 karta.png", "A 8817-2025")</f>
        <v/>
      </c>
      <c r="V30">
        <f>HYPERLINK("https://klasma.github.io/Logging_0115/klagomål/A 8817-2025 FSC-klagomål.docx", "A 8817-2025")</f>
        <v/>
      </c>
      <c r="W30">
        <f>HYPERLINK("https://klasma.github.io/Logging_0115/klagomålsmail/A 8817-2025 FSC-klagomål mail.docx", "A 8817-2025")</f>
        <v/>
      </c>
      <c r="X30">
        <f>HYPERLINK("https://klasma.github.io/Logging_0115/tillsyn/A 8817-2025 tillsynsbegäran.docx", "A 8817-2025")</f>
        <v/>
      </c>
      <c r="Y30">
        <f>HYPERLINK("https://klasma.github.io/Logging_0115/tillsynsmail/A 8817-2025 tillsynsbegäran mail.docx", "A 8817-2025")</f>
        <v/>
      </c>
    </row>
    <row r="31" ht="15" customHeight="1">
      <c r="A31" t="inlineStr">
        <is>
          <t>A 22936-2025</t>
        </is>
      </c>
      <c r="B31" s="1" t="n">
        <v>45790.45738425926</v>
      </c>
      <c r="C31" s="1" t="n">
        <v>46098</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54481-2025</t>
        </is>
      </c>
      <c r="B32" s="1" t="n">
        <v>45965.58837962963</v>
      </c>
      <c r="C32" s="1" t="n">
        <v>46098</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63539-2025</t>
        </is>
      </c>
      <c r="B33" s="1" t="n">
        <v>46013.58824074074</v>
      </c>
      <c r="C33" s="1" t="n">
        <v>46098</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46098</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12401-2026</t>
        </is>
      </c>
      <c r="B35" s="1" t="n">
        <v>46090</v>
      </c>
      <c r="C35" s="1" t="n">
        <v>46098</v>
      </c>
      <c r="D35" t="inlineStr">
        <is>
          <t>STOCKHOLMS LÄN</t>
        </is>
      </c>
      <c r="E35" t="inlineStr">
        <is>
          <t>VALLENTUNA</t>
        </is>
      </c>
      <c r="G35" t="n">
        <v>5.9</v>
      </c>
      <c r="H35" t="n">
        <v>1</v>
      </c>
      <c r="I35" t="n">
        <v>0</v>
      </c>
      <c r="J35" t="n">
        <v>1</v>
      </c>
      <c r="K35" t="n">
        <v>0</v>
      </c>
      <c r="L35" t="n">
        <v>0</v>
      </c>
      <c r="M35" t="n">
        <v>0</v>
      </c>
      <c r="N35" t="n">
        <v>0</v>
      </c>
      <c r="O35" t="n">
        <v>1</v>
      </c>
      <c r="P35" t="n">
        <v>0</v>
      </c>
      <c r="Q35" t="n">
        <v>1</v>
      </c>
      <c r="R35" s="2" t="inlineStr">
        <is>
          <t>Spillkråka</t>
        </is>
      </c>
      <c r="S35">
        <f>HYPERLINK("https://klasma.github.io/Logging_0115/artfynd/A 12401-2026 artfynd.xlsx", "A 12401-2026")</f>
        <v/>
      </c>
      <c r="T35">
        <f>HYPERLINK("https://klasma.github.io/Logging_0115/kartor/A 12401-2026 karta.png", "A 12401-2026")</f>
        <v/>
      </c>
      <c r="V35">
        <f>HYPERLINK("https://klasma.github.io/Logging_0115/klagomål/A 12401-2026 FSC-klagomål.docx", "A 12401-2026")</f>
        <v/>
      </c>
      <c r="W35">
        <f>HYPERLINK("https://klasma.github.io/Logging_0115/klagomålsmail/A 12401-2026 FSC-klagomål mail.docx", "A 12401-2026")</f>
        <v/>
      </c>
      <c r="X35">
        <f>HYPERLINK("https://klasma.github.io/Logging_0115/tillsyn/A 12401-2026 tillsynsbegäran.docx", "A 12401-2026")</f>
        <v/>
      </c>
      <c r="Y35">
        <f>HYPERLINK("https://klasma.github.io/Logging_0115/tillsynsmail/A 12401-2026 tillsynsbegäran mail.docx", "A 12401-2026")</f>
        <v/>
      </c>
      <c r="Z35">
        <f>HYPERLINK("https://klasma.github.io/Logging_0115/fåglar/A 12401-2026 prioriterade fågelarter.docx", "A 12401-2026")</f>
        <v/>
      </c>
    </row>
    <row r="36" ht="15" customHeight="1">
      <c r="A36" t="inlineStr">
        <is>
          <t>A 7890-2023</t>
        </is>
      </c>
      <c r="B36" s="1" t="n">
        <v>44973</v>
      </c>
      <c r="C36" s="1" t="n">
        <v>46098</v>
      </c>
      <c r="D36" t="inlineStr">
        <is>
          <t>STOCKHOLMS LÄN</t>
        </is>
      </c>
      <c r="E36" t="inlineStr">
        <is>
          <t>VALLENTUNA</t>
        </is>
      </c>
      <c r="G36" t="n">
        <v>0.5</v>
      </c>
      <c r="H36" t="n">
        <v>0</v>
      </c>
      <c r="I36" t="n">
        <v>0</v>
      </c>
      <c r="J36" t="n">
        <v>1</v>
      </c>
      <c r="K36" t="n">
        <v>0</v>
      </c>
      <c r="L36" t="n">
        <v>0</v>
      </c>
      <c r="M36" t="n">
        <v>0</v>
      </c>
      <c r="N36" t="n">
        <v>0</v>
      </c>
      <c r="O36" t="n">
        <v>1</v>
      </c>
      <c r="P36" t="n">
        <v>0</v>
      </c>
      <c r="Q36" t="n">
        <v>1</v>
      </c>
      <c r="R36" s="2" t="inlineStr">
        <is>
          <t>Ullticka</t>
        </is>
      </c>
      <c r="S36">
        <f>HYPERLINK("https://klasma.github.io/Logging_0115/artfynd/A 7890-2023 artfynd.xlsx", "A 7890-2023")</f>
        <v/>
      </c>
      <c r="T36">
        <f>HYPERLINK("https://klasma.github.io/Logging_0115/kartor/A 7890-2023 karta.png", "A 7890-2023")</f>
        <v/>
      </c>
      <c r="V36">
        <f>HYPERLINK("https://klasma.github.io/Logging_0115/klagomål/A 7890-2023 FSC-klagomål.docx", "A 7890-2023")</f>
        <v/>
      </c>
      <c r="W36">
        <f>HYPERLINK("https://klasma.github.io/Logging_0115/klagomålsmail/A 7890-2023 FSC-klagomål mail.docx", "A 7890-2023")</f>
        <v/>
      </c>
      <c r="X36">
        <f>HYPERLINK("https://klasma.github.io/Logging_0115/tillsyn/A 7890-2023 tillsynsbegäran.docx", "A 7890-2023")</f>
        <v/>
      </c>
      <c r="Y36">
        <f>HYPERLINK("https://klasma.github.io/Logging_0115/tillsynsmail/A 7890-2023 tillsynsbegäran mail.docx", "A 7890-2023")</f>
        <v/>
      </c>
    </row>
    <row r="37" ht="15" customHeight="1">
      <c r="A37" t="inlineStr">
        <is>
          <t>A 22830-2024</t>
        </is>
      </c>
      <c r="B37" s="1" t="n">
        <v>45448.56583333333</v>
      </c>
      <c r="C37" s="1" t="n">
        <v>46098</v>
      </c>
      <c r="D37" t="inlineStr">
        <is>
          <t>STOCKHOLMS LÄN</t>
        </is>
      </c>
      <c r="E37" t="inlineStr">
        <is>
          <t>VALLENTUNA</t>
        </is>
      </c>
      <c r="G37" t="n">
        <v>0.3</v>
      </c>
      <c r="H37" t="n">
        <v>0</v>
      </c>
      <c r="I37" t="n">
        <v>0</v>
      </c>
      <c r="J37" t="n">
        <v>1</v>
      </c>
      <c r="K37" t="n">
        <v>0</v>
      </c>
      <c r="L37" t="n">
        <v>0</v>
      </c>
      <c r="M37" t="n">
        <v>0</v>
      </c>
      <c r="N37" t="n">
        <v>0</v>
      </c>
      <c r="O37" t="n">
        <v>1</v>
      </c>
      <c r="P37" t="n">
        <v>0</v>
      </c>
      <c r="Q37" t="n">
        <v>1</v>
      </c>
      <c r="R37" s="2" t="inlineStr">
        <is>
          <t>Tallticka</t>
        </is>
      </c>
      <c r="S37">
        <f>HYPERLINK("https://klasma.github.io/Logging_0115/artfynd/A 22830-2024 artfynd.xlsx", "A 22830-2024")</f>
        <v/>
      </c>
      <c r="T37">
        <f>HYPERLINK("https://klasma.github.io/Logging_0115/kartor/A 22830-2024 karta.png", "A 22830-2024")</f>
        <v/>
      </c>
      <c r="V37">
        <f>HYPERLINK("https://klasma.github.io/Logging_0115/klagomål/A 22830-2024 FSC-klagomål.docx", "A 22830-2024")</f>
        <v/>
      </c>
      <c r="W37">
        <f>HYPERLINK("https://klasma.github.io/Logging_0115/klagomålsmail/A 22830-2024 FSC-klagomål mail.docx", "A 22830-2024")</f>
        <v/>
      </c>
      <c r="X37">
        <f>HYPERLINK("https://klasma.github.io/Logging_0115/tillsyn/A 22830-2024 tillsynsbegäran.docx", "A 22830-2024")</f>
        <v/>
      </c>
      <c r="Y37">
        <f>HYPERLINK("https://klasma.github.io/Logging_0115/tillsynsmail/A 22830-2024 tillsynsbegäran mail.docx", "A 22830-2024")</f>
        <v/>
      </c>
    </row>
    <row r="38" ht="15" customHeight="1">
      <c r="A38" t="inlineStr">
        <is>
          <t>A 34460-2023</t>
        </is>
      </c>
      <c r="B38" s="1" t="n">
        <v>45139</v>
      </c>
      <c r="C38" s="1" t="n">
        <v>46098</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17348-2025</t>
        </is>
      </c>
      <c r="B39" s="1" t="n">
        <v>45756</v>
      </c>
      <c r="C39" s="1" t="n">
        <v>46098</v>
      </c>
      <c r="D39" t="inlineStr">
        <is>
          <t>STOCKHOLMS LÄN</t>
        </is>
      </c>
      <c r="E39" t="inlineStr">
        <is>
          <t>VALLENTUNA</t>
        </is>
      </c>
      <c r="F39" t="inlineStr">
        <is>
          <t>Övriga Aktiebolag</t>
        </is>
      </c>
      <c r="G39" t="n">
        <v>2.2</v>
      </c>
      <c r="H39" t="n">
        <v>0</v>
      </c>
      <c r="I39" t="n">
        <v>1</v>
      </c>
      <c r="J39" t="n">
        <v>0</v>
      </c>
      <c r="K39" t="n">
        <v>0</v>
      </c>
      <c r="L39" t="n">
        <v>0</v>
      </c>
      <c r="M39" t="n">
        <v>0</v>
      </c>
      <c r="N39" t="n">
        <v>0</v>
      </c>
      <c r="O39" t="n">
        <v>0</v>
      </c>
      <c r="P39" t="n">
        <v>0</v>
      </c>
      <c r="Q39" t="n">
        <v>1</v>
      </c>
      <c r="R39" s="2" t="inlineStr">
        <is>
          <t>Björksplintborre</t>
        </is>
      </c>
      <c r="S39">
        <f>HYPERLINK("https://klasma.github.io/Logging_0115/artfynd/A 17348-2025 artfynd.xlsx", "A 17348-2025")</f>
        <v/>
      </c>
      <c r="T39">
        <f>HYPERLINK("https://klasma.github.io/Logging_0115/kartor/A 17348-2025 karta.png", "A 17348-2025")</f>
        <v/>
      </c>
      <c r="V39">
        <f>HYPERLINK("https://klasma.github.io/Logging_0115/klagomål/A 17348-2025 FSC-klagomål.docx", "A 17348-2025")</f>
        <v/>
      </c>
      <c r="W39">
        <f>HYPERLINK("https://klasma.github.io/Logging_0115/klagomålsmail/A 17348-2025 FSC-klagomål mail.docx", "A 17348-2025")</f>
        <v/>
      </c>
      <c r="X39">
        <f>HYPERLINK("https://klasma.github.io/Logging_0115/tillsyn/A 17348-2025 tillsynsbegäran.docx", "A 17348-2025")</f>
        <v/>
      </c>
      <c r="Y39">
        <f>HYPERLINK("https://klasma.github.io/Logging_0115/tillsynsmail/A 17348-2025 tillsynsbegäran mail.docx", "A 17348-2025")</f>
        <v/>
      </c>
    </row>
    <row r="40" ht="15" customHeight="1">
      <c r="A40" t="inlineStr">
        <is>
          <t>A 34458-2023</t>
        </is>
      </c>
      <c r="B40" s="1" t="n">
        <v>45139</v>
      </c>
      <c r="C40" s="1" t="n">
        <v>46098</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21-2022</t>
        </is>
      </c>
      <c r="B41" s="1" t="n">
        <v>44560</v>
      </c>
      <c r="C41" s="1" t="n">
        <v>46098</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17341-2025</t>
        </is>
      </c>
      <c r="B42" s="1" t="n">
        <v>45756</v>
      </c>
      <c r="C42" s="1" t="n">
        <v>46098</v>
      </c>
      <c r="D42" t="inlineStr">
        <is>
          <t>STOCKHOLMS LÄN</t>
        </is>
      </c>
      <c r="E42" t="inlineStr">
        <is>
          <t>VALLENTUNA</t>
        </is>
      </c>
      <c r="F42" t="inlineStr">
        <is>
          <t>Övriga Aktiebolag</t>
        </is>
      </c>
      <c r="G42" t="n">
        <v>5.2</v>
      </c>
      <c r="H42" t="n">
        <v>0</v>
      </c>
      <c r="I42" t="n">
        <v>1</v>
      </c>
      <c r="J42" t="n">
        <v>0</v>
      </c>
      <c r="K42" t="n">
        <v>0</v>
      </c>
      <c r="L42" t="n">
        <v>0</v>
      </c>
      <c r="M42" t="n">
        <v>0</v>
      </c>
      <c r="N42" t="n">
        <v>0</v>
      </c>
      <c r="O42" t="n">
        <v>0</v>
      </c>
      <c r="P42" t="n">
        <v>0</v>
      </c>
      <c r="Q42" t="n">
        <v>1</v>
      </c>
      <c r="R42" s="2" t="inlineStr">
        <is>
          <t>Björksplintborre</t>
        </is>
      </c>
      <c r="S42">
        <f>HYPERLINK("https://klasma.github.io/Logging_0115/artfynd/A 17341-2025 artfynd.xlsx", "A 17341-2025")</f>
        <v/>
      </c>
      <c r="T42">
        <f>HYPERLINK("https://klasma.github.io/Logging_0115/kartor/A 17341-2025 karta.png", "A 17341-2025")</f>
        <v/>
      </c>
      <c r="V42">
        <f>HYPERLINK("https://klasma.github.io/Logging_0115/klagomål/A 17341-2025 FSC-klagomål.docx", "A 17341-2025")</f>
        <v/>
      </c>
      <c r="W42">
        <f>HYPERLINK("https://klasma.github.io/Logging_0115/klagomålsmail/A 17341-2025 FSC-klagomål mail.docx", "A 17341-2025")</f>
        <v/>
      </c>
      <c r="X42">
        <f>HYPERLINK("https://klasma.github.io/Logging_0115/tillsyn/A 17341-2025 tillsynsbegäran.docx", "A 17341-2025")</f>
        <v/>
      </c>
      <c r="Y42">
        <f>HYPERLINK("https://klasma.github.io/Logging_0115/tillsynsmail/A 17341-2025 tillsynsbegäran mail.docx", "A 17341-2025")</f>
        <v/>
      </c>
    </row>
    <row r="43" ht="15" customHeight="1">
      <c r="A43" t="inlineStr">
        <is>
          <t>A 20612-2021</t>
        </is>
      </c>
      <c r="B43" s="1" t="n">
        <v>44315</v>
      </c>
      <c r="C43" s="1" t="n">
        <v>46098</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46098</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46098</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46098</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46098</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46098</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46098</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46098</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46098</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46098</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46098</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46098</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46098</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46098</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46098</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46098</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46098</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46098</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46098</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14489-2024</t>
        </is>
      </c>
      <c r="B62" s="1" t="n">
        <v>45394.58053240741</v>
      </c>
      <c r="C62" s="1" t="n">
        <v>46098</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15268-2023</t>
        </is>
      </c>
      <c r="B63" s="1" t="n">
        <v>45019.41045138889</v>
      </c>
      <c r="C63" s="1" t="n">
        <v>46098</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61442-2024</t>
        </is>
      </c>
      <c r="B64" s="1" t="n">
        <v>45646.47003472222</v>
      </c>
      <c r="C64" s="1" t="n">
        <v>46098</v>
      </c>
      <c r="D64" t="inlineStr">
        <is>
          <t>STOCKHOLMS LÄN</t>
        </is>
      </c>
      <c r="E64" t="inlineStr">
        <is>
          <t>VALLENTUNA</t>
        </is>
      </c>
      <c r="G64" t="n">
        <v>4.6</v>
      </c>
      <c r="H64" t="n">
        <v>0</v>
      </c>
      <c r="I64" t="n">
        <v>0</v>
      </c>
      <c r="J64" t="n">
        <v>0</v>
      </c>
      <c r="K64" t="n">
        <v>0</v>
      </c>
      <c r="L64" t="n">
        <v>0</v>
      </c>
      <c r="M64" t="n">
        <v>0</v>
      </c>
      <c r="N64" t="n">
        <v>0</v>
      </c>
      <c r="O64" t="n">
        <v>0</v>
      </c>
      <c r="P64" t="n">
        <v>0</v>
      </c>
      <c r="Q64" t="n">
        <v>0</v>
      </c>
      <c r="R64" s="2" t="inlineStr"/>
    </row>
    <row r="65" ht="15" customHeight="1">
      <c r="A65" t="inlineStr">
        <is>
          <t>A 48068-2021</t>
        </is>
      </c>
      <c r="B65" s="1" t="n">
        <v>44449.42270833333</v>
      </c>
      <c r="C65" s="1" t="n">
        <v>46098</v>
      </c>
      <c r="D65" t="inlineStr">
        <is>
          <t>STOCKHOLMS LÄN</t>
        </is>
      </c>
      <c r="E65" t="inlineStr">
        <is>
          <t>VALLENTUNA</t>
        </is>
      </c>
      <c r="G65" t="n">
        <v>1.3</v>
      </c>
      <c r="H65" t="n">
        <v>0</v>
      </c>
      <c r="I65" t="n">
        <v>0</v>
      </c>
      <c r="J65" t="n">
        <v>0</v>
      </c>
      <c r="K65" t="n">
        <v>0</v>
      </c>
      <c r="L65" t="n">
        <v>0</v>
      </c>
      <c r="M65" t="n">
        <v>0</v>
      </c>
      <c r="N65" t="n">
        <v>0</v>
      </c>
      <c r="O65" t="n">
        <v>0</v>
      </c>
      <c r="P65" t="n">
        <v>0</v>
      </c>
      <c r="Q65" t="n">
        <v>0</v>
      </c>
      <c r="R65" s="2" t="inlineStr"/>
    </row>
    <row r="66" ht="15" customHeight="1">
      <c r="A66" t="inlineStr">
        <is>
          <t>A 45499-2023</t>
        </is>
      </c>
      <c r="B66" s="1" t="n">
        <v>45194</v>
      </c>
      <c r="C66" s="1" t="n">
        <v>46098</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34452-2021</t>
        </is>
      </c>
      <c r="B67" s="1" t="n">
        <v>44381</v>
      </c>
      <c r="C67" s="1" t="n">
        <v>46098</v>
      </c>
      <c r="D67" t="inlineStr">
        <is>
          <t>STOCKHOLMS LÄN</t>
        </is>
      </c>
      <c r="E67" t="inlineStr">
        <is>
          <t>VALLENTUNA</t>
        </is>
      </c>
      <c r="G67" t="n">
        <v>14.7</v>
      </c>
      <c r="H67" t="n">
        <v>0</v>
      </c>
      <c r="I67" t="n">
        <v>0</v>
      </c>
      <c r="J67" t="n">
        <v>0</v>
      </c>
      <c r="K67" t="n">
        <v>0</v>
      </c>
      <c r="L67" t="n">
        <v>0</v>
      </c>
      <c r="M67" t="n">
        <v>0</v>
      </c>
      <c r="N67" t="n">
        <v>0</v>
      </c>
      <c r="O67" t="n">
        <v>0</v>
      </c>
      <c r="P67" t="n">
        <v>0</v>
      </c>
      <c r="Q67" t="n">
        <v>0</v>
      </c>
      <c r="R67" s="2" t="inlineStr"/>
    </row>
    <row r="68" ht="15" customHeight="1">
      <c r="A68" t="inlineStr">
        <is>
          <t>A 20791-2025</t>
        </is>
      </c>
      <c r="B68" s="1" t="n">
        <v>45776.62738425926</v>
      </c>
      <c r="C68" s="1" t="n">
        <v>46098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10073-2024</t>
        </is>
      </c>
      <c r="B69" s="1" t="n">
        <v>45364.40821759259</v>
      </c>
      <c r="C69" s="1" t="n">
        <v>46098</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12621-2024</t>
        </is>
      </c>
      <c r="B70" s="1" t="n">
        <v>45383.6325</v>
      </c>
      <c r="C70" s="1" t="n">
        <v>46098</v>
      </c>
      <c r="D70" t="inlineStr">
        <is>
          <t>STOCKHOLMS LÄN</t>
        </is>
      </c>
      <c r="E70" t="inlineStr">
        <is>
          <t>VALLENTUNA</t>
        </is>
      </c>
      <c r="G70" t="n">
        <v>4.4</v>
      </c>
      <c r="H70" t="n">
        <v>0</v>
      </c>
      <c r="I70" t="n">
        <v>0</v>
      </c>
      <c r="J70" t="n">
        <v>0</v>
      </c>
      <c r="K70" t="n">
        <v>0</v>
      </c>
      <c r="L70" t="n">
        <v>0</v>
      </c>
      <c r="M70" t="n">
        <v>0</v>
      </c>
      <c r="N70" t="n">
        <v>0</v>
      </c>
      <c r="O70" t="n">
        <v>0</v>
      </c>
      <c r="P70" t="n">
        <v>0</v>
      </c>
      <c r="Q70" t="n">
        <v>0</v>
      </c>
      <c r="R70" s="2" t="inlineStr"/>
    </row>
    <row r="71" ht="15" customHeight="1">
      <c r="A71" t="inlineStr">
        <is>
          <t>A 48014-2025</t>
        </is>
      </c>
      <c r="B71" s="1" t="n">
        <v>45932.64520833334</v>
      </c>
      <c r="C71" s="1" t="n">
        <v>46098</v>
      </c>
      <c r="D71" t="inlineStr">
        <is>
          <t>STOCKHOLMS LÄN</t>
        </is>
      </c>
      <c r="E71" t="inlineStr">
        <is>
          <t>VALLENTUNA</t>
        </is>
      </c>
      <c r="G71" t="n">
        <v>0.6</v>
      </c>
      <c r="H71" t="n">
        <v>0</v>
      </c>
      <c r="I71" t="n">
        <v>0</v>
      </c>
      <c r="J71" t="n">
        <v>0</v>
      </c>
      <c r="K71" t="n">
        <v>0</v>
      </c>
      <c r="L71" t="n">
        <v>0</v>
      </c>
      <c r="M71" t="n">
        <v>0</v>
      </c>
      <c r="N71" t="n">
        <v>0</v>
      </c>
      <c r="O71" t="n">
        <v>0</v>
      </c>
      <c r="P71" t="n">
        <v>0</v>
      </c>
      <c r="Q71" t="n">
        <v>0</v>
      </c>
      <c r="R71" s="2" t="inlineStr"/>
    </row>
    <row r="72" ht="15" customHeight="1">
      <c r="A72" t="inlineStr">
        <is>
          <t>A 48038-2025</t>
        </is>
      </c>
      <c r="B72" s="1" t="n">
        <v>45932.66008101852</v>
      </c>
      <c r="C72" s="1" t="n">
        <v>46098</v>
      </c>
      <c r="D72" t="inlineStr">
        <is>
          <t>STOCKHOLMS LÄN</t>
        </is>
      </c>
      <c r="E72" t="inlineStr">
        <is>
          <t>VALLENTUNA</t>
        </is>
      </c>
      <c r="G72" t="n">
        <v>0.5</v>
      </c>
      <c r="H72" t="n">
        <v>0</v>
      </c>
      <c r="I72" t="n">
        <v>0</v>
      </c>
      <c r="J72" t="n">
        <v>0</v>
      </c>
      <c r="K72" t="n">
        <v>0</v>
      </c>
      <c r="L72" t="n">
        <v>0</v>
      </c>
      <c r="M72" t="n">
        <v>0</v>
      </c>
      <c r="N72" t="n">
        <v>0</v>
      </c>
      <c r="O72" t="n">
        <v>0</v>
      </c>
      <c r="P72" t="n">
        <v>0</v>
      </c>
      <c r="Q72" t="n">
        <v>0</v>
      </c>
      <c r="R72" s="2" t="inlineStr"/>
    </row>
    <row r="73" ht="15" customHeight="1">
      <c r="A73" t="inlineStr">
        <is>
          <t>A 46381-2023</t>
        </is>
      </c>
      <c r="B73" s="1" t="n">
        <v>45193</v>
      </c>
      <c r="C73" s="1" t="n">
        <v>46098</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46098</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61027-2023</t>
        </is>
      </c>
      <c r="B75" s="1" t="n">
        <v>45261</v>
      </c>
      <c r="C75" s="1" t="n">
        <v>46098</v>
      </c>
      <c r="D75" t="inlineStr">
        <is>
          <t>STOCKHOLMS LÄN</t>
        </is>
      </c>
      <c r="E75" t="inlineStr">
        <is>
          <t>VALLENTUNA</t>
        </is>
      </c>
      <c r="G75" t="n">
        <v>7.1</v>
      </c>
      <c r="H75" t="n">
        <v>0</v>
      </c>
      <c r="I75" t="n">
        <v>0</v>
      </c>
      <c r="J75" t="n">
        <v>0</v>
      </c>
      <c r="K75" t="n">
        <v>0</v>
      </c>
      <c r="L75" t="n">
        <v>0</v>
      </c>
      <c r="M75" t="n">
        <v>0</v>
      </c>
      <c r="N75" t="n">
        <v>0</v>
      </c>
      <c r="O75" t="n">
        <v>0</v>
      </c>
      <c r="P75" t="n">
        <v>0</v>
      </c>
      <c r="Q75" t="n">
        <v>0</v>
      </c>
      <c r="R75" s="2" t="inlineStr"/>
    </row>
    <row r="76" ht="15" customHeight="1">
      <c r="A76" t="inlineStr">
        <is>
          <t>A 50784-2025</t>
        </is>
      </c>
      <c r="B76" s="1" t="n">
        <v>45946</v>
      </c>
      <c r="C76" s="1" t="n">
        <v>46098</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23923-2025</t>
        </is>
      </c>
      <c r="B77" s="1" t="n">
        <v>45795.39648148148</v>
      </c>
      <c r="C77" s="1" t="n">
        <v>46098</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41206-2025</t>
        </is>
      </c>
      <c r="B78" s="1" t="n">
        <v>45898</v>
      </c>
      <c r="C78" s="1" t="n">
        <v>46098</v>
      </c>
      <c r="D78" t="inlineStr">
        <is>
          <t>STOCKHOLMS LÄN</t>
        </is>
      </c>
      <c r="E78" t="inlineStr">
        <is>
          <t>VALLENTUNA</t>
        </is>
      </c>
      <c r="G78" t="n">
        <v>10</v>
      </c>
      <c r="H78" t="n">
        <v>0</v>
      </c>
      <c r="I78" t="n">
        <v>0</v>
      </c>
      <c r="J78" t="n">
        <v>0</v>
      </c>
      <c r="K78" t="n">
        <v>0</v>
      </c>
      <c r="L78" t="n">
        <v>0</v>
      </c>
      <c r="M78" t="n">
        <v>0</v>
      </c>
      <c r="N78" t="n">
        <v>0</v>
      </c>
      <c r="O78" t="n">
        <v>0</v>
      </c>
      <c r="P78" t="n">
        <v>0</v>
      </c>
      <c r="Q78" t="n">
        <v>0</v>
      </c>
      <c r="R78" s="2" t="inlineStr"/>
    </row>
    <row r="79" ht="15" customHeight="1">
      <c r="A79" t="inlineStr">
        <is>
          <t>A 27868-2025</t>
        </is>
      </c>
      <c r="B79" s="1" t="n">
        <v>45817</v>
      </c>
      <c r="C79" s="1" t="n">
        <v>46098</v>
      </c>
      <c r="D79" t="inlineStr">
        <is>
          <t>STOCKHOLMS LÄN</t>
        </is>
      </c>
      <c r="E79" t="inlineStr">
        <is>
          <t>VALLENTUNA</t>
        </is>
      </c>
      <c r="G79" t="n">
        <v>2.1</v>
      </c>
      <c r="H79" t="n">
        <v>0</v>
      </c>
      <c r="I79" t="n">
        <v>0</v>
      </c>
      <c r="J79" t="n">
        <v>0</v>
      </c>
      <c r="K79" t="n">
        <v>0</v>
      </c>
      <c r="L79" t="n">
        <v>0</v>
      </c>
      <c r="M79" t="n">
        <v>0</v>
      </c>
      <c r="N79" t="n">
        <v>0</v>
      </c>
      <c r="O79" t="n">
        <v>0</v>
      </c>
      <c r="P79" t="n">
        <v>0</v>
      </c>
      <c r="Q79" t="n">
        <v>0</v>
      </c>
      <c r="R79" s="2" t="inlineStr"/>
    </row>
    <row r="80" ht="15" customHeight="1">
      <c r="A80" t="inlineStr">
        <is>
          <t>A 52989-2023</t>
        </is>
      </c>
      <c r="B80" s="1" t="n">
        <v>45226</v>
      </c>
      <c r="C80" s="1" t="n">
        <v>46098</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54460-2025</t>
        </is>
      </c>
      <c r="B81" s="1" t="n">
        <v>45965.56219907408</v>
      </c>
      <c r="C81" s="1" t="n">
        <v>46098</v>
      </c>
      <c r="D81" t="inlineStr">
        <is>
          <t>STOCKHOLMS LÄN</t>
        </is>
      </c>
      <c r="E81" t="inlineStr">
        <is>
          <t>VALLENTUNA</t>
        </is>
      </c>
      <c r="G81" t="n">
        <v>22.9</v>
      </c>
      <c r="H81" t="n">
        <v>0</v>
      </c>
      <c r="I81" t="n">
        <v>0</v>
      </c>
      <c r="J81" t="n">
        <v>0</v>
      </c>
      <c r="K81" t="n">
        <v>0</v>
      </c>
      <c r="L81" t="n">
        <v>0</v>
      </c>
      <c r="M81" t="n">
        <v>0</v>
      </c>
      <c r="N81" t="n">
        <v>0</v>
      </c>
      <c r="O81" t="n">
        <v>0</v>
      </c>
      <c r="P81" t="n">
        <v>0</v>
      </c>
      <c r="Q81" t="n">
        <v>0</v>
      </c>
      <c r="R81" s="2" t="inlineStr"/>
    </row>
    <row r="82" ht="15" customHeight="1">
      <c r="A82" t="inlineStr">
        <is>
          <t>A 54466-2025</t>
        </is>
      </c>
      <c r="B82" s="1" t="n">
        <v>45965.56984953704</v>
      </c>
      <c r="C82" s="1" t="n">
        <v>46098</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25984-2025</t>
        </is>
      </c>
      <c r="B83" s="1" t="n">
        <v>45804.64016203704</v>
      </c>
      <c r="C83" s="1" t="n">
        <v>46098</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26390-2023</t>
        </is>
      </c>
      <c r="B84" s="1" t="n">
        <v>45086</v>
      </c>
      <c r="C84" s="1" t="n">
        <v>46098</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44988-2025</t>
        </is>
      </c>
      <c r="B85" s="1" t="n">
        <v>45918.65505787037</v>
      </c>
      <c r="C85" s="1" t="n">
        <v>46098</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30902-2025</t>
        </is>
      </c>
      <c r="B86" s="1" t="n">
        <v>45832.36104166666</v>
      </c>
      <c r="C86" s="1" t="n">
        <v>46098</v>
      </c>
      <c r="D86" t="inlineStr">
        <is>
          <t>STOCKHOLMS LÄN</t>
        </is>
      </c>
      <c r="E86" t="inlineStr">
        <is>
          <t>VALLENTUNA</t>
        </is>
      </c>
      <c r="G86" t="n">
        <v>8.199999999999999</v>
      </c>
      <c r="H86" t="n">
        <v>0</v>
      </c>
      <c r="I86" t="n">
        <v>0</v>
      </c>
      <c r="J86" t="n">
        <v>0</v>
      </c>
      <c r="K86" t="n">
        <v>0</v>
      </c>
      <c r="L86" t="n">
        <v>0</v>
      </c>
      <c r="M86" t="n">
        <v>0</v>
      </c>
      <c r="N86" t="n">
        <v>0</v>
      </c>
      <c r="O86" t="n">
        <v>0</v>
      </c>
      <c r="P86" t="n">
        <v>0</v>
      </c>
      <c r="Q86" t="n">
        <v>0</v>
      </c>
      <c r="R86" s="2" t="inlineStr"/>
    </row>
    <row r="87" ht="15" customHeight="1">
      <c r="A87" t="inlineStr">
        <is>
          <t>A 27870-2025</t>
        </is>
      </c>
      <c r="B87" s="1" t="n">
        <v>45817</v>
      </c>
      <c r="C87" s="1" t="n">
        <v>46098</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61646-2025</t>
        </is>
      </c>
      <c r="B88" s="1" t="n">
        <v>46002</v>
      </c>
      <c r="C88" s="1" t="n">
        <v>46098</v>
      </c>
      <c r="D88" t="inlineStr">
        <is>
          <t>STOCKHOLMS LÄN</t>
        </is>
      </c>
      <c r="E88" t="inlineStr">
        <is>
          <t>VALLENTUNA</t>
        </is>
      </c>
      <c r="G88" t="n">
        <v>3.7</v>
      </c>
      <c r="H88" t="n">
        <v>0</v>
      </c>
      <c r="I88" t="n">
        <v>0</v>
      </c>
      <c r="J88" t="n">
        <v>0</v>
      </c>
      <c r="K88" t="n">
        <v>0</v>
      </c>
      <c r="L88" t="n">
        <v>0</v>
      </c>
      <c r="M88" t="n">
        <v>0</v>
      </c>
      <c r="N88" t="n">
        <v>0</v>
      </c>
      <c r="O88" t="n">
        <v>0</v>
      </c>
      <c r="P88" t="n">
        <v>0</v>
      </c>
      <c r="Q88" t="n">
        <v>0</v>
      </c>
      <c r="R88" s="2" t="inlineStr"/>
    </row>
    <row r="89" ht="15" customHeight="1">
      <c r="A89" t="inlineStr">
        <is>
          <t>A 28431-2025</t>
        </is>
      </c>
      <c r="B89" s="1" t="n">
        <v>45819.38072916667</v>
      </c>
      <c r="C89" s="1" t="n">
        <v>46098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15300-2023</t>
        </is>
      </c>
      <c r="B90" s="1" t="n">
        <v>45019</v>
      </c>
      <c r="C90" s="1" t="n">
        <v>46098</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44346-2021</t>
        </is>
      </c>
      <c r="B91" s="1" t="n">
        <v>44434</v>
      </c>
      <c r="C91" s="1" t="n">
        <v>46098</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61742-2022</t>
        </is>
      </c>
      <c r="B92" s="1" t="n">
        <v>44917</v>
      </c>
      <c r="C92" s="1" t="n">
        <v>46098</v>
      </c>
      <c r="D92" t="inlineStr">
        <is>
          <t>STOCKHOLMS LÄN</t>
        </is>
      </c>
      <c r="E92" t="inlineStr">
        <is>
          <t>VALLENTUNA</t>
        </is>
      </c>
      <c r="G92" t="n">
        <v>0.5</v>
      </c>
      <c r="H92" t="n">
        <v>0</v>
      </c>
      <c r="I92" t="n">
        <v>0</v>
      </c>
      <c r="J92" t="n">
        <v>0</v>
      </c>
      <c r="K92" t="n">
        <v>0</v>
      </c>
      <c r="L92" t="n">
        <v>0</v>
      </c>
      <c r="M92" t="n">
        <v>0</v>
      </c>
      <c r="N92" t="n">
        <v>0</v>
      </c>
      <c r="O92" t="n">
        <v>0</v>
      </c>
      <c r="P92" t="n">
        <v>0</v>
      </c>
      <c r="Q92" t="n">
        <v>0</v>
      </c>
      <c r="R92" s="2" t="inlineStr"/>
    </row>
    <row r="93" ht="15" customHeight="1">
      <c r="A93" t="inlineStr">
        <is>
          <t>A 414-2026</t>
        </is>
      </c>
      <c r="B93" s="1" t="n">
        <v>46028.76050925926</v>
      </c>
      <c r="C93" s="1" t="n">
        <v>46098</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12562-2023</t>
        </is>
      </c>
      <c r="B94" s="1" t="n">
        <v>45000</v>
      </c>
      <c r="C94" s="1" t="n">
        <v>46098</v>
      </c>
      <c r="D94" t="inlineStr">
        <is>
          <t>STOCKHOLMS LÄN</t>
        </is>
      </c>
      <c r="E94" t="inlineStr">
        <is>
          <t>VALLENTUNA</t>
        </is>
      </c>
      <c r="G94" t="n">
        <v>2.1</v>
      </c>
      <c r="H94" t="n">
        <v>0</v>
      </c>
      <c r="I94" t="n">
        <v>0</v>
      </c>
      <c r="J94" t="n">
        <v>0</v>
      </c>
      <c r="K94" t="n">
        <v>0</v>
      </c>
      <c r="L94" t="n">
        <v>0</v>
      </c>
      <c r="M94" t="n">
        <v>0</v>
      </c>
      <c r="N94" t="n">
        <v>0</v>
      </c>
      <c r="O94" t="n">
        <v>0</v>
      </c>
      <c r="P94" t="n">
        <v>0</v>
      </c>
      <c r="Q94" t="n">
        <v>0</v>
      </c>
      <c r="R94" s="2" t="inlineStr"/>
    </row>
    <row r="95" ht="15" customHeight="1">
      <c r="A95" t="inlineStr">
        <is>
          <t>A 14480-2024</t>
        </is>
      </c>
      <c r="B95" s="1" t="n">
        <v>45394.56777777777</v>
      </c>
      <c r="C95" s="1" t="n">
        <v>46098</v>
      </c>
      <c r="D95" t="inlineStr">
        <is>
          <t>STOCKHOLMS LÄN</t>
        </is>
      </c>
      <c r="E95" t="inlineStr">
        <is>
          <t>VALLENTUNA</t>
        </is>
      </c>
      <c r="G95" t="n">
        <v>1.8</v>
      </c>
      <c r="H95" t="n">
        <v>0</v>
      </c>
      <c r="I95" t="n">
        <v>0</v>
      </c>
      <c r="J95" t="n">
        <v>0</v>
      </c>
      <c r="K95" t="n">
        <v>0</v>
      </c>
      <c r="L95" t="n">
        <v>0</v>
      </c>
      <c r="M95" t="n">
        <v>0</v>
      </c>
      <c r="N95" t="n">
        <v>0</v>
      </c>
      <c r="O95" t="n">
        <v>0</v>
      </c>
      <c r="P95" t="n">
        <v>0</v>
      </c>
      <c r="Q95" t="n">
        <v>0</v>
      </c>
      <c r="R95" s="2" t="inlineStr"/>
    </row>
    <row r="96" ht="15" customHeight="1">
      <c r="A96" t="inlineStr">
        <is>
          <t>A 17340-2025</t>
        </is>
      </c>
      <c r="B96" s="1" t="n">
        <v>45756</v>
      </c>
      <c r="C96" s="1" t="n">
        <v>46098</v>
      </c>
      <c r="D96" t="inlineStr">
        <is>
          <t>STOCKHOLMS LÄN</t>
        </is>
      </c>
      <c r="E96" t="inlineStr">
        <is>
          <t>VALLENTUNA</t>
        </is>
      </c>
      <c r="F96" t="inlineStr">
        <is>
          <t>Övriga Aktiebolag</t>
        </is>
      </c>
      <c r="G96" t="n">
        <v>2.6</v>
      </c>
      <c r="H96" t="n">
        <v>0</v>
      </c>
      <c r="I96" t="n">
        <v>0</v>
      </c>
      <c r="J96" t="n">
        <v>0</v>
      </c>
      <c r="K96" t="n">
        <v>0</v>
      </c>
      <c r="L96" t="n">
        <v>0</v>
      </c>
      <c r="M96" t="n">
        <v>0</v>
      </c>
      <c r="N96" t="n">
        <v>0</v>
      </c>
      <c r="O96" t="n">
        <v>0</v>
      </c>
      <c r="P96" t="n">
        <v>0</v>
      </c>
      <c r="Q96" t="n">
        <v>0</v>
      </c>
      <c r="R96" s="2" t="inlineStr"/>
    </row>
    <row r="97" ht="15" customHeight="1">
      <c r="A97" t="inlineStr">
        <is>
          <t>A 30913-2021</t>
        </is>
      </c>
      <c r="B97" s="1" t="n">
        <v>44365</v>
      </c>
      <c r="C97" s="1" t="n">
        <v>46098</v>
      </c>
      <c r="D97" t="inlineStr">
        <is>
          <t>STOCKHOLMS LÄN</t>
        </is>
      </c>
      <c r="E97" t="inlineStr">
        <is>
          <t>VALLENTUNA</t>
        </is>
      </c>
      <c r="F97" t="inlineStr">
        <is>
          <t>Övriga Aktiebolag</t>
        </is>
      </c>
      <c r="G97" t="n">
        <v>3.3</v>
      </c>
      <c r="H97" t="n">
        <v>0</v>
      </c>
      <c r="I97" t="n">
        <v>0</v>
      </c>
      <c r="J97" t="n">
        <v>0</v>
      </c>
      <c r="K97" t="n">
        <v>0</v>
      </c>
      <c r="L97" t="n">
        <v>0</v>
      </c>
      <c r="M97" t="n">
        <v>0</v>
      </c>
      <c r="N97" t="n">
        <v>0</v>
      </c>
      <c r="O97" t="n">
        <v>0</v>
      </c>
      <c r="P97" t="n">
        <v>0</v>
      </c>
      <c r="Q97" t="n">
        <v>0</v>
      </c>
      <c r="R97" s="2" t="inlineStr"/>
    </row>
    <row r="98" ht="15" customHeight="1">
      <c r="A98" t="inlineStr">
        <is>
          <t>A 45496-2023</t>
        </is>
      </c>
      <c r="B98" s="1" t="n">
        <v>45194</v>
      </c>
      <c r="C98" s="1" t="n">
        <v>46098</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29704-2023</t>
        </is>
      </c>
      <c r="B99" s="1" t="n">
        <v>45107</v>
      </c>
      <c r="C99" s="1" t="n">
        <v>46098</v>
      </c>
      <c r="D99" t="inlineStr">
        <is>
          <t>STOCKHOLMS LÄN</t>
        </is>
      </c>
      <c r="E99" t="inlineStr">
        <is>
          <t>VALLENTUNA</t>
        </is>
      </c>
      <c r="G99" t="n">
        <v>3.7</v>
      </c>
      <c r="H99" t="n">
        <v>0</v>
      </c>
      <c r="I99" t="n">
        <v>0</v>
      </c>
      <c r="J99" t="n">
        <v>0</v>
      </c>
      <c r="K99" t="n">
        <v>0</v>
      </c>
      <c r="L99" t="n">
        <v>0</v>
      </c>
      <c r="M99" t="n">
        <v>0</v>
      </c>
      <c r="N99" t="n">
        <v>0</v>
      </c>
      <c r="O99" t="n">
        <v>0</v>
      </c>
      <c r="P99" t="n">
        <v>0</v>
      </c>
      <c r="Q99" t="n">
        <v>0</v>
      </c>
      <c r="R99" s="2" t="inlineStr"/>
    </row>
    <row r="100" ht="15" customHeight="1">
      <c r="A100" t="inlineStr">
        <is>
          <t>A 12396-2026</t>
        </is>
      </c>
      <c r="B100" s="1" t="n">
        <v>46090.38930555555</v>
      </c>
      <c r="C100" s="1" t="n">
        <v>46098</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12400-2026</t>
        </is>
      </c>
      <c r="B101" s="1" t="n">
        <v>46090.39423611111</v>
      </c>
      <c r="C101" s="1" t="n">
        <v>46098</v>
      </c>
      <c r="D101" t="inlineStr">
        <is>
          <t>STOCKHOLMS LÄN</t>
        </is>
      </c>
      <c r="E101" t="inlineStr">
        <is>
          <t>VALLENTUNA</t>
        </is>
      </c>
      <c r="G101" t="n">
        <v>1.9</v>
      </c>
      <c r="H101" t="n">
        <v>0</v>
      </c>
      <c r="I101" t="n">
        <v>0</v>
      </c>
      <c r="J101" t="n">
        <v>0</v>
      </c>
      <c r="K101" t="n">
        <v>0</v>
      </c>
      <c r="L101" t="n">
        <v>0</v>
      </c>
      <c r="M101" t="n">
        <v>0</v>
      </c>
      <c r="N101" t="n">
        <v>0</v>
      </c>
      <c r="O101" t="n">
        <v>0</v>
      </c>
      <c r="P101" t="n">
        <v>0</v>
      </c>
      <c r="Q101" t="n">
        <v>0</v>
      </c>
      <c r="R101" s="2" t="inlineStr"/>
    </row>
    <row r="102" ht="15" customHeight="1">
      <c r="A102" t="inlineStr">
        <is>
          <t>A 12609-2024</t>
        </is>
      </c>
      <c r="B102" s="1" t="n">
        <v>45382.8109375</v>
      </c>
      <c r="C102" s="1" t="n">
        <v>46098</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12830-2026</t>
        </is>
      </c>
      <c r="B103" s="1" t="n">
        <v>46092.42290509259</v>
      </c>
      <c r="C103" s="1" t="n">
        <v>46098</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12819-2026</t>
        </is>
      </c>
      <c r="B104" s="1" t="n">
        <v>46092.40896990741</v>
      </c>
      <c r="C104" s="1" t="n">
        <v>46098</v>
      </c>
      <c r="D104" t="inlineStr">
        <is>
          <t>STOCKHOLMS LÄN</t>
        </is>
      </c>
      <c r="E104" t="inlineStr">
        <is>
          <t>VALLENTUNA</t>
        </is>
      </c>
      <c r="G104" t="n">
        <v>3.5</v>
      </c>
      <c r="H104" t="n">
        <v>0</v>
      </c>
      <c r="I104" t="n">
        <v>0</v>
      </c>
      <c r="J104" t="n">
        <v>0</v>
      </c>
      <c r="K104" t="n">
        <v>0</v>
      </c>
      <c r="L104" t="n">
        <v>0</v>
      </c>
      <c r="M104" t="n">
        <v>0</v>
      </c>
      <c r="N104" t="n">
        <v>0</v>
      </c>
      <c r="O104" t="n">
        <v>0</v>
      </c>
      <c r="P104" t="n">
        <v>0</v>
      </c>
      <c r="Q104" t="n">
        <v>0</v>
      </c>
      <c r="R104" s="2" t="inlineStr"/>
    </row>
    <row r="105" ht="15" customHeight="1">
      <c r="A105" t="inlineStr">
        <is>
          <t>A 13836-2022</t>
        </is>
      </c>
      <c r="B105" s="1" t="n">
        <v>44649</v>
      </c>
      <c r="C105" s="1" t="n">
        <v>46098</v>
      </c>
      <c r="D105" t="inlineStr">
        <is>
          <t>STOCKHOLMS LÄN</t>
        </is>
      </c>
      <c r="E105" t="inlineStr">
        <is>
          <t>VALLENTUNA</t>
        </is>
      </c>
      <c r="G105" t="n">
        <v>3.5</v>
      </c>
      <c r="H105" t="n">
        <v>0</v>
      </c>
      <c r="I105" t="n">
        <v>0</v>
      </c>
      <c r="J105" t="n">
        <v>0</v>
      </c>
      <c r="K105" t="n">
        <v>0</v>
      </c>
      <c r="L105" t="n">
        <v>0</v>
      </c>
      <c r="M105" t="n">
        <v>0</v>
      </c>
      <c r="N105" t="n">
        <v>0</v>
      </c>
      <c r="O105" t="n">
        <v>0</v>
      </c>
      <c r="P105" t="n">
        <v>0</v>
      </c>
      <c r="Q105" t="n">
        <v>0</v>
      </c>
      <c r="R105" s="2" t="inlineStr"/>
    </row>
    <row r="106" ht="15" customHeight="1">
      <c r="A106" t="inlineStr">
        <is>
          <t>A 12822-2026</t>
        </is>
      </c>
      <c r="B106" s="1" t="n">
        <v>46092.41358796296</v>
      </c>
      <c r="C106" s="1" t="n">
        <v>46098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12828-2026</t>
        </is>
      </c>
      <c r="B107" s="1" t="n">
        <v>46092.41760416667</v>
      </c>
      <c r="C107" s="1" t="n">
        <v>46098</v>
      </c>
      <c r="D107" t="inlineStr">
        <is>
          <t>STOCKHOLMS LÄN</t>
        </is>
      </c>
      <c r="E107" t="inlineStr">
        <is>
          <t>VALLENTUNA</t>
        </is>
      </c>
      <c r="G107" t="n">
        <v>1</v>
      </c>
      <c r="H107" t="n">
        <v>0</v>
      </c>
      <c r="I107" t="n">
        <v>0</v>
      </c>
      <c r="J107" t="n">
        <v>0</v>
      </c>
      <c r="K107" t="n">
        <v>0</v>
      </c>
      <c r="L107" t="n">
        <v>0</v>
      </c>
      <c r="M107" t="n">
        <v>0</v>
      </c>
      <c r="N107" t="n">
        <v>0</v>
      </c>
      <c r="O107" t="n">
        <v>0</v>
      </c>
      <c r="P107" t="n">
        <v>0</v>
      </c>
      <c r="Q107" t="n">
        <v>0</v>
      </c>
      <c r="R107" s="2" t="inlineStr"/>
    </row>
    <row r="108" ht="15" customHeight="1">
      <c r="A108" t="inlineStr">
        <is>
          <t>A 6298-2026</t>
        </is>
      </c>
      <c r="B108" s="1" t="n">
        <v>46055.5656712963</v>
      </c>
      <c r="C108" s="1" t="n">
        <v>46098</v>
      </c>
      <c r="D108" t="inlineStr">
        <is>
          <t>STOCKHOLMS LÄN</t>
        </is>
      </c>
      <c r="E108" t="inlineStr">
        <is>
          <t>VALLENTUNA</t>
        </is>
      </c>
      <c r="G108" t="n">
        <v>3.3</v>
      </c>
      <c r="H108" t="n">
        <v>0</v>
      </c>
      <c r="I108" t="n">
        <v>0</v>
      </c>
      <c r="J108" t="n">
        <v>0</v>
      </c>
      <c r="K108" t="n">
        <v>0</v>
      </c>
      <c r="L108" t="n">
        <v>0</v>
      </c>
      <c r="M108" t="n">
        <v>0</v>
      </c>
      <c r="N108" t="n">
        <v>0</v>
      </c>
      <c r="O108" t="n">
        <v>0</v>
      </c>
      <c r="P108" t="n">
        <v>0</v>
      </c>
      <c r="Q108" t="n">
        <v>0</v>
      </c>
      <c r="R108" s="2" t="inlineStr"/>
    </row>
    <row r="109" ht="15" customHeight="1">
      <c r="A109" t="inlineStr">
        <is>
          <t>A 4804-2024</t>
        </is>
      </c>
      <c r="B109" s="1" t="n">
        <v>45328</v>
      </c>
      <c r="C109" s="1" t="n">
        <v>46098</v>
      </c>
      <c r="D109" t="inlineStr">
        <is>
          <t>STOCKHOLMS LÄN</t>
        </is>
      </c>
      <c r="E109" t="inlineStr">
        <is>
          <t>VALLENTUNA</t>
        </is>
      </c>
      <c r="G109" t="n">
        <v>3</v>
      </c>
      <c r="H109" t="n">
        <v>0</v>
      </c>
      <c r="I109" t="n">
        <v>0</v>
      </c>
      <c r="J109" t="n">
        <v>0</v>
      </c>
      <c r="K109" t="n">
        <v>0</v>
      </c>
      <c r="L109" t="n">
        <v>0</v>
      </c>
      <c r="M109" t="n">
        <v>0</v>
      </c>
      <c r="N109" t="n">
        <v>0</v>
      </c>
      <c r="O109" t="n">
        <v>0</v>
      </c>
      <c r="P109" t="n">
        <v>0</v>
      </c>
      <c r="Q109" t="n">
        <v>0</v>
      </c>
      <c r="R109" s="2" t="inlineStr"/>
    </row>
    <row r="110" ht="15" customHeight="1">
      <c r="A110" t="inlineStr">
        <is>
          <t>A 24707-2023</t>
        </is>
      </c>
      <c r="B110" s="1" t="n">
        <v>45084</v>
      </c>
      <c r="C110" s="1" t="n">
        <v>46098</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5910-2022</t>
        </is>
      </c>
      <c r="B111" s="1" t="n">
        <v>44597</v>
      </c>
      <c r="C111" s="1" t="n">
        <v>46098</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24994-2021</t>
        </is>
      </c>
      <c r="B112" s="1" t="n">
        <v>44341</v>
      </c>
      <c r="C112" s="1" t="n">
        <v>46098</v>
      </c>
      <c r="D112" t="inlineStr">
        <is>
          <t>STOCKHOLMS LÄN</t>
        </is>
      </c>
      <c r="E112" t="inlineStr">
        <is>
          <t>VALLENTUNA</t>
        </is>
      </c>
      <c r="G112" t="n">
        <v>2.6</v>
      </c>
      <c r="H112" t="n">
        <v>0</v>
      </c>
      <c r="I112" t="n">
        <v>0</v>
      </c>
      <c r="J112" t="n">
        <v>0</v>
      </c>
      <c r="K112" t="n">
        <v>0</v>
      </c>
      <c r="L112" t="n">
        <v>0</v>
      </c>
      <c r="M112" t="n">
        <v>0</v>
      </c>
      <c r="N112" t="n">
        <v>0</v>
      </c>
      <c r="O112" t="n">
        <v>0</v>
      </c>
      <c r="P112" t="n">
        <v>0</v>
      </c>
      <c r="Q112" t="n">
        <v>0</v>
      </c>
      <c r="R112" s="2" t="inlineStr"/>
    </row>
    <row r="113" ht="15" customHeight="1">
      <c r="A113" t="inlineStr">
        <is>
          <t>A 60795-2023</t>
        </is>
      </c>
      <c r="B113" s="1" t="n">
        <v>45260</v>
      </c>
      <c r="C113" s="1" t="n">
        <v>46098</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60997-2022</t>
        </is>
      </c>
      <c r="B114" s="1" t="n">
        <v>44914.70746527778</v>
      </c>
      <c r="C114" s="1" t="n">
        <v>46098</v>
      </c>
      <c r="D114" t="inlineStr">
        <is>
          <t>STOCKHOLMS LÄN</t>
        </is>
      </c>
      <c r="E114" t="inlineStr">
        <is>
          <t>VALLENTUNA</t>
        </is>
      </c>
      <c r="G114" t="n">
        <v>1.8</v>
      </c>
      <c r="H114" t="n">
        <v>0</v>
      </c>
      <c r="I114" t="n">
        <v>0</v>
      </c>
      <c r="J114" t="n">
        <v>0</v>
      </c>
      <c r="K114" t="n">
        <v>0</v>
      </c>
      <c r="L114" t="n">
        <v>0</v>
      </c>
      <c r="M114" t="n">
        <v>0</v>
      </c>
      <c r="N114" t="n">
        <v>0</v>
      </c>
      <c r="O114" t="n">
        <v>0</v>
      </c>
      <c r="P114" t="n">
        <v>0</v>
      </c>
      <c r="Q114" t="n">
        <v>0</v>
      </c>
      <c r="R114" s="2" t="inlineStr"/>
    </row>
    <row r="115" ht="15" customHeight="1">
      <c r="A115" t="inlineStr">
        <is>
          <t>A 14775-2024</t>
        </is>
      </c>
      <c r="B115" s="1" t="n">
        <v>45397.73675925926</v>
      </c>
      <c r="C115" s="1" t="n">
        <v>46098</v>
      </c>
      <c r="D115" t="inlineStr">
        <is>
          <t>STOCKHOLMS LÄN</t>
        </is>
      </c>
      <c r="E115" t="inlineStr">
        <is>
          <t>VALLENTUNA</t>
        </is>
      </c>
      <c r="G115" t="n">
        <v>1.7</v>
      </c>
      <c r="H115" t="n">
        <v>0</v>
      </c>
      <c r="I115" t="n">
        <v>0</v>
      </c>
      <c r="J115" t="n">
        <v>0</v>
      </c>
      <c r="K115" t="n">
        <v>0</v>
      </c>
      <c r="L115" t="n">
        <v>0</v>
      </c>
      <c r="M115" t="n">
        <v>0</v>
      </c>
      <c r="N115" t="n">
        <v>0</v>
      </c>
      <c r="O115" t="n">
        <v>0</v>
      </c>
      <c r="P115" t="n">
        <v>0</v>
      </c>
      <c r="Q115" t="n">
        <v>0</v>
      </c>
      <c r="R115" s="2" t="inlineStr"/>
    </row>
    <row r="116" ht="15" customHeight="1">
      <c r="A116" t="inlineStr">
        <is>
          <t>A 8565-2025</t>
        </is>
      </c>
      <c r="B116" s="1" t="n">
        <v>45709</v>
      </c>
      <c r="C116" s="1" t="n">
        <v>46098</v>
      </c>
      <c r="D116" t="inlineStr">
        <is>
          <t>STOCKHOLMS LÄN</t>
        </is>
      </c>
      <c r="E116" t="inlineStr">
        <is>
          <t>VALLENTUNA</t>
        </is>
      </c>
      <c r="F116" t="inlineStr">
        <is>
          <t>Kommuner</t>
        </is>
      </c>
      <c r="G116" t="n">
        <v>4.2</v>
      </c>
      <c r="H116" t="n">
        <v>0</v>
      </c>
      <c r="I116" t="n">
        <v>0</v>
      </c>
      <c r="J116" t="n">
        <v>0</v>
      </c>
      <c r="K116" t="n">
        <v>0</v>
      </c>
      <c r="L116" t="n">
        <v>0</v>
      </c>
      <c r="M116" t="n">
        <v>0</v>
      </c>
      <c r="N116" t="n">
        <v>0</v>
      </c>
      <c r="O116" t="n">
        <v>0</v>
      </c>
      <c r="P116" t="n">
        <v>0</v>
      </c>
      <c r="Q116" t="n">
        <v>0</v>
      </c>
      <c r="R116" s="2" t="inlineStr"/>
    </row>
    <row r="117" ht="15" customHeight="1">
      <c r="A117" t="inlineStr">
        <is>
          <t>A 8787-2024</t>
        </is>
      </c>
      <c r="B117" s="1" t="n">
        <v>45356</v>
      </c>
      <c r="C117" s="1" t="n">
        <v>46098</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14782-2024</t>
        </is>
      </c>
      <c r="B118" s="1" t="n">
        <v>45397.74266203704</v>
      </c>
      <c r="C118" s="1" t="n">
        <v>46098</v>
      </c>
      <c r="D118" t="inlineStr">
        <is>
          <t>STOCKHOLMS LÄN</t>
        </is>
      </c>
      <c r="E118" t="inlineStr">
        <is>
          <t>VALLENTUNA</t>
        </is>
      </c>
      <c r="G118" t="n">
        <v>3.1</v>
      </c>
      <c r="H118" t="n">
        <v>0</v>
      </c>
      <c r="I118" t="n">
        <v>0</v>
      </c>
      <c r="J118" t="n">
        <v>0</v>
      </c>
      <c r="K118" t="n">
        <v>0</v>
      </c>
      <c r="L118" t="n">
        <v>0</v>
      </c>
      <c r="M118" t="n">
        <v>0</v>
      </c>
      <c r="N118" t="n">
        <v>0</v>
      </c>
      <c r="O118" t="n">
        <v>0</v>
      </c>
      <c r="P118" t="n">
        <v>0</v>
      </c>
      <c r="Q118" t="n">
        <v>0</v>
      </c>
      <c r="R118" s="2" t="inlineStr"/>
    </row>
    <row r="119" ht="15" customHeight="1">
      <c r="A119" t="inlineStr">
        <is>
          <t>A 52562-2023</t>
        </is>
      </c>
      <c r="B119" s="1" t="n">
        <v>45225</v>
      </c>
      <c r="C119" s="1" t="n">
        <v>46098</v>
      </c>
      <c r="D119" t="inlineStr">
        <is>
          <t>STOCKHOLMS LÄN</t>
        </is>
      </c>
      <c r="E119" t="inlineStr">
        <is>
          <t>VALLENTUNA</t>
        </is>
      </c>
      <c r="G119" t="n">
        <v>3.4</v>
      </c>
      <c r="H119" t="n">
        <v>0</v>
      </c>
      <c r="I119" t="n">
        <v>0</v>
      </c>
      <c r="J119" t="n">
        <v>0</v>
      </c>
      <c r="K119" t="n">
        <v>0</v>
      </c>
      <c r="L119" t="n">
        <v>0</v>
      </c>
      <c r="M119" t="n">
        <v>0</v>
      </c>
      <c r="N119" t="n">
        <v>0</v>
      </c>
      <c r="O119" t="n">
        <v>0</v>
      </c>
      <c r="P119" t="n">
        <v>0</v>
      </c>
      <c r="Q119" t="n">
        <v>0</v>
      </c>
      <c r="R119" s="2" t="inlineStr"/>
    </row>
    <row r="120" ht="15" customHeight="1">
      <c r="A120" t="inlineStr">
        <is>
          <t>A 49530-2023</t>
        </is>
      </c>
      <c r="B120" s="1" t="n">
        <v>45205</v>
      </c>
      <c r="C120" s="1" t="n">
        <v>46098</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52542-2023</t>
        </is>
      </c>
      <c r="B121" s="1" t="n">
        <v>45225</v>
      </c>
      <c r="C121" s="1" t="n">
        <v>46098</v>
      </c>
      <c r="D121" t="inlineStr">
        <is>
          <t>STOCKHOLMS LÄN</t>
        </is>
      </c>
      <c r="E121" t="inlineStr">
        <is>
          <t>VALLENTUNA</t>
        </is>
      </c>
      <c r="G121" t="n">
        <v>3.8</v>
      </c>
      <c r="H121" t="n">
        <v>0</v>
      </c>
      <c r="I121" t="n">
        <v>0</v>
      </c>
      <c r="J121" t="n">
        <v>0</v>
      </c>
      <c r="K121" t="n">
        <v>0</v>
      </c>
      <c r="L121" t="n">
        <v>0</v>
      </c>
      <c r="M121" t="n">
        <v>0</v>
      </c>
      <c r="N121" t="n">
        <v>0</v>
      </c>
      <c r="O121" t="n">
        <v>0</v>
      </c>
      <c r="P121" t="n">
        <v>0</v>
      </c>
      <c r="Q121" t="n">
        <v>0</v>
      </c>
      <c r="R121" s="2" t="inlineStr"/>
    </row>
    <row r="122" ht="15" customHeight="1">
      <c r="A122" t="inlineStr">
        <is>
          <t>A 2318-2024</t>
        </is>
      </c>
      <c r="B122" s="1" t="n">
        <v>45310</v>
      </c>
      <c r="C122" s="1" t="n">
        <v>46098</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9063-2024</t>
        </is>
      </c>
      <c r="B123" s="1" t="n">
        <v>45357.72652777778</v>
      </c>
      <c r="C123" s="1" t="n">
        <v>46098</v>
      </c>
      <c r="D123" t="inlineStr">
        <is>
          <t>STOCKHOLMS LÄN</t>
        </is>
      </c>
      <c r="E123" t="inlineStr">
        <is>
          <t>VALLENTUNA</t>
        </is>
      </c>
      <c r="G123" t="n">
        <v>4.1</v>
      </c>
      <c r="H123" t="n">
        <v>0</v>
      </c>
      <c r="I123" t="n">
        <v>0</v>
      </c>
      <c r="J123" t="n">
        <v>0</v>
      </c>
      <c r="K123" t="n">
        <v>0</v>
      </c>
      <c r="L123" t="n">
        <v>0</v>
      </c>
      <c r="M123" t="n">
        <v>0</v>
      </c>
      <c r="N123" t="n">
        <v>0</v>
      </c>
      <c r="O123" t="n">
        <v>0</v>
      </c>
      <c r="P123" t="n">
        <v>0</v>
      </c>
      <c r="Q123" t="n">
        <v>0</v>
      </c>
      <c r="R123" s="2" t="inlineStr"/>
    </row>
    <row r="124" ht="15" customHeight="1">
      <c r="A124" t="inlineStr">
        <is>
          <t>A 21445-2023</t>
        </is>
      </c>
      <c r="B124" s="1" t="n">
        <v>45063</v>
      </c>
      <c r="C124" s="1" t="n">
        <v>46098</v>
      </c>
      <c r="D124" t="inlineStr">
        <is>
          <t>STOCKHOLMS LÄN</t>
        </is>
      </c>
      <c r="E124" t="inlineStr">
        <is>
          <t>VALLENTUNA</t>
        </is>
      </c>
      <c r="G124" t="n">
        <v>3.1</v>
      </c>
      <c r="H124" t="n">
        <v>0</v>
      </c>
      <c r="I124" t="n">
        <v>0</v>
      </c>
      <c r="J124" t="n">
        <v>0</v>
      </c>
      <c r="K124" t="n">
        <v>0</v>
      </c>
      <c r="L124" t="n">
        <v>0</v>
      </c>
      <c r="M124" t="n">
        <v>0</v>
      </c>
      <c r="N124" t="n">
        <v>0</v>
      </c>
      <c r="O124" t="n">
        <v>0</v>
      </c>
      <c r="P124" t="n">
        <v>0</v>
      </c>
      <c r="Q124" t="n">
        <v>0</v>
      </c>
      <c r="R124" s="2" t="inlineStr"/>
    </row>
    <row r="125" ht="15" customHeight="1">
      <c r="A125" t="inlineStr">
        <is>
          <t>A 34441-2023</t>
        </is>
      </c>
      <c r="B125" s="1" t="n">
        <v>45139</v>
      </c>
      <c r="C125" s="1" t="n">
        <v>46098</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34445-2023</t>
        </is>
      </c>
      <c r="B126" s="1" t="n">
        <v>45139</v>
      </c>
      <c r="C126" s="1" t="n">
        <v>46098</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735-2024</t>
        </is>
      </c>
      <c r="B127" s="1" t="n">
        <v>45300</v>
      </c>
      <c r="C127" s="1" t="n">
        <v>46098</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12585-2023</t>
        </is>
      </c>
      <c r="B128" s="1" t="n">
        <v>45000.41373842592</v>
      </c>
      <c r="C128" s="1" t="n">
        <v>46098</v>
      </c>
      <c r="D128" t="inlineStr">
        <is>
          <t>STOCKHOLMS LÄN</t>
        </is>
      </c>
      <c r="E128" t="inlineStr">
        <is>
          <t>VALLENTUNA</t>
        </is>
      </c>
      <c r="G128" t="n">
        <v>3.7</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46098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47140-2024</t>
        </is>
      </c>
      <c r="B130" s="1" t="n">
        <v>45586.58753472222</v>
      </c>
      <c r="C130" s="1" t="n">
        <v>46098</v>
      </c>
      <c r="D130" t="inlineStr">
        <is>
          <t>STOCKHOLMS LÄN</t>
        </is>
      </c>
      <c r="E130" t="inlineStr">
        <is>
          <t>VALLENTUNA</t>
        </is>
      </c>
      <c r="G130" t="n">
        <v>1</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46098</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21614-2022</t>
        </is>
      </c>
      <c r="B132" s="1" t="n">
        <v>44706</v>
      </c>
      <c r="C132" s="1" t="n">
        <v>46098</v>
      </c>
      <c r="D132" t="inlineStr">
        <is>
          <t>STOCKHOLMS LÄN</t>
        </is>
      </c>
      <c r="E132" t="inlineStr">
        <is>
          <t>VALLENTUNA</t>
        </is>
      </c>
      <c r="G132" t="n">
        <v>4</v>
      </c>
      <c r="H132" t="n">
        <v>0</v>
      </c>
      <c r="I132" t="n">
        <v>0</v>
      </c>
      <c r="J132" t="n">
        <v>0</v>
      </c>
      <c r="K132" t="n">
        <v>0</v>
      </c>
      <c r="L132" t="n">
        <v>0</v>
      </c>
      <c r="M132" t="n">
        <v>0</v>
      </c>
      <c r="N132" t="n">
        <v>0</v>
      </c>
      <c r="O132" t="n">
        <v>0</v>
      </c>
      <c r="P132" t="n">
        <v>0</v>
      </c>
      <c r="Q132" t="n">
        <v>0</v>
      </c>
      <c r="R132" s="2" t="inlineStr"/>
    </row>
    <row r="133" ht="15" customHeight="1">
      <c r="A133" t="inlineStr">
        <is>
          <t>A 23986-2023</t>
        </is>
      </c>
      <c r="B133" s="1" t="n">
        <v>45078</v>
      </c>
      <c r="C133" s="1" t="n">
        <v>46098</v>
      </c>
      <c r="D133" t="inlineStr">
        <is>
          <t>STOCKHOLMS LÄN</t>
        </is>
      </c>
      <c r="E133" t="inlineStr">
        <is>
          <t>VALLENTUNA</t>
        </is>
      </c>
      <c r="F133" t="inlineStr">
        <is>
          <t>Kyrkan</t>
        </is>
      </c>
      <c r="G133" t="n">
        <v>5.7</v>
      </c>
      <c r="H133" t="n">
        <v>0</v>
      </c>
      <c r="I133" t="n">
        <v>0</v>
      </c>
      <c r="J133" t="n">
        <v>0</v>
      </c>
      <c r="K133" t="n">
        <v>0</v>
      </c>
      <c r="L133" t="n">
        <v>0</v>
      </c>
      <c r="M133" t="n">
        <v>0</v>
      </c>
      <c r="N133" t="n">
        <v>0</v>
      </c>
      <c r="O133" t="n">
        <v>0</v>
      </c>
      <c r="P133" t="n">
        <v>0</v>
      </c>
      <c r="Q133" t="n">
        <v>0</v>
      </c>
      <c r="R133" s="2" t="inlineStr"/>
    </row>
    <row r="134" ht="15" customHeight="1">
      <c r="A134" t="inlineStr">
        <is>
          <t>A 24068-2024</t>
        </is>
      </c>
      <c r="B134" s="1" t="n">
        <v>45456</v>
      </c>
      <c r="C134" s="1" t="n">
        <v>46098</v>
      </c>
      <c r="D134" t="inlineStr">
        <is>
          <t>STOCKHOLMS LÄN</t>
        </is>
      </c>
      <c r="E134" t="inlineStr">
        <is>
          <t>VALLENTUNA</t>
        </is>
      </c>
      <c r="G134" t="n">
        <v>7.4</v>
      </c>
      <c r="H134" t="n">
        <v>0</v>
      </c>
      <c r="I134" t="n">
        <v>0</v>
      </c>
      <c r="J134" t="n">
        <v>0</v>
      </c>
      <c r="K134" t="n">
        <v>0</v>
      </c>
      <c r="L134" t="n">
        <v>0</v>
      </c>
      <c r="M134" t="n">
        <v>0</v>
      </c>
      <c r="N134" t="n">
        <v>0</v>
      </c>
      <c r="O134" t="n">
        <v>0</v>
      </c>
      <c r="P134" t="n">
        <v>0</v>
      </c>
      <c r="Q134" t="n">
        <v>0</v>
      </c>
      <c r="R134" s="2" t="inlineStr"/>
    </row>
    <row r="135" ht="15" customHeight="1">
      <c r="A135" t="inlineStr">
        <is>
          <t>A 3937-2022</t>
        </is>
      </c>
      <c r="B135" s="1" t="n">
        <v>44587</v>
      </c>
      <c r="C135" s="1" t="n">
        <v>46098</v>
      </c>
      <c r="D135" t="inlineStr">
        <is>
          <t>STOCKHOLMS LÄN</t>
        </is>
      </c>
      <c r="E135" t="inlineStr">
        <is>
          <t>VALLENTUNA</t>
        </is>
      </c>
      <c r="G135" t="n">
        <v>6.6</v>
      </c>
      <c r="H135" t="n">
        <v>0</v>
      </c>
      <c r="I135" t="n">
        <v>0</v>
      </c>
      <c r="J135" t="n">
        <v>0</v>
      </c>
      <c r="K135" t="n">
        <v>0</v>
      </c>
      <c r="L135" t="n">
        <v>0</v>
      </c>
      <c r="M135" t="n">
        <v>0</v>
      </c>
      <c r="N135" t="n">
        <v>0</v>
      </c>
      <c r="O135" t="n">
        <v>0</v>
      </c>
      <c r="P135" t="n">
        <v>0</v>
      </c>
      <c r="Q135" t="n">
        <v>0</v>
      </c>
      <c r="R135" s="2" t="inlineStr"/>
    </row>
    <row r="136" ht="15" customHeight="1">
      <c r="A136" t="inlineStr">
        <is>
          <t>A 23013-2024</t>
        </is>
      </c>
      <c r="B136" s="1" t="n">
        <v>45450.35116898148</v>
      </c>
      <c r="C136" s="1" t="n">
        <v>46098</v>
      </c>
      <c r="D136" t="inlineStr">
        <is>
          <t>STOCKHOLMS LÄN</t>
        </is>
      </c>
      <c r="E136" t="inlineStr">
        <is>
          <t>VALLENTUNA</t>
        </is>
      </c>
      <c r="G136" t="n">
        <v>0.4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44946.41527777778</v>
      </c>
      <c r="C137" s="1" t="n">
        <v>46098</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19503-2023</t>
        </is>
      </c>
      <c r="B138" s="1" t="n">
        <v>45050.47333333334</v>
      </c>
      <c r="C138" s="1" t="n">
        <v>46098</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4803-2024</t>
        </is>
      </c>
      <c r="B139" s="1" t="n">
        <v>45328</v>
      </c>
      <c r="C139" s="1" t="n">
        <v>46098</v>
      </c>
      <c r="D139" t="inlineStr">
        <is>
          <t>STOCKHOLMS LÄN</t>
        </is>
      </c>
      <c r="E139" t="inlineStr">
        <is>
          <t>VALLENTUNA</t>
        </is>
      </c>
      <c r="G139" t="n">
        <v>4.6</v>
      </c>
      <c r="H139" t="n">
        <v>0</v>
      </c>
      <c r="I139" t="n">
        <v>0</v>
      </c>
      <c r="J139" t="n">
        <v>0</v>
      </c>
      <c r="K139" t="n">
        <v>0</v>
      </c>
      <c r="L139" t="n">
        <v>0</v>
      </c>
      <c r="M139" t="n">
        <v>0</v>
      </c>
      <c r="N139" t="n">
        <v>0</v>
      </c>
      <c r="O139" t="n">
        <v>0</v>
      </c>
      <c r="P139" t="n">
        <v>0</v>
      </c>
      <c r="Q139" t="n">
        <v>0</v>
      </c>
      <c r="R139" s="2" t="inlineStr"/>
    </row>
    <row r="140" ht="15" customHeight="1">
      <c r="A140" t="inlineStr">
        <is>
          <t>A 3698-2022</t>
        </is>
      </c>
      <c r="B140" s="1" t="n">
        <v>44586</v>
      </c>
      <c r="C140" s="1" t="n">
        <v>46098</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46098</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12234-2022</t>
        </is>
      </c>
      <c r="B142" s="1" t="n">
        <v>44637</v>
      </c>
      <c r="C142" s="1" t="n">
        <v>46098</v>
      </c>
      <c r="D142" t="inlineStr">
        <is>
          <t>STOCKHOLMS LÄN</t>
        </is>
      </c>
      <c r="E142" t="inlineStr">
        <is>
          <t>VALLENTUNA</t>
        </is>
      </c>
      <c r="G142" t="n">
        <v>2.4</v>
      </c>
      <c r="H142" t="n">
        <v>0</v>
      </c>
      <c r="I142" t="n">
        <v>0</v>
      </c>
      <c r="J142" t="n">
        <v>0</v>
      </c>
      <c r="K142" t="n">
        <v>0</v>
      </c>
      <c r="L142" t="n">
        <v>0</v>
      </c>
      <c r="M142" t="n">
        <v>0</v>
      </c>
      <c r="N142" t="n">
        <v>0</v>
      </c>
      <c r="O142" t="n">
        <v>0</v>
      </c>
      <c r="P142" t="n">
        <v>0</v>
      </c>
      <c r="Q142" t="n">
        <v>0</v>
      </c>
      <c r="R142" s="2" t="inlineStr"/>
    </row>
    <row r="143" ht="15" customHeight="1">
      <c r="A143" t="inlineStr">
        <is>
          <t>A 24943-2024</t>
        </is>
      </c>
      <c r="B143" s="1" t="n">
        <v>45461.62585648148</v>
      </c>
      <c r="C143" s="1" t="n">
        <v>46098</v>
      </c>
      <c r="D143" t="inlineStr">
        <is>
          <t>STOCKHOLMS LÄN</t>
        </is>
      </c>
      <c r="E143" t="inlineStr">
        <is>
          <t>VALLENTUNA</t>
        </is>
      </c>
      <c r="G143" t="n">
        <v>2</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46098</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45035.82512731481</v>
      </c>
      <c r="C145" s="1" t="n">
        <v>46098</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1385-2024</t>
        </is>
      </c>
      <c r="B146" s="1" t="n">
        <v>45303</v>
      </c>
      <c r="C146" s="1" t="n">
        <v>46098</v>
      </c>
      <c r="D146" t="inlineStr">
        <is>
          <t>STOCKHOLMS LÄN</t>
        </is>
      </c>
      <c r="E146" t="inlineStr">
        <is>
          <t>VALLENTUNA</t>
        </is>
      </c>
      <c r="G146" t="n">
        <v>2.6</v>
      </c>
      <c r="H146" t="n">
        <v>0</v>
      </c>
      <c r="I146" t="n">
        <v>0</v>
      </c>
      <c r="J146" t="n">
        <v>0</v>
      </c>
      <c r="K146" t="n">
        <v>0</v>
      </c>
      <c r="L146" t="n">
        <v>0</v>
      </c>
      <c r="M146" t="n">
        <v>0</v>
      </c>
      <c r="N146" t="n">
        <v>0</v>
      </c>
      <c r="O146" t="n">
        <v>0</v>
      </c>
      <c r="P146" t="n">
        <v>0</v>
      </c>
      <c r="Q146" t="n">
        <v>0</v>
      </c>
      <c r="R146" s="2" t="inlineStr"/>
    </row>
    <row r="147" ht="15" customHeight="1">
      <c r="A147" t="inlineStr">
        <is>
          <t>A 60818-2023</t>
        </is>
      </c>
      <c r="B147" s="1" t="n">
        <v>45259</v>
      </c>
      <c r="C147" s="1" t="n">
        <v>46098</v>
      </c>
      <c r="D147" t="inlineStr">
        <is>
          <t>STOCKHOLMS LÄN</t>
        </is>
      </c>
      <c r="E147" t="inlineStr">
        <is>
          <t>VALLENTUNA</t>
        </is>
      </c>
      <c r="G147" t="n">
        <v>9.4</v>
      </c>
      <c r="H147" t="n">
        <v>0</v>
      </c>
      <c r="I147" t="n">
        <v>0</v>
      </c>
      <c r="J147" t="n">
        <v>0</v>
      </c>
      <c r="K147" t="n">
        <v>0</v>
      </c>
      <c r="L147" t="n">
        <v>0</v>
      </c>
      <c r="M147" t="n">
        <v>0</v>
      </c>
      <c r="N147" t="n">
        <v>0</v>
      </c>
      <c r="O147" t="n">
        <v>0</v>
      </c>
      <c r="P147" t="n">
        <v>0</v>
      </c>
      <c r="Q147" t="n">
        <v>0</v>
      </c>
      <c r="R147" s="2" t="inlineStr"/>
    </row>
    <row r="148" ht="15" customHeight="1">
      <c r="A148" t="inlineStr">
        <is>
          <t>A 7264-2022</t>
        </is>
      </c>
      <c r="B148" s="1" t="n">
        <v>44606</v>
      </c>
      <c r="C148" s="1" t="n">
        <v>46098</v>
      </c>
      <c r="D148" t="inlineStr">
        <is>
          <t>STOCKHOLMS LÄN</t>
        </is>
      </c>
      <c r="E148" t="inlineStr">
        <is>
          <t>VALLENTUNA</t>
        </is>
      </c>
      <c r="G148" t="n">
        <v>2.4</v>
      </c>
      <c r="H148" t="n">
        <v>0</v>
      </c>
      <c r="I148" t="n">
        <v>0</v>
      </c>
      <c r="J148" t="n">
        <v>0</v>
      </c>
      <c r="K148" t="n">
        <v>0</v>
      </c>
      <c r="L148" t="n">
        <v>0</v>
      </c>
      <c r="M148" t="n">
        <v>0</v>
      </c>
      <c r="N148" t="n">
        <v>0</v>
      </c>
      <c r="O148" t="n">
        <v>0</v>
      </c>
      <c r="P148" t="n">
        <v>0</v>
      </c>
      <c r="Q148" t="n">
        <v>0</v>
      </c>
      <c r="R148" s="2" t="inlineStr"/>
    </row>
    <row r="149" ht="15" customHeight="1">
      <c r="A149" t="inlineStr">
        <is>
          <t>A 19356-2025</t>
        </is>
      </c>
      <c r="B149" s="1" t="n">
        <v>45769.62061342593</v>
      </c>
      <c r="C149" s="1" t="n">
        <v>46098</v>
      </c>
      <c r="D149" t="inlineStr">
        <is>
          <t>STOCKHOLMS LÄN</t>
        </is>
      </c>
      <c r="E149" t="inlineStr">
        <is>
          <t>VALLENTUNA</t>
        </is>
      </c>
      <c r="F149" t="inlineStr">
        <is>
          <t>Övriga Aktiebolag</t>
        </is>
      </c>
      <c r="G149" t="n">
        <v>1.6</v>
      </c>
      <c r="H149" t="n">
        <v>0</v>
      </c>
      <c r="I149" t="n">
        <v>0</v>
      </c>
      <c r="J149" t="n">
        <v>0</v>
      </c>
      <c r="K149" t="n">
        <v>0</v>
      </c>
      <c r="L149" t="n">
        <v>0</v>
      </c>
      <c r="M149" t="n">
        <v>0</v>
      </c>
      <c r="N149" t="n">
        <v>0</v>
      </c>
      <c r="O149" t="n">
        <v>0</v>
      </c>
      <c r="P149" t="n">
        <v>0</v>
      </c>
      <c r="Q149" t="n">
        <v>0</v>
      </c>
      <c r="R149" s="2" t="inlineStr"/>
    </row>
    <row r="150">
      <c r="A150" t="inlineStr">
        <is>
          <t>A 11950-2025</t>
        </is>
      </c>
      <c r="B150" s="1" t="n">
        <v>45728.55622685186</v>
      </c>
      <c r="C150" s="1" t="n">
        <v>46098</v>
      </c>
      <c r="D150" t="inlineStr">
        <is>
          <t>STOCKHOLMS LÄN</t>
        </is>
      </c>
      <c r="E150" t="inlineStr">
        <is>
          <t>VALLENTUNA</t>
        </is>
      </c>
      <c r="G150" t="n">
        <v>1.4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2026-03-17T11:28:48Z</dcterms:created>
  <dcterms:modified xmlns:dcterms="http://purl.org/dc/terms/" xmlns:xsi="http://www.w3.org/2001/XMLSchema-instance" xsi:type="dcterms:W3CDTF">2026-03-17T11:28:48Z</dcterms:modified>
</cp:coreProperties>
</file>