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46159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46159</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46159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46159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46159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46159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46159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46159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46159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46159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46159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46159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46159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46159</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46159</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46159</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46159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46159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46159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46159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46159</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46159</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46159</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46159</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46159</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46159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17348-2025</t>
        </is>
      </c>
      <c r="B28" s="1" t="n">
        <v>45756</v>
      </c>
      <c r="C28" s="1" t="n">
        <v>46159</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14508-2024</t>
        </is>
      </c>
      <c r="B29" s="1" t="n">
        <v>45394.61583333334</v>
      </c>
      <c r="C29" s="1" t="n">
        <v>46159</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63539-2025</t>
        </is>
      </c>
      <c r="B30" s="1" t="n">
        <v>46013.58824074074</v>
      </c>
      <c r="C30" s="1" t="n">
        <v>46159</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22830-2024</t>
        </is>
      </c>
      <c r="B31" s="1" t="n">
        <v>45448.56583333333</v>
      </c>
      <c r="C31" s="1" t="n">
        <v>46159</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46159</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46159</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63543-2025</t>
        </is>
      </c>
      <c r="B34" s="1" t="n">
        <v>46013.59207175926</v>
      </c>
      <c r="C34" s="1" t="n">
        <v>46159</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12396-2026</t>
        </is>
      </c>
      <c r="B35" s="1" t="n">
        <v>46090.38930555555</v>
      </c>
      <c r="C35" s="1" t="n">
        <v>46159</v>
      </c>
      <c r="D35" t="inlineStr">
        <is>
          <t>STOCKHOLMS LÄN</t>
        </is>
      </c>
      <c r="E35" t="inlineStr">
        <is>
          <t>VALLENTUNA</t>
        </is>
      </c>
      <c r="G35" t="n">
        <v>3</v>
      </c>
      <c r="H35" t="n">
        <v>1</v>
      </c>
      <c r="I35" t="n">
        <v>0</v>
      </c>
      <c r="J35" t="n">
        <v>1</v>
      </c>
      <c r="K35" t="n">
        <v>0</v>
      </c>
      <c r="L35" t="n">
        <v>0</v>
      </c>
      <c r="M35" t="n">
        <v>0</v>
      </c>
      <c r="N35" t="n">
        <v>0</v>
      </c>
      <c r="O35" t="n">
        <v>1</v>
      </c>
      <c r="P35" t="n">
        <v>0</v>
      </c>
      <c r="Q35" t="n">
        <v>1</v>
      </c>
      <c r="R35" s="2" t="inlineStr">
        <is>
          <t>Spillkråka</t>
        </is>
      </c>
      <c r="S35">
        <f>HYPERLINK("https://klasma.github.io/Logging_0115/artfynd/A 12396-2026 artfynd.xlsx", "A 12396-2026")</f>
        <v/>
      </c>
      <c r="T35">
        <f>HYPERLINK("https://klasma.github.io/Logging_0115/kartor/A 12396-2026 karta.png", "A 12396-2026")</f>
        <v/>
      </c>
      <c r="V35">
        <f>HYPERLINK("https://klasma.github.io/Logging_0115/klagomål/A 12396-2026 FSC-klagomål.docx", "A 12396-2026")</f>
        <v/>
      </c>
      <c r="W35">
        <f>HYPERLINK("https://klasma.github.io/Logging_0115/klagomålsmail/A 12396-2026 FSC-klagomål mail.docx", "A 12396-2026")</f>
        <v/>
      </c>
      <c r="X35">
        <f>HYPERLINK("https://klasma.github.io/Logging_0115/tillsyn/A 12396-2026 tillsynsbegäran.docx", "A 12396-2026")</f>
        <v/>
      </c>
      <c r="Y35">
        <f>HYPERLINK("https://klasma.github.io/Logging_0115/tillsynsmail/A 12396-2026 tillsynsbegäran mail.docx", "A 12396-2026")</f>
        <v/>
      </c>
      <c r="Z35">
        <f>HYPERLINK("https://klasma.github.io/Logging_0115/fåglar/A 12396-2026 prioriterade fågelarter.docx", "A 12396-2026")</f>
        <v/>
      </c>
    </row>
    <row r="36" ht="15" customHeight="1">
      <c r="A36" t="inlineStr">
        <is>
          <t>A 12401-2026</t>
        </is>
      </c>
      <c r="B36" s="1" t="n">
        <v>46090</v>
      </c>
      <c r="C36" s="1" t="n">
        <v>46159</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21-2022</t>
        </is>
      </c>
      <c r="B37" s="1" t="n">
        <v>44560</v>
      </c>
      <c r="C37" s="1" t="n">
        <v>46159</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46159</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46159</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46159</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46159</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46159</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46159</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46159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46159</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46159</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46159</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46159</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46159</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46159</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46159</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46159</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46159</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46159</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46159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24994-2021</t>
        </is>
      </c>
      <c r="B56" s="1" t="n">
        <v>44341</v>
      </c>
      <c r="C56" s="1" t="n">
        <v>46159</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49530-2023</t>
        </is>
      </c>
      <c r="B57" s="1" t="n">
        <v>45205</v>
      </c>
      <c r="C57" s="1" t="n">
        <v>46159</v>
      </c>
      <c r="D57" t="inlineStr">
        <is>
          <t>STOCKHOLMS LÄN</t>
        </is>
      </c>
      <c r="E57" t="inlineStr">
        <is>
          <t>VALLENTUNA</t>
        </is>
      </c>
      <c r="G57" t="n">
        <v>1.2</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46159</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3078-2023</t>
        </is>
      </c>
      <c r="B59" s="1" t="n">
        <v>44946.41527777778</v>
      </c>
      <c r="C59" s="1" t="n">
        <v>46159</v>
      </c>
      <c r="D59" t="inlineStr">
        <is>
          <t>STOCKHOLMS LÄN</t>
        </is>
      </c>
      <c r="E59" t="inlineStr">
        <is>
          <t>VALLENTUNA</t>
        </is>
      </c>
      <c r="G59" t="n">
        <v>3.9</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46159</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46159</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46159</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46159</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46159</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414-2026</t>
        </is>
      </c>
      <c r="B65" s="1" t="n">
        <v>46028.76050925926</v>
      </c>
      <c r="C65" s="1" t="n">
        <v>46159</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46159</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48068-2021</t>
        </is>
      </c>
      <c r="B67" s="1" t="n">
        <v>44449.42270833333</v>
      </c>
      <c r="C67" s="1" t="n">
        <v>46159</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46159</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46159</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46159</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46159</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44988-2025</t>
        </is>
      </c>
      <c r="B72" s="1" t="n">
        <v>45918.65505787037</v>
      </c>
      <c r="C72" s="1" t="n">
        <v>46159</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46159</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46159</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46159</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46159</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46159</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24068-2024</t>
        </is>
      </c>
      <c r="B78" s="1" t="n">
        <v>45456</v>
      </c>
      <c r="C78" s="1" t="n">
        <v>46159</v>
      </c>
      <c r="D78" t="inlineStr">
        <is>
          <t>STOCKHOLMS LÄN</t>
        </is>
      </c>
      <c r="E78" t="inlineStr">
        <is>
          <t>VALLENTUNA</t>
        </is>
      </c>
      <c r="G78" t="n">
        <v>7.4</v>
      </c>
      <c r="H78" t="n">
        <v>0</v>
      </c>
      <c r="I78" t="n">
        <v>0</v>
      </c>
      <c r="J78" t="n">
        <v>0</v>
      </c>
      <c r="K78" t="n">
        <v>0</v>
      </c>
      <c r="L78" t="n">
        <v>0</v>
      </c>
      <c r="M78" t="n">
        <v>0</v>
      </c>
      <c r="N78" t="n">
        <v>0</v>
      </c>
      <c r="O78" t="n">
        <v>0</v>
      </c>
      <c r="P78" t="n">
        <v>0</v>
      </c>
      <c r="Q78" t="n">
        <v>0</v>
      </c>
      <c r="R78" s="2" t="inlineStr"/>
    </row>
    <row r="79" ht="15" customHeight="1">
      <c r="A79" t="inlineStr">
        <is>
          <t>A 6298-2026</t>
        </is>
      </c>
      <c r="B79" s="1" t="n">
        <v>46055.5656712963</v>
      </c>
      <c r="C79" s="1" t="n">
        <v>46159</v>
      </c>
      <c r="D79" t="inlineStr">
        <is>
          <t>STOCKHOLMS LÄN</t>
        </is>
      </c>
      <c r="E79" t="inlineStr">
        <is>
          <t>VALLENTUNA</t>
        </is>
      </c>
      <c r="G79" t="n">
        <v>3.3</v>
      </c>
      <c r="H79" t="n">
        <v>0</v>
      </c>
      <c r="I79" t="n">
        <v>0</v>
      </c>
      <c r="J79" t="n">
        <v>0</v>
      </c>
      <c r="K79" t="n">
        <v>0</v>
      </c>
      <c r="L79" t="n">
        <v>0</v>
      </c>
      <c r="M79" t="n">
        <v>0</v>
      </c>
      <c r="N79" t="n">
        <v>0</v>
      </c>
      <c r="O79" t="n">
        <v>0</v>
      </c>
      <c r="P79" t="n">
        <v>0</v>
      </c>
      <c r="Q79" t="n">
        <v>0</v>
      </c>
      <c r="R79" s="2" t="inlineStr"/>
    </row>
    <row r="80" ht="15" customHeight="1">
      <c r="A80" t="inlineStr">
        <is>
          <t>A 50784-2025</t>
        </is>
      </c>
      <c r="B80" s="1" t="n">
        <v>45946</v>
      </c>
      <c r="C80" s="1" t="n">
        <v>46159</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46159</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46159</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46159</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54466-2025</t>
        </is>
      </c>
      <c r="B84" s="1" t="n">
        <v>45965.56984953704</v>
      </c>
      <c r="C84" s="1" t="n">
        <v>46159</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46159</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46159</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46159</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46159</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46159</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46159</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17389-2026</t>
        </is>
      </c>
      <c r="B91" s="1" t="n">
        <v>46119.80603009259</v>
      </c>
      <c r="C91" s="1" t="n">
        <v>46159</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17387-2026</t>
        </is>
      </c>
      <c r="B92" s="1" t="n">
        <v>46119.79578703704</v>
      </c>
      <c r="C92" s="1" t="n">
        <v>46159</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17388-2026</t>
        </is>
      </c>
      <c r="B93" s="1" t="n">
        <v>46119.79952546296</v>
      </c>
      <c r="C93" s="1" t="n">
        <v>46159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27870-2025</t>
        </is>
      </c>
      <c r="B94" s="1" t="n">
        <v>45817</v>
      </c>
      <c r="C94" s="1" t="n">
        <v>46159</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26390-2023</t>
        </is>
      </c>
      <c r="B95" s="1" t="n">
        <v>45086</v>
      </c>
      <c r="C95" s="1" t="n">
        <v>46159</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46159</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46159</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46159</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12400-2026</t>
        </is>
      </c>
      <c r="B99" s="1" t="n">
        <v>46090.39423611111</v>
      </c>
      <c r="C99" s="1" t="n">
        <v>46159</v>
      </c>
      <c r="D99" t="inlineStr">
        <is>
          <t>STOCKHOLMS LÄN</t>
        </is>
      </c>
      <c r="E99" t="inlineStr">
        <is>
          <t>VALLENTUNA</t>
        </is>
      </c>
      <c r="G99" t="n">
        <v>1.9</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46159</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12819-2026</t>
        </is>
      </c>
      <c r="B101" s="1" t="n">
        <v>46092.40896990741</v>
      </c>
      <c r="C101" s="1" t="n">
        <v>46159</v>
      </c>
      <c r="D101" t="inlineStr">
        <is>
          <t>STOCKHOLMS LÄN</t>
        </is>
      </c>
      <c r="E101" t="inlineStr">
        <is>
          <t>VALLENTUNA</t>
        </is>
      </c>
      <c r="G101" t="n">
        <v>3.5</v>
      </c>
      <c r="H101" t="n">
        <v>0</v>
      </c>
      <c r="I101" t="n">
        <v>0</v>
      </c>
      <c r="J101" t="n">
        <v>0</v>
      </c>
      <c r="K101" t="n">
        <v>0</v>
      </c>
      <c r="L101" t="n">
        <v>0</v>
      </c>
      <c r="M101" t="n">
        <v>0</v>
      </c>
      <c r="N101" t="n">
        <v>0</v>
      </c>
      <c r="O101" t="n">
        <v>0</v>
      </c>
      <c r="P101" t="n">
        <v>0</v>
      </c>
      <c r="Q101" t="n">
        <v>0</v>
      </c>
      <c r="R101" s="2" t="inlineStr"/>
    </row>
    <row r="102" ht="15" customHeight="1">
      <c r="A102" t="inlineStr">
        <is>
          <t>A 12830-2026</t>
        </is>
      </c>
      <c r="B102" s="1" t="n">
        <v>46092.42290509259</v>
      </c>
      <c r="C102" s="1" t="n">
        <v>46159</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12822-2026</t>
        </is>
      </c>
      <c r="B103" s="1" t="n">
        <v>46092.41358796296</v>
      </c>
      <c r="C103" s="1" t="n">
        <v>46159</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12828-2026</t>
        </is>
      </c>
      <c r="B104" s="1" t="n">
        <v>46092.41760416667</v>
      </c>
      <c r="C104" s="1" t="n">
        <v>46159</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46159</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46159</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20910-2026</t>
        </is>
      </c>
      <c r="B107" s="1" t="n">
        <v>46142.46608796297</v>
      </c>
      <c r="C107" s="1" t="n">
        <v>46159</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20914-2026</t>
        </is>
      </c>
      <c r="B108" s="1" t="n">
        <v>46142.4724074074</v>
      </c>
      <c r="C108" s="1" t="n">
        <v>46159</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4803-2024</t>
        </is>
      </c>
      <c r="B109" s="1" t="n">
        <v>45328</v>
      </c>
      <c r="C109" s="1" t="n">
        <v>46159</v>
      </c>
      <c r="D109" t="inlineStr">
        <is>
          <t>STOCKHOLMS LÄN</t>
        </is>
      </c>
      <c r="E109" t="inlineStr">
        <is>
          <t>VALLENTUNA</t>
        </is>
      </c>
      <c r="G109" t="n">
        <v>4.6</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46159</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46159</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11950-2025</t>
        </is>
      </c>
      <c r="B112" s="1" t="n">
        <v>45728.55622685186</v>
      </c>
      <c r="C112" s="1" t="n">
        <v>46159</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46159</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46159</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46159</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46159</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46159</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46159</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46159</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46159</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46159</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46159</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46159</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46159</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46159</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46159</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46159</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46159</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46159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46159</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46159</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46159</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46159</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46159</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46159</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46159</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46159</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46159</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46159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46159</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46159</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46159</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46159</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46159</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46159</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46159</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46159</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61027-2023</t>
        </is>
      </c>
      <c r="B148" s="1" t="n">
        <v>45261</v>
      </c>
      <c r="C148" s="1" t="n">
        <v>46159</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row r="149">
      <c r="A149" t="inlineStr">
        <is>
          <t>A 23009-2024</t>
        </is>
      </c>
      <c r="B149" s="1" t="n">
        <v>45450.34506944445</v>
      </c>
      <c r="C149" s="1" t="n">
        <v>46159</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2026-05-17T14:03:05Z</dcterms:created>
  <dcterms:modified xmlns:dcterms="http://purl.org/dc/terms/" xmlns:xsi="http://www.w3.org/2001/XMLSchema-instance" xsi:type="dcterms:W3CDTF">2026-05-17T14:03:05Z</dcterms:modified>
</cp:coreProperties>
</file>