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46291</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46291</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46291</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46291</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46291</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46291</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46291</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46291</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46291</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46291</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46291</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46291</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48717-2024</t>
        </is>
      </c>
      <c r="B17" t="inlineStr">
        <is>
          <t>avverkningsanmälan</t>
        </is>
      </c>
      <c r="C17" t="inlineStr">
        <is>
          <t>Föryngringsavverkning</t>
        </is>
      </c>
      <c r="D17" s="1" t="n">
        <v>45593</v>
      </c>
      <c r="E17" s="1" t="n">
        <v>46291</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46291</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46291</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46291</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46291</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46291</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46291</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46291</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46291</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t="n">
        <v>0</v>
      </c>
      <c r="V25" s="2" t="inlineStr">
        <is>
          <t>Större vattensalamander
Mindre vattensalamander</t>
        </is>
      </c>
      <c r="W25">
        <f>HYPERLINK("https://klasma.github.io/Logging_0115/artfynd/A 27935-2026 artfynd.xlsx", "A 27935-2026")</f>
        <v/>
      </c>
      <c r="X25">
        <f>HYPERLINK("https://klasma.github.io/Logging_0115/kartor/A 27935-2026 karta.png", "A 27935-2026")</f>
        <v/>
      </c>
      <c r="Y25">
        <f>HYPERLINK("https://klasma.github.io/Logging_0115/kartor_geotiff/A 27935-2026 georefererad karta.tif", "A 27935-2026")</f>
        <v/>
      </c>
      <c r="AA25">
        <f>HYPERLINK("https://klasma.github.io/Logging_0115/klagomål/A 27935-2026 FSC-klagomål.docx", "A 27935-2026")</f>
        <v/>
      </c>
      <c r="AB25">
        <f>HYPERLINK("https://klasma.github.io/Logging_0115/klagomålsmail/A 27935-2026 FSC-klagomål mail.docx", "A 27935-2026")</f>
        <v/>
      </c>
      <c r="AC25">
        <f>HYPERLINK("https://klasma.github.io/Logging_0115/tillsyn/A 27935-2026 tillsynsbegäran.docx", "A 27935-2026")</f>
        <v/>
      </c>
      <c r="AD25">
        <f>HYPERLINK("https://klasma.github.io/Logging_0115/tillsynsmail/A 27935-2026 tillsynsbegäran mail.docx", "A 27935-2026")</f>
        <v/>
      </c>
    </row>
    <row r="26" ht="15" customHeight="1">
      <c r="A26" t="inlineStr">
        <is>
          <t>A 41021-2023</t>
        </is>
      </c>
      <c r="B26" t="inlineStr">
        <is>
          <t>avverkningsanmälan</t>
        </is>
      </c>
      <c r="C26" t="inlineStr">
        <is>
          <t>Föryngringsavverkning</t>
        </is>
      </c>
      <c r="D26" s="1" t="n">
        <v>45173</v>
      </c>
      <c r="E26" s="1" t="n">
        <v>46291</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39168-2026</t>
        </is>
      </c>
      <c r="B27" t="inlineStr">
        <is>
          <t>avverkningsanmälan</t>
        </is>
      </c>
      <c r="C27" t="inlineStr">
        <is>
          <t>Föryngringsavverkning</t>
        </is>
      </c>
      <c r="D27" s="1" t="n">
        <v>46287</v>
      </c>
      <c r="E27" s="1" t="n">
        <v>46291</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46291</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34460-2023</t>
        </is>
      </c>
      <c r="B29" t="inlineStr">
        <is>
          <t>avverkningsanmälan</t>
        </is>
      </c>
      <c r="C29" t="inlineStr">
        <is>
          <t>Föryngringsavverkning</t>
        </is>
      </c>
      <c r="D29" s="1" t="n">
        <v>45139</v>
      </c>
      <c r="E29" s="1" t="n">
        <v>46291</v>
      </c>
      <c r="F29" t="inlineStr">
        <is>
          <t>STOCKHOLMS LÄN</t>
        </is>
      </c>
      <c r="G29" t="inlineStr">
        <is>
          <t>VALLENTUNA</t>
        </is>
      </c>
      <c r="I29" t="n">
        <v>1.7</v>
      </c>
      <c r="J29" t="n">
        <v>0</v>
      </c>
      <c r="K29" t="n">
        <v>0</v>
      </c>
      <c r="L29" t="n">
        <v>2</v>
      </c>
      <c r="M29" t="n">
        <v>0</v>
      </c>
      <c r="N29" t="n">
        <v>0</v>
      </c>
      <c r="O29" t="n">
        <v>0</v>
      </c>
      <c r="P29" t="n">
        <v>0</v>
      </c>
      <c r="Q29" t="n">
        <v>2</v>
      </c>
      <c r="R29" t="n">
        <v>0</v>
      </c>
      <c r="S29" t="n">
        <v>2</v>
      </c>
      <c r="T29" t="n">
        <v>2</v>
      </c>
      <c r="U29" t="n">
        <v>2</v>
      </c>
      <c r="V29" s="2" t="inlineStr">
        <is>
          <t>Motaggsvamp
Orange taggsvamp</t>
        </is>
      </c>
      <c r="W29">
        <f>HYPERLINK("https://klasma.github.io/Logging_0115/artfynd/A 34460-2023 artfynd.xlsx", "A 34460-2023")</f>
        <v/>
      </c>
      <c r="X29">
        <f>HYPERLINK("https://klasma.github.io/Logging_0115/kartor/A 34460-2023 karta.png", "A 34460-2023")</f>
        <v/>
      </c>
      <c r="Y29">
        <f>HYPERLINK("https://klasma.github.io/Logging_0115/kartor_geotiff/A 34460-2023 georefererad karta.tif", "A 34460-2023")</f>
        <v/>
      </c>
      <c r="AA29">
        <f>HYPERLINK("https://klasma.github.io/Logging_0115/klagomål/A 34460-2023 FSC-klagomål.docx", "A 34460-2023")</f>
        <v/>
      </c>
      <c r="AB29">
        <f>HYPERLINK("https://klasma.github.io/Logging_0115/klagomålsmail/A 34460-2023 FSC-klagomål mail.docx", "A 34460-2023")</f>
        <v/>
      </c>
      <c r="AC29">
        <f>HYPERLINK("https://klasma.github.io/Logging_0115/tillsyn/A 34460-2023 tillsynsbegäran.docx", "A 34460-2023")</f>
        <v/>
      </c>
      <c r="AD29">
        <f>HYPERLINK("https://klasma.github.io/Logging_0115/tillsynsmail/A 34460-2023 tillsynsbegäran mail.docx", "A 34460-2023")</f>
        <v/>
      </c>
    </row>
    <row r="30" ht="15" customHeight="1">
      <c r="A30" t="inlineStr">
        <is>
          <t>A 17348-2025</t>
        </is>
      </c>
      <c r="B30" t="inlineStr">
        <is>
          <t>avverkningsanmälan</t>
        </is>
      </c>
      <c r="C30" t="inlineStr">
        <is>
          <t>Föryngringsavverkning</t>
        </is>
      </c>
      <c r="D30" s="1" t="n">
        <v>45756</v>
      </c>
      <c r="E30" s="1" t="n">
        <v>46291</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46291</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12396-2026</t>
        </is>
      </c>
      <c r="B32" t="inlineStr">
        <is>
          <t>avverkningsanmälan</t>
        </is>
      </c>
      <c r="C32" t="inlineStr">
        <is>
          <t>Föryngringsavverkning</t>
        </is>
      </c>
      <c r="D32" s="1" t="n">
        <v>46090</v>
      </c>
      <c r="E32" s="1" t="n">
        <v>46291</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46291</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46291</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46291</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24068-2024</t>
        </is>
      </c>
      <c r="B36" t="inlineStr">
        <is>
          <t>avverkningsanmälan</t>
        </is>
      </c>
      <c r="C36" t="inlineStr">
        <is>
          <t>Föryngringsavverkning</t>
        </is>
      </c>
      <c r="D36" s="1" t="n">
        <v>45456</v>
      </c>
      <c r="E36" s="1" t="n">
        <v>46291</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7890-2023</t>
        </is>
      </c>
      <c r="B37" t="inlineStr">
        <is>
          <t>avverkningsanmälan</t>
        </is>
      </c>
      <c r="C37" t="inlineStr">
        <is>
          <t>Föryngringsavverkning</t>
        </is>
      </c>
      <c r="D37" s="1" t="n">
        <v>44973</v>
      </c>
      <c r="E37" s="1" t="n">
        <v>46291</v>
      </c>
      <c r="F37" t="inlineStr">
        <is>
          <t>STOCKHOLMS LÄN</t>
        </is>
      </c>
      <c r="G37" t="inlineStr">
        <is>
          <t>VALLENTUNA</t>
        </is>
      </c>
      <c r="I37" t="n">
        <v>0.5</v>
      </c>
      <c r="J37" t="n">
        <v>0</v>
      </c>
      <c r="K37" t="n">
        <v>0</v>
      </c>
      <c r="L37" t="n">
        <v>1</v>
      </c>
      <c r="M37" t="n">
        <v>0</v>
      </c>
      <c r="N37" t="n">
        <v>0</v>
      </c>
      <c r="O37" t="n">
        <v>0</v>
      </c>
      <c r="P37" t="n">
        <v>0</v>
      </c>
      <c r="Q37" t="n">
        <v>1</v>
      </c>
      <c r="R37" t="n">
        <v>0</v>
      </c>
      <c r="S37" t="n">
        <v>1</v>
      </c>
      <c r="T37" t="n">
        <v>1</v>
      </c>
      <c r="U37" t="n">
        <v>1</v>
      </c>
      <c r="V37" s="2" t="inlineStr">
        <is>
          <t>Ullticka</t>
        </is>
      </c>
      <c r="W37">
        <f>HYPERLINK("https://klasma.github.io/Logging_0115/artfynd/A 7890-2023 artfynd.xlsx", "A 7890-2023")</f>
        <v/>
      </c>
      <c r="X37">
        <f>HYPERLINK("https://klasma.github.io/Logging_0115/kartor/A 7890-2023 karta.png", "A 7890-2023")</f>
        <v/>
      </c>
      <c r="Y37">
        <f>HYPERLINK("https://klasma.github.io/Logging_0115/kartor_geotiff/A 7890-2023 georefererad karta.tif", "A 7890-2023")</f>
        <v/>
      </c>
      <c r="AA37">
        <f>HYPERLINK("https://klasma.github.io/Logging_0115/klagomål/A 7890-2023 FSC-klagomål.docx", "A 7890-2023")</f>
        <v/>
      </c>
      <c r="AB37">
        <f>HYPERLINK("https://klasma.github.io/Logging_0115/klagomålsmail/A 7890-2023 FSC-klagomål mail.docx", "A 7890-2023")</f>
        <v/>
      </c>
      <c r="AC37">
        <f>HYPERLINK("https://klasma.github.io/Logging_0115/tillsyn/A 7890-2023 tillsynsbegäran.docx", "A 7890-2023")</f>
        <v/>
      </c>
      <c r="AD37">
        <f>HYPERLINK("https://klasma.github.io/Logging_0115/tillsynsmail/A 7890-2023 tillsynsbegäran mail.docx", "A 7890-2023")</f>
        <v/>
      </c>
    </row>
    <row r="38" ht="15" customHeight="1">
      <c r="A38" t="inlineStr">
        <is>
          <t>A 20910-2026</t>
        </is>
      </c>
      <c r="B38" t="inlineStr">
        <is>
          <t>avverkningsanmälan</t>
        </is>
      </c>
      <c r="C38" t="inlineStr">
        <is>
          <t>Föryngringsavverkning</t>
        </is>
      </c>
      <c r="D38" s="1" t="n">
        <v>46142</v>
      </c>
      <c r="E38" s="1" t="n">
        <v>46291</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20914-2026</t>
        </is>
      </c>
      <c r="B39" t="inlineStr">
        <is>
          <t>avverkningsanmälan</t>
        </is>
      </c>
      <c r="C39" t="inlineStr">
        <is>
          <t>Avverkning för att bevara och utveckla /försöksver</t>
        </is>
      </c>
      <c r="D39" s="1" t="n">
        <v>46142</v>
      </c>
      <c r="E39" s="1" t="n">
        <v>46291</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21-2022</t>
        </is>
      </c>
      <c r="B40" t="inlineStr">
        <is>
          <t>avverkningsanmälan</t>
        </is>
      </c>
      <c r="C40" t="inlineStr">
        <is>
          <t>Föryngringsavverkning</t>
        </is>
      </c>
      <c r="D40" s="1" t="n">
        <v>44560</v>
      </c>
      <c r="E40" s="1" t="n">
        <v>46291</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46291</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34458-2023</t>
        </is>
      </c>
      <c r="B42" t="inlineStr">
        <is>
          <t>avverkningsanmälan</t>
        </is>
      </c>
      <c r="C42" t="inlineStr">
        <is>
          <t>Föryngringsavverkning</t>
        </is>
      </c>
      <c r="D42" s="1" t="n">
        <v>45139</v>
      </c>
      <c r="E42" s="1" t="n">
        <v>46291</v>
      </c>
      <c r="F42" t="inlineStr">
        <is>
          <t>STOCKHOLMS LÄN</t>
        </is>
      </c>
      <c r="G42" t="inlineStr">
        <is>
          <t>VALLENTUNA</t>
        </is>
      </c>
      <c r="I42" t="n">
        <v>2.5</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HYPERLINK("https://klasma.github.io/Logging_0115/artfynd/A 34458-2023 artfynd.xlsx", "A 34458-2023")</f>
        <v/>
      </c>
      <c r="X42">
        <f>HYPERLINK("https://klasma.github.io/Logging_0115/kartor/A 34458-2023 karta.png", "A 34458-2023")</f>
        <v/>
      </c>
      <c r="Y42">
        <f>HYPERLINK("https://klasma.github.io/Logging_0115/kartor_geotiff/A 34458-2023 georefererad karta.tif", "A 34458-2023")</f>
        <v/>
      </c>
      <c r="AA42">
        <f>HYPERLINK("https://klasma.github.io/Logging_0115/klagomål/A 34458-2023 FSC-klagomål.docx", "A 34458-2023")</f>
        <v/>
      </c>
      <c r="AB42">
        <f>HYPERLINK("https://klasma.github.io/Logging_0115/klagomålsmail/A 34458-2023 FSC-klagomål mail.docx", "A 34458-2023")</f>
        <v/>
      </c>
      <c r="AC42">
        <f>HYPERLINK("https://klasma.github.io/Logging_0115/tillsyn/A 34458-2023 tillsynsbegäran.docx", "A 34458-2023")</f>
        <v/>
      </c>
      <c r="AD42">
        <f>HYPERLINK("https://klasma.github.io/Logging_0115/tillsynsmail/A 34458-2023 tillsynsbegäran mail.docx", "A 34458-2023")</f>
        <v/>
      </c>
    </row>
    <row r="43" ht="15" customHeight="1">
      <c r="A43" t="inlineStr">
        <is>
          <t>A 23009-2024</t>
        </is>
      </c>
      <c r="B43" t="inlineStr">
        <is>
          <t>avverkningsanmälan</t>
        </is>
      </c>
      <c r="C43" t="inlineStr">
        <is>
          <t>Föryngringsavverkning</t>
        </is>
      </c>
      <c r="D43" s="1" t="n">
        <v>45450</v>
      </c>
      <c r="E43" s="1" t="n">
        <v>46291</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46291</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46291</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46291</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46291</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46291</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46291</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46291</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46291</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46291</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46291</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3078-2023</t>
        </is>
      </c>
      <c r="B54" t="inlineStr">
        <is>
          <t>avverkningsanmälan</t>
        </is>
      </c>
      <c r="C54" t="inlineStr">
        <is>
          <t>Föryngringsavverkning</t>
        </is>
      </c>
      <c r="D54" s="1" t="n">
        <v>44946</v>
      </c>
      <c r="E54" s="1" t="n">
        <v>46291</v>
      </c>
      <c r="F54" t="inlineStr">
        <is>
          <t>STOCKHOLMS LÄN</t>
        </is>
      </c>
      <c r="G54" t="inlineStr">
        <is>
          <t>VALLENTUNA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60795-2023</t>
        </is>
      </c>
      <c r="B55" t="inlineStr">
        <is>
          <t>avverkningsanmälan</t>
        </is>
      </c>
      <c r="C55" t="inlineStr">
        <is>
          <t>Avverkning för annat ändamål</t>
        </is>
      </c>
      <c r="D55" s="1" t="n">
        <v>45260</v>
      </c>
      <c r="E55" s="1" t="n">
        <v>46291</v>
      </c>
      <c r="F55" t="inlineStr">
        <is>
          <t>STOCKHOLMS LÄN</t>
        </is>
      </c>
      <c r="G55" t="inlineStr">
        <is>
          <t>VALLENTUNA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46291</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414-2026</t>
        </is>
      </c>
      <c r="B57" t="inlineStr">
        <is>
          <t>avverkningsanmälan</t>
        </is>
      </c>
      <c r="C57" t="inlineStr">
        <is>
          <t>Föryngringsavverkning</t>
        </is>
      </c>
      <c r="D57" s="1" t="n">
        <v>46028</v>
      </c>
      <c r="E57" s="1" t="n">
        <v>46291</v>
      </c>
      <c r="F57" t="inlineStr">
        <is>
          <t>STOCKHOLMS LÄN</t>
        </is>
      </c>
      <c r="G57" t="inlineStr">
        <is>
          <t>VALLENTUNA</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46291</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6298-2026</t>
        </is>
      </c>
      <c r="B59" t="inlineStr">
        <is>
          <t>avverkningsanmälan</t>
        </is>
      </c>
      <c r="C59" t="inlineStr">
        <is>
          <t>Föryngringsavverkning</t>
        </is>
      </c>
      <c r="D59" s="1" t="n">
        <v>46055</v>
      </c>
      <c r="E59" s="1" t="n">
        <v>46291</v>
      </c>
      <c r="F59" t="inlineStr">
        <is>
          <t>STOCKHOLMS LÄN</t>
        </is>
      </c>
      <c r="G59" t="inlineStr">
        <is>
          <t>VALLENTUNA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60818-2023</t>
        </is>
      </c>
      <c r="B60" t="inlineStr">
        <is>
          <t>avverkningsanmälan</t>
        </is>
      </c>
      <c r="C60" t="inlineStr">
        <is>
          <t>Föryngringsavverkning</t>
        </is>
      </c>
      <c r="D60" s="1" t="n">
        <v>45259</v>
      </c>
      <c r="E60" s="1" t="n">
        <v>46291</v>
      </c>
      <c r="F60" t="inlineStr">
        <is>
          <t>STOCKHOLMS LÄN</t>
        </is>
      </c>
      <c r="G60" t="inlineStr">
        <is>
          <t>VALLENTUNA</t>
        </is>
      </c>
      <c r="I60" t="n">
        <v>9.4</v>
      </c>
      <c r="J60" t="n">
        <v>0</v>
      </c>
      <c r="K60" t="n">
        <v>0</v>
      </c>
      <c r="L60" t="n">
        <v>0</v>
      </c>
      <c r="M60" t="n">
        <v>0</v>
      </c>
      <c r="N60" t="n">
        <v>0</v>
      </c>
      <c r="O60" t="n">
        <v>0</v>
      </c>
      <c r="P60" t="n">
        <v>0</v>
      </c>
      <c r="Q60" t="n">
        <v>0</v>
      </c>
      <c r="R60" t="n">
        <v>0</v>
      </c>
      <c r="S60" t="n">
        <v>0</v>
      </c>
      <c r="T60" t="n">
        <v>0</v>
      </c>
      <c r="U60" t="n">
        <v>0</v>
      </c>
      <c r="V60" s="2" t="inlineStr"/>
    </row>
    <row r="61" ht="15" customHeight="1">
      <c r="A61" t="inlineStr">
        <is>
          <t>A 7264-2022</t>
        </is>
      </c>
      <c r="B61" t="inlineStr">
        <is>
          <t>avverkningsanmälan</t>
        </is>
      </c>
      <c r="C61" t="inlineStr">
        <is>
          <t>Föryngringsavverkning</t>
        </is>
      </c>
      <c r="D61" s="1" t="n">
        <v>44606</v>
      </c>
      <c r="E61" s="1" t="n">
        <v>46291</v>
      </c>
      <c r="F61" t="inlineStr">
        <is>
          <t>STOCKHOLMS LÄN</t>
        </is>
      </c>
      <c r="G61" t="inlineStr">
        <is>
          <t>VALLENTUNA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46291</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46291</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46291</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19356-2025</t>
        </is>
      </c>
      <c r="B65" t="inlineStr">
        <is>
          <t>avverkningsanmälan</t>
        </is>
      </c>
      <c r="C65" t="inlineStr">
        <is>
          <t>Föryngringsavverkning</t>
        </is>
      </c>
      <c r="D65" s="1" t="n">
        <v>45769</v>
      </c>
      <c r="E65" s="1" t="n">
        <v>46291</v>
      </c>
      <c r="F65" t="inlineStr">
        <is>
          <t>STOCKHOLMS LÄN</t>
        </is>
      </c>
      <c r="G65" t="inlineStr">
        <is>
          <t>VALLENTUNA</t>
        </is>
      </c>
      <c r="H65" t="inlineStr">
        <is>
          <t>Övriga Aktiebolag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12562-2023</t>
        </is>
      </c>
      <c r="B66" t="inlineStr">
        <is>
          <t>avverkningsanmälan</t>
        </is>
      </c>
      <c r="C66" t="inlineStr">
        <is>
          <t>Föryngringsavverkning</t>
        </is>
      </c>
      <c r="D66" s="1" t="n">
        <v>45000</v>
      </c>
      <c r="E66" s="1" t="n">
        <v>46291</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14799-2026</t>
        </is>
      </c>
      <c r="B67" t="inlineStr">
        <is>
          <t>avverkningsanmälan</t>
        </is>
      </c>
      <c r="C67" t="inlineStr">
        <is>
          <t>Föryngringsavverkning</t>
        </is>
      </c>
      <c r="D67" s="1" t="n">
        <v>46102</v>
      </c>
      <c r="E67" s="1" t="n">
        <v>46291</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4804-2024</t>
        </is>
      </c>
      <c r="B68" t="inlineStr">
        <is>
          <t>avverkningsanmälan</t>
        </is>
      </c>
      <c r="C68" t="inlineStr">
        <is>
          <t>Avverkning för annat ändamål</t>
        </is>
      </c>
      <c r="D68" s="1" t="n">
        <v>45328</v>
      </c>
      <c r="E68" s="1" t="n">
        <v>46291</v>
      </c>
      <c r="F68" t="inlineStr">
        <is>
          <t>STOCKHOLMS LÄN</t>
        </is>
      </c>
      <c r="G68" t="inlineStr">
        <is>
          <t>VALLENTUNA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61646-2025</t>
        </is>
      </c>
      <c r="B69" t="inlineStr">
        <is>
          <t>avverkningsanmälan</t>
        </is>
      </c>
      <c r="C69" t="inlineStr">
        <is>
          <t>Föryngringsavverkning</t>
        </is>
      </c>
      <c r="D69" s="1" t="n">
        <v>46002</v>
      </c>
      <c r="E69" s="1" t="n">
        <v>46291</v>
      </c>
      <c r="F69" t="inlineStr">
        <is>
          <t>STOCKHOLMS LÄN</t>
        </is>
      </c>
      <c r="G69" t="inlineStr">
        <is>
          <t>VALLENTUNA</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19503-2023</t>
        </is>
      </c>
      <c r="B70" t="inlineStr">
        <is>
          <t>avverkningsanmälan</t>
        </is>
      </c>
      <c r="C70" t="inlineStr">
        <is>
          <t>Föryngringsavverkning</t>
        </is>
      </c>
      <c r="D70" s="1" t="n">
        <v>45050</v>
      </c>
      <c r="E70" s="1" t="n">
        <v>46291</v>
      </c>
      <c r="F70" t="inlineStr">
        <is>
          <t>STOCKHOLMS LÄN</t>
        </is>
      </c>
      <c r="G70" t="inlineStr">
        <is>
          <t>VALLENTUNA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21445-2023</t>
        </is>
      </c>
      <c r="B71" t="inlineStr">
        <is>
          <t>avverkningsanmälan</t>
        </is>
      </c>
      <c r="C71" t="inlineStr">
        <is>
          <t>Föryngringsavverkning</t>
        </is>
      </c>
      <c r="D71" s="1" t="n">
        <v>45063</v>
      </c>
      <c r="E71" s="1" t="n">
        <v>46291</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22683-2023</t>
        </is>
      </c>
      <c r="B72" t="inlineStr">
        <is>
          <t>avverkningsanmälan</t>
        </is>
      </c>
      <c r="C72" t="inlineStr">
        <is>
          <t>Föryngringsavverkning</t>
        </is>
      </c>
      <c r="D72" s="1" t="n">
        <v>45071</v>
      </c>
      <c r="E72" s="1" t="n">
        <v>46291</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24943-2024</t>
        </is>
      </c>
      <c r="B73" t="inlineStr">
        <is>
          <t>avverkningsanmälan</t>
        </is>
      </c>
      <c r="C73" t="inlineStr">
        <is>
          <t>Föryngringsavverkning</t>
        </is>
      </c>
      <c r="D73" s="1" t="n">
        <v>45461</v>
      </c>
      <c r="E73" s="1" t="n">
        <v>46291</v>
      </c>
      <c r="F73" t="inlineStr">
        <is>
          <t>STOCKHOLMS LÄN</t>
        </is>
      </c>
      <c r="G73" t="inlineStr">
        <is>
          <t>VALLENTUNA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5910-2022</t>
        </is>
      </c>
      <c r="B74" t="inlineStr">
        <is>
          <t>avverkningsanmälan</t>
        </is>
      </c>
      <c r="C74" t="inlineStr">
        <is>
          <t>Föryngringsavverkning</t>
        </is>
      </c>
      <c r="D74" s="1" t="n">
        <v>44597</v>
      </c>
      <c r="E74" s="1" t="n">
        <v>46291</v>
      </c>
      <c r="F74" t="inlineStr">
        <is>
          <t>STOCKHOLMS LÄN</t>
        </is>
      </c>
      <c r="G74" t="inlineStr">
        <is>
          <t>VALLENTUNA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30902-2025</t>
        </is>
      </c>
      <c r="B75" t="inlineStr">
        <is>
          <t>avverkningsanmälan</t>
        </is>
      </c>
      <c r="C75" t="inlineStr">
        <is>
          <t>Föryngringsavverkning</t>
        </is>
      </c>
      <c r="D75" s="1" t="n">
        <v>45832</v>
      </c>
      <c r="E75" s="1" t="n">
        <v>46291</v>
      </c>
      <c r="F75" t="inlineStr">
        <is>
          <t>STOCKHOLMS LÄN</t>
        </is>
      </c>
      <c r="G75" t="inlineStr">
        <is>
          <t>VALLENTUNA</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26390-2023</t>
        </is>
      </c>
      <c r="B76" t="inlineStr">
        <is>
          <t>avverkningsanmälan</t>
        </is>
      </c>
      <c r="C76" t="inlineStr">
        <is>
          <t>Föryngringsavverkning</t>
        </is>
      </c>
      <c r="D76" s="1" t="n">
        <v>45086</v>
      </c>
      <c r="E76" s="1" t="n">
        <v>46291</v>
      </c>
      <c r="F76" t="inlineStr">
        <is>
          <t>STOCKHOLMS LÄN</t>
        </is>
      </c>
      <c r="G76" t="inlineStr">
        <is>
          <t>VALLENTUNA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28431-2025</t>
        </is>
      </c>
      <c r="B77" t="inlineStr">
        <is>
          <t>avverkningsanmälan</t>
        </is>
      </c>
      <c r="C77" t="inlineStr">
        <is>
          <t>Föryngringsavverkning</t>
        </is>
      </c>
      <c r="D77" s="1" t="n">
        <v>45819</v>
      </c>
      <c r="E77" s="1" t="n">
        <v>46291</v>
      </c>
      <c r="F77" t="inlineStr">
        <is>
          <t>STOCKHOLMS LÄN</t>
        </is>
      </c>
      <c r="G77" t="inlineStr">
        <is>
          <t>VALLENTUNA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24740-2026</t>
        </is>
      </c>
      <c r="B78" t="inlineStr">
        <is>
          <t>avverkningsanmälan</t>
        </is>
      </c>
      <c r="C78" t="inlineStr">
        <is>
          <t>Föryngringsavverkning</t>
        </is>
      </c>
      <c r="D78" s="1" t="n">
        <v>46171</v>
      </c>
      <c r="E78" s="1" t="n">
        <v>46291</v>
      </c>
      <c r="F78" t="inlineStr">
        <is>
          <t>STOCKHOLMS LÄN</t>
        </is>
      </c>
      <c r="G78" t="inlineStr">
        <is>
          <t>VALLENTUNA</t>
        </is>
      </c>
      <c r="H78" t="inlineStr">
        <is>
          <t>Övriga Aktiebolag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25740-2026</t>
        </is>
      </c>
      <c r="B79" t="inlineStr">
        <is>
          <t>avverkningsanmälan</t>
        </is>
      </c>
      <c r="C79" t="inlineStr">
        <is>
          <t>Föryngringsavverkning</t>
        </is>
      </c>
      <c r="D79" s="1" t="n">
        <v>46178</v>
      </c>
      <c r="E79" s="1" t="n">
        <v>46291</v>
      </c>
      <c r="F79" t="inlineStr">
        <is>
          <t>STOCKHOLMS LÄN</t>
        </is>
      </c>
      <c r="G79" t="inlineStr">
        <is>
          <t>VALLENTUNA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24707-2023</t>
        </is>
      </c>
      <c r="B80" t="inlineStr">
        <is>
          <t>avverkningsanmälan</t>
        </is>
      </c>
      <c r="C80" t="inlineStr">
        <is>
          <t>Föryngringsavverkning</t>
        </is>
      </c>
      <c r="D80" s="1" t="n">
        <v>45084</v>
      </c>
      <c r="E80" s="1" t="n">
        <v>46291</v>
      </c>
      <c r="F80" t="inlineStr">
        <is>
          <t>STOCKHOLMS LÄN</t>
        </is>
      </c>
      <c r="G80" t="inlineStr">
        <is>
          <t>VALLENTUNA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25752-2026</t>
        </is>
      </c>
      <c r="B81" t="inlineStr">
        <is>
          <t>avverkningsanmälan</t>
        </is>
      </c>
      <c r="C81" t="inlineStr">
        <is>
          <t>Föryngringsavverkning</t>
        </is>
      </c>
      <c r="D81" s="1" t="n">
        <v>46178</v>
      </c>
      <c r="E81" s="1" t="n">
        <v>46291</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12609-2024</t>
        </is>
      </c>
      <c r="B82" t="inlineStr">
        <is>
          <t>avverkningsanmälan</t>
        </is>
      </c>
      <c r="C82" t="inlineStr">
        <is>
          <t>Avverkning för annat ändamål</t>
        </is>
      </c>
      <c r="D82" s="1" t="n">
        <v>45382</v>
      </c>
      <c r="E82" s="1" t="n">
        <v>46291</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47140-2024</t>
        </is>
      </c>
      <c r="B83" t="inlineStr">
        <is>
          <t>avverkningsanmälan</t>
        </is>
      </c>
      <c r="C83" t="inlineStr">
        <is>
          <t>Föryngringsavverkning</t>
        </is>
      </c>
      <c r="D83" s="1" t="n">
        <v>45586</v>
      </c>
      <c r="E83" s="1" t="n">
        <v>46291</v>
      </c>
      <c r="F83" t="inlineStr">
        <is>
          <t>STOCKHOLMS LÄN</t>
        </is>
      </c>
      <c r="G83" t="inlineStr">
        <is>
          <t>VALLENTUNA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12819-2026</t>
        </is>
      </c>
      <c r="B84" t="inlineStr">
        <is>
          <t>avverkningsanmälan</t>
        </is>
      </c>
      <c r="C84" t="inlineStr">
        <is>
          <t>Föryngringsavverkning</t>
        </is>
      </c>
      <c r="D84" s="1" t="n">
        <v>46092</v>
      </c>
      <c r="E84" s="1" t="n">
        <v>46291</v>
      </c>
      <c r="F84" t="inlineStr">
        <is>
          <t>STOCKHOLMS LÄN</t>
        </is>
      </c>
      <c r="G84" t="inlineStr">
        <is>
          <t>VALLENTUNA</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4803-2024</t>
        </is>
      </c>
      <c r="B85" t="inlineStr">
        <is>
          <t>avverkningsanmälan</t>
        </is>
      </c>
      <c r="C85" t="inlineStr">
        <is>
          <t>Avverkning för annat ändamål</t>
        </is>
      </c>
      <c r="D85" s="1" t="n">
        <v>45328</v>
      </c>
      <c r="E85" s="1" t="n">
        <v>46291</v>
      </c>
      <c r="F85" t="inlineStr">
        <is>
          <t>STOCKHOLMS LÄN</t>
        </is>
      </c>
      <c r="G85" t="inlineStr">
        <is>
          <t>VALLENTUNA</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52542-2023</t>
        </is>
      </c>
      <c r="B86" t="inlineStr">
        <is>
          <t>avverkningsanmälan</t>
        </is>
      </c>
      <c r="C86" t="inlineStr">
        <is>
          <t>Föryngringsavverkning</t>
        </is>
      </c>
      <c r="D86" s="1" t="n">
        <v>45225</v>
      </c>
      <c r="E86" s="1" t="n">
        <v>46291</v>
      </c>
      <c r="F86" t="inlineStr">
        <is>
          <t>STOCKHOLMS LÄN</t>
        </is>
      </c>
      <c r="G86" t="inlineStr">
        <is>
          <t>VALLENTUNA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34736-2026</t>
        </is>
      </c>
      <c r="B87" t="inlineStr">
        <is>
          <t>avverkningsanmälan</t>
        </is>
      </c>
      <c r="C87" t="inlineStr">
        <is>
          <t>Föryngringsavverkning</t>
        </is>
      </c>
      <c r="D87" s="1" t="n">
        <v>46258</v>
      </c>
      <c r="E87" s="1" t="n">
        <v>46291</v>
      </c>
      <c r="F87" t="inlineStr">
        <is>
          <t>STOCKHOLMS LÄN</t>
        </is>
      </c>
      <c r="G87" t="inlineStr">
        <is>
          <t>VALLENTUNA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34750-2026</t>
        </is>
      </c>
      <c r="B88" t="inlineStr">
        <is>
          <t>avverkningsanmälan</t>
        </is>
      </c>
      <c r="C88" t="inlineStr">
        <is>
          <t>Föryngringsavverkning</t>
        </is>
      </c>
      <c r="D88" s="1" t="n">
        <v>46258</v>
      </c>
      <c r="E88" s="1" t="n">
        <v>46291</v>
      </c>
      <c r="F88" t="inlineStr">
        <is>
          <t>STOCKHOLMS LÄN</t>
        </is>
      </c>
      <c r="G88" t="inlineStr">
        <is>
          <t>VALLENTUNA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11950-2025</t>
        </is>
      </c>
      <c r="B89" t="inlineStr">
        <is>
          <t>avverkningsanmälan</t>
        </is>
      </c>
      <c r="C89" t="inlineStr">
        <is>
          <t>Föryngringsavverkning</t>
        </is>
      </c>
      <c r="D89" s="1" t="n">
        <v>45728</v>
      </c>
      <c r="E89" s="1" t="n">
        <v>46291</v>
      </c>
      <c r="F89" t="inlineStr">
        <is>
          <t>STOCKHOLMS LÄN</t>
        </is>
      </c>
      <c r="G89" t="inlineStr">
        <is>
          <t>VALLENTUNA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34720-2026</t>
        </is>
      </c>
      <c r="B90" t="inlineStr">
        <is>
          <t>avverkningsanmälan</t>
        </is>
      </c>
      <c r="C90" t="inlineStr">
        <is>
          <t>Föryngringsavverkning</t>
        </is>
      </c>
      <c r="D90" s="1" t="n">
        <v>46258</v>
      </c>
      <c r="E90" s="1" t="n">
        <v>46291</v>
      </c>
      <c r="F90" t="inlineStr">
        <is>
          <t>STOCKHOLMS LÄN</t>
        </is>
      </c>
      <c r="G90" t="inlineStr">
        <is>
          <t>VALLENTUNA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14489-2024</t>
        </is>
      </c>
      <c r="B91" t="inlineStr">
        <is>
          <t>avverkningsanmälan</t>
        </is>
      </c>
      <c r="C91" t="inlineStr">
        <is>
          <t>Föryngringsavverkning</t>
        </is>
      </c>
      <c r="D91" s="1" t="n">
        <v>45394</v>
      </c>
      <c r="E91" s="1" t="n">
        <v>46291</v>
      </c>
      <c r="F91" t="inlineStr">
        <is>
          <t>STOCKHOLMS LÄN</t>
        </is>
      </c>
      <c r="G91" t="inlineStr">
        <is>
          <t>VALLENTUNA</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52562-2023</t>
        </is>
      </c>
      <c r="B92" t="inlineStr">
        <is>
          <t>avverkningsanmälan</t>
        </is>
      </c>
      <c r="C92" t="inlineStr">
        <is>
          <t>Föryngringsavverkning</t>
        </is>
      </c>
      <c r="D92" s="1" t="n">
        <v>45225</v>
      </c>
      <c r="E92" s="1" t="n">
        <v>46291</v>
      </c>
      <c r="F92" t="inlineStr">
        <is>
          <t>STOCKHOLMS LÄN</t>
        </is>
      </c>
      <c r="G92" t="inlineStr">
        <is>
          <t>VALLENTUNA</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46291</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2318-2024</t>
        </is>
      </c>
      <c r="B94" t="inlineStr">
        <is>
          <t>avverkningsanmälan</t>
        </is>
      </c>
      <c r="C94" t="inlineStr">
        <is>
          <t>Föryngringsavverkning</t>
        </is>
      </c>
      <c r="D94" s="1" t="n">
        <v>45310</v>
      </c>
      <c r="E94" s="1" t="n">
        <v>46291</v>
      </c>
      <c r="F94" t="inlineStr">
        <is>
          <t>STOCKHOLMS LÄN</t>
        </is>
      </c>
      <c r="G94" t="inlineStr">
        <is>
          <t>VALLENTUNA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61742-2022</t>
        </is>
      </c>
      <c r="B95" t="inlineStr">
        <is>
          <t>avverkningsanmälan</t>
        </is>
      </c>
      <c r="C95" t="inlineStr">
        <is>
          <t>Avverkning för annat ändamål</t>
        </is>
      </c>
      <c r="D95" s="1" t="n">
        <v>44917</v>
      </c>
      <c r="E95" s="1" t="n">
        <v>46291</v>
      </c>
      <c r="F95" t="inlineStr">
        <is>
          <t>STOCKHOLMS LÄN</t>
        </is>
      </c>
      <c r="G95" t="inlineStr">
        <is>
          <t>VALLENTUNA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46291</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39163-2026</t>
        </is>
      </c>
      <c r="B97" t="inlineStr">
        <is>
          <t>avverkningsanmälan</t>
        </is>
      </c>
      <c r="C97" t="inlineStr">
        <is>
          <t>Föryngringsavverkning</t>
        </is>
      </c>
      <c r="D97" s="1" t="n">
        <v>46287</v>
      </c>
      <c r="E97" s="1" t="n">
        <v>46291</v>
      </c>
      <c r="F97" t="inlineStr">
        <is>
          <t>STOCKHOLMS LÄN</t>
        </is>
      </c>
      <c r="G97" t="inlineStr">
        <is>
          <t>VALLENTUNA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46291</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21614-2022</t>
        </is>
      </c>
      <c r="B99" t="inlineStr">
        <is>
          <t>avverkningsanmälan</t>
        </is>
      </c>
      <c r="C99" t="inlineStr">
        <is>
          <t>Föryngringsavverkning</t>
        </is>
      </c>
      <c r="D99" s="1" t="n">
        <v>44706</v>
      </c>
      <c r="E99" s="1" t="n">
        <v>46291</v>
      </c>
      <c r="F99" t="inlineStr">
        <is>
          <t>STOCKHOLMS LÄN</t>
        </is>
      </c>
      <c r="G99" t="inlineStr">
        <is>
          <t>VALLENTUNA</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12585-2023</t>
        </is>
      </c>
      <c r="B100" t="inlineStr">
        <is>
          <t>avverkningsanmälan</t>
        </is>
      </c>
      <c r="C100" t="inlineStr">
        <is>
          <t>Föryngringsavverkning</t>
        </is>
      </c>
      <c r="D100" s="1" t="n">
        <v>45000</v>
      </c>
      <c r="E100" s="1" t="n">
        <v>46291</v>
      </c>
      <c r="F100" t="inlineStr">
        <is>
          <t>STOCKHOLMS LÄN</t>
        </is>
      </c>
      <c r="G100" t="inlineStr">
        <is>
          <t>VALLENTUNA</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8787-2024</t>
        </is>
      </c>
      <c r="B101" t="inlineStr">
        <is>
          <t>avverkningsanmälan</t>
        </is>
      </c>
      <c r="C101" t="inlineStr">
        <is>
          <t>Avverkning för annat ändamål</t>
        </is>
      </c>
      <c r="D101" s="1" t="n">
        <v>45356</v>
      </c>
      <c r="E101" s="1" t="n">
        <v>46291</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34441-2023</t>
        </is>
      </c>
      <c r="B102" t="inlineStr">
        <is>
          <t>avverkningsanmälan</t>
        </is>
      </c>
      <c r="C102" t="inlineStr">
        <is>
          <t>Föryngringsavverkning</t>
        </is>
      </c>
      <c r="D102" s="1" t="n">
        <v>45139</v>
      </c>
      <c r="E102" s="1" t="n">
        <v>46291</v>
      </c>
      <c r="F102" t="inlineStr">
        <is>
          <t>STOCKHOLMS LÄN</t>
        </is>
      </c>
      <c r="G102" t="inlineStr">
        <is>
          <t>VALLENTUNA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34445-2023</t>
        </is>
      </c>
      <c r="B103" t="inlineStr">
        <is>
          <t>avverkningsanmälan</t>
        </is>
      </c>
      <c r="C103" t="inlineStr">
        <is>
          <t>Föryngringsavverkning</t>
        </is>
      </c>
      <c r="D103" s="1" t="n">
        <v>45139</v>
      </c>
      <c r="E103" s="1" t="n">
        <v>46291</v>
      </c>
      <c r="F103" t="inlineStr">
        <is>
          <t>STOCKHOLMS LÄN</t>
        </is>
      </c>
      <c r="G103" t="inlineStr">
        <is>
          <t>VALLENTUNA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23986-2023</t>
        </is>
      </c>
      <c r="B104" t="inlineStr">
        <is>
          <t>avverkningsanmälan</t>
        </is>
      </c>
      <c r="C104" t="inlineStr">
        <is>
          <t>Föryngringsavverkning</t>
        </is>
      </c>
      <c r="D104" s="1" t="n">
        <v>45078</v>
      </c>
      <c r="E104" s="1" t="n">
        <v>46291</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8077-2022</t>
        </is>
      </c>
      <c r="B105" t="inlineStr">
        <is>
          <t>avverkningsanmälan</t>
        </is>
      </c>
      <c r="C105" t="inlineStr">
        <is>
          <t>Föryngringsavverkning</t>
        </is>
      </c>
      <c r="D105" s="1" t="n">
        <v>44609</v>
      </c>
      <c r="E105" s="1" t="n">
        <v>46291</v>
      </c>
      <c r="F105" t="inlineStr">
        <is>
          <t>STOCKHOLMS LÄN</t>
        </is>
      </c>
      <c r="G105" t="inlineStr">
        <is>
          <t>VALLENTUNA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13836-2022</t>
        </is>
      </c>
      <c r="B106" t="inlineStr">
        <is>
          <t>avverkningsanmälan</t>
        </is>
      </c>
      <c r="C106" t="inlineStr">
        <is>
          <t>Föryngringsavverkning</t>
        </is>
      </c>
      <c r="D106" s="1" t="n">
        <v>44649</v>
      </c>
      <c r="E106" s="1" t="n">
        <v>46291</v>
      </c>
      <c r="F106" t="inlineStr">
        <is>
          <t>STOCKHOLMS LÄN</t>
        </is>
      </c>
      <c r="G106" t="inlineStr">
        <is>
          <t>VALLENTUNA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29704-2023</t>
        </is>
      </c>
      <c r="B107" t="inlineStr">
        <is>
          <t>avverkningsanmälan</t>
        </is>
      </c>
      <c r="C107" t="inlineStr">
        <is>
          <t>Föryngringsavverkning</t>
        </is>
      </c>
      <c r="D107" s="1" t="n">
        <v>45107</v>
      </c>
      <c r="E107" s="1" t="n">
        <v>46291</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21765-2023</t>
        </is>
      </c>
      <c r="B108" t="inlineStr">
        <is>
          <t>avverkningsanmälan</t>
        </is>
      </c>
      <c r="C108" t="inlineStr">
        <is>
          <t>Föryngringsavverkning</t>
        </is>
      </c>
      <c r="D108" s="1" t="n">
        <v>45064</v>
      </c>
      <c r="E108" s="1" t="n">
        <v>46291</v>
      </c>
      <c r="F108" t="inlineStr">
        <is>
          <t>STOCKHOLMS LÄN</t>
        </is>
      </c>
      <c r="G108" t="inlineStr">
        <is>
          <t>VALLENTUNA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45496-2023</t>
        </is>
      </c>
      <c r="B109" t="inlineStr">
        <is>
          <t>avverkningsanmälan</t>
        </is>
      </c>
      <c r="C109" t="inlineStr">
        <is>
          <t>Föryngringsavverkning</t>
        </is>
      </c>
      <c r="D109" s="1" t="n">
        <v>45194</v>
      </c>
      <c r="E109" s="1" t="n">
        <v>46291</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46291</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14782-2024</t>
        </is>
      </c>
      <c r="B111" t="inlineStr">
        <is>
          <t>avverkningsanmälan</t>
        </is>
      </c>
      <c r="C111" t="inlineStr">
        <is>
          <t>Avverkning för att bevara och utveckla /försöksver</t>
        </is>
      </c>
      <c r="D111" s="1" t="n">
        <v>45397</v>
      </c>
      <c r="E111" s="1" t="n">
        <v>46291</v>
      </c>
      <c r="F111" t="inlineStr">
        <is>
          <t>STOCKHOLMS LÄN</t>
        </is>
      </c>
      <c r="G111" t="inlineStr">
        <is>
          <t>VALLENTUNA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46291</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14775-2024</t>
        </is>
      </c>
      <c r="B113" t="inlineStr">
        <is>
          <t>avverkningsanmälan</t>
        </is>
      </c>
      <c r="C113" t="inlineStr">
        <is>
          <t>Föryngringsavverkning</t>
        </is>
      </c>
      <c r="D113" s="1" t="n">
        <v>45397</v>
      </c>
      <c r="E113" s="1" t="n">
        <v>46291</v>
      </c>
      <c r="F113" t="inlineStr">
        <is>
          <t>STOCKHOLMS LÄN</t>
        </is>
      </c>
      <c r="G113" t="inlineStr">
        <is>
          <t>VALLENTUNA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17411-2023</t>
        </is>
      </c>
      <c r="B114" t="inlineStr">
        <is>
          <t>avverkningsanmälan</t>
        </is>
      </c>
      <c r="C114" t="inlineStr">
        <is>
          <t>Föryngringsavverkning</t>
        </is>
      </c>
      <c r="D114" s="1" t="n">
        <v>45035</v>
      </c>
      <c r="E114" s="1" t="n">
        <v>46291</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38102-2024</t>
        </is>
      </c>
      <c r="B115" t="inlineStr">
        <is>
          <t>avverkningsanmälan</t>
        </is>
      </c>
      <c r="C115" t="inlineStr">
        <is>
          <t>Föryngringsavverkning</t>
        </is>
      </c>
      <c r="D115" s="1" t="n">
        <v>45545</v>
      </c>
      <c r="E115" s="1" t="n">
        <v>46291</v>
      </c>
      <c r="F115" t="inlineStr">
        <is>
          <t>STOCKHOLMS LÄN</t>
        </is>
      </c>
      <c r="G115" t="inlineStr">
        <is>
          <t>VALLENTUNA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17340-2025</t>
        </is>
      </c>
      <c r="B116" t="inlineStr">
        <is>
          <t>avverkningsanmälan</t>
        </is>
      </c>
      <c r="C116" t="inlineStr">
        <is>
          <t>Föryngringsavverkning</t>
        </is>
      </c>
      <c r="D116" s="1" t="n">
        <v>45756</v>
      </c>
      <c r="E116" s="1" t="n">
        <v>46291</v>
      </c>
      <c r="F116" t="inlineStr">
        <is>
          <t>STOCKHOLMS LÄN</t>
        </is>
      </c>
      <c r="G116" t="inlineStr">
        <is>
          <t>VALLENTUNA</t>
        </is>
      </c>
      <c r="H116" t="inlineStr">
        <is>
          <t>Övriga Aktiebolag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46291</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46291</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46291</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46291</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46291</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46291</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2026-09-26T02:01:23Z</dcterms:created>
  <dcterms:modified xmlns:dcterms="http://purl.org/dc/terms/" xmlns:xsi="http://www.w3.org/2001/XMLSchema-instance" xsi:type="dcterms:W3CDTF">2026-09-26T02:01:23Z</dcterms:modified>
</cp:coreProperties>
</file>