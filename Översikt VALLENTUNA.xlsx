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46113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46113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46113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46113</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46113</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46113</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46113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46113</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46113</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46113</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46113</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46113</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46113</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22936-2025</t>
        </is>
      </c>
      <c r="B28" s="1" t="n">
        <v>45790.45738425926</v>
      </c>
      <c r="C28" s="1" t="n">
        <v>46113</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8817-2025</t>
        </is>
      </c>
      <c r="B29" s="1" t="n">
        <v>45712.70987268518</v>
      </c>
      <c r="C29" s="1" t="n">
        <v>46113</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14508-2024</t>
        </is>
      </c>
      <c r="B30" s="1" t="n">
        <v>45394.61583333334</v>
      </c>
      <c r="C30" s="1" t="n">
        <v>46113</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17348-2025</t>
        </is>
      </c>
      <c r="B31" s="1" t="n">
        <v>45756</v>
      </c>
      <c r="C31" s="1" t="n">
        <v>46113</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7890-2023</t>
        </is>
      </c>
      <c r="B32" s="1" t="n">
        <v>44973</v>
      </c>
      <c r="C32" s="1" t="n">
        <v>46113</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46113</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46113</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21-2022</t>
        </is>
      </c>
      <c r="B35" s="1" t="n">
        <v>44560</v>
      </c>
      <c r="C35" s="1" t="n">
        <v>46113</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63543-2025</t>
        </is>
      </c>
      <c r="B36" s="1" t="n">
        <v>46013.59207175926</v>
      </c>
      <c r="C36" s="1" t="n">
        <v>46113</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63539-2025</t>
        </is>
      </c>
      <c r="B37" s="1" t="n">
        <v>46013.58824074074</v>
      </c>
      <c r="C37" s="1" t="n">
        <v>46113</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17341-2025</t>
        </is>
      </c>
      <c r="B38" s="1" t="n">
        <v>45756</v>
      </c>
      <c r="C38" s="1" t="n">
        <v>46113</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12401-2026</t>
        </is>
      </c>
      <c r="B39" s="1" t="n">
        <v>46090</v>
      </c>
      <c r="C39" s="1" t="n">
        <v>46113</v>
      </c>
      <c r="D39" t="inlineStr">
        <is>
          <t>STOCKHOLMS LÄN</t>
        </is>
      </c>
      <c r="E39" t="inlineStr">
        <is>
          <t>VALLENTUNA</t>
        </is>
      </c>
      <c r="G39" t="n">
        <v>5.9</v>
      </c>
      <c r="H39" t="n">
        <v>1</v>
      </c>
      <c r="I39" t="n">
        <v>0</v>
      </c>
      <c r="J39" t="n">
        <v>1</v>
      </c>
      <c r="K39" t="n">
        <v>0</v>
      </c>
      <c r="L39" t="n">
        <v>0</v>
      </c>
      <c r="M39" t="n">
        <v>0</v>
      </c>
      <c r="N39" t="n">
        <v>0</v>
      </c>
      <c r="O39" t="n">
        <v>1</v>
      </c>
      <c r="P39" t="n">
        <v>0</v>
      </c>
      <c r="Q39" t="n">
        <v>1</v>
      </c>
      <c r="R39" s="2" t="inlineStr">
        <is>
          <t>Spillkråka</t>
        </is>
      </c>
      <c r="S39">
        <f>HYPERLINK("https://klasma.github.io/Logging_0115/artfynd/A 12401-2026 artfynd.xlsx", "A 12401-2026")</f>
        <v/>
      </c>
      <c r="T39">
        <f>HYPERLINK("https://klasma.github.io/Logging_0115/kartor/A 12401-2026 karta.png", "A 12401-2026")</f>
        <v/>
      </c>
      <c r="V39">
        <f>HYPERLINK("https://klasma.github.io/Logging_0115/klagomål/A 12401-2026 FSC-klagomål.docx", "A 12401-2026")</f>
        <v/>
      </c>
      <c r="W39">
        <f>HYPERLINK("https://klasma.github.io/Logging_0115/klagomålsmail/A 12401-2026 FSC-klagomål mail.docx", "A 12401-2026")</f>
        <v/>
      </c>
      <c r="X39">
        <f>HYPERLINK("https://klasma.github.io/Logging_0115/tillsyn/A 12401-2026 tillsynsbegäran.docx", "A 12401-2026")</f>
        <v/>
      </c>
      <c r="Y39">
        <f>HYPERLINK("https://klasma.github.io/Logging_0115/tillsynsmail/A 12401-2026 tillsynsbegäran mail.docx", "A 12401-2026")</f>
        <v/>
      </c>
      <c r="Z39">
        <f>HYPERLINK("https://klasma.github.io/Logging_0115/fåglar/A 12401-2026 prioriterade fågelarter.docx", "A 12401-2026")</f>
        <v/>
      </c>
    </row>
    <row r="40" ht="15" customHeight="1">
      <c r="A40" t="inlineStr">
        <is>
          <t>A 34458-2023</t>
        </is>
      </c>
      <c r="B40" s="1" t="n">
        <v>45139</v>
      </c>
      <c r="C40" s="1" t="n">
        <v>46113</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46113</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46113</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46113</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46113</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46113</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46113</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46113</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46113</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46113</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46113</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46113</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46113</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7264-2022</t>
        </is>
      </c>
      <c r="B56" s="1" t="n">
        <v>44606</v>
      </c>
      <c r="C56" s="1" t="n">
        <v>46113</v>
      </c>
      <c r="D56" t="inlineStr">
        <is>
          <t>STOCKHOLMS LÄN</t>
        </is>
      </c>
      <c r="E56" t="inlineStr">
        <is>
          <t>VALLENTUNA</t>
        </is>
      </c>
      <c r="G56" t="n">
        <v>2.4</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46113</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61027-2023</t>
        </is>
      </c>
      <c r="B58" s="1" t="n">
        <v>45261</v>
      </c>
      <c r="C58" s="1" t="n">
        <v>46113</v>
      </c>
      <c r="D58" t="inlineStr">
        <is>
          <t>STOCKHOLMS LÄN</t>
        </is>
      </c>
      <c r="E58" t="inlineStr">
        <is>
          <t>VALLENTUNA</t>
        </is>
      </c>
      <c r="G58" t="n">
        <v>7.1</v>
      </c>
      <c r="H58" t="n">
        <v>0</v>
      </c>
      <c r="I58" t="n">
        <v>0</v>
      </c>
      <c r="J58" t="n">
        <v>0</v>
      </c>
      <c r="K58" t="n">
        <v>0</v>
      </c>
      <c r="L58" t="n">
        <v>0</v>
      </c>
      <c r="M58" t="n">
        <v>0</v>
      </c>
      <c r="N58" t="n">
        <v>0</v>
      </c>
      <c r="O58" t="n">
        <v>0</v>
      </c>
      <c r="P58" t="n">
        <v>0</v>
      </c>
      <c r="Q58" t="n">
        <v>0</v>
      </c>
      <c r="R58" s="2" t="inlineStr"/>
    </row>
    <row r="59" ht="15" customHeight="1">
      <c r="A59" t="inlineStr">
        <is>
          <t>A 23009-2024</t>
        </is>
      </c>
      <c r="B59" s="1" t="n">
        <v>45450.34506944445</v>
      </c>
      <c r="C59" s="1" t="n">
        <v>46113</v>
      </c>
      <c r="D59" t="inlineStr">
        <is>
          <t>STOCKHOLMS LÄN</t>
        </is>
      </c>
      <c r="E59" t="inlineStr">
        <is>
          <t>VALLENTUNA</t>
        </is>
      </c>
      <c r="G59" t="n">
        <v>1.4</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46113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19356-2025</t>
        </is>
      </c>
      <c r="B61" s="1" t="n">
        <v>45769.62061342593</v>
      </c>
      <c r="C61" s="1" t="n">
        <v>46113</v>
      </c>
      <c r="D61" t="inlineStr">
        <is>
          <t>STOCKHOLMS LÄN</t>
        </is>
      </c>
      <c r="E61" t="inlineStr">
        <is>
          <t>VALLENTUNA</t>
        </is>
      </c>
      <c r="F61" t="inlineStr">
        <is>
          <t>Övriga Aktiebolag</t>
        </is>
      </c>
      <c r="G61" t="n">
        <v>1.6</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46113</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46113</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46113</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46113</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24994-2021</t>
        </is>
      </c>
      <c r="B66" s="1" t="n">
        <v>44341</v>
      </c>
      <c r="C66" s="1" t="n">
        <v>46113</v>
      </c>
      <c r="D66" t="inlineStr">
        <is>
          <t>STOCKHOLMS LÄN</t>
        </is>
      </c>
      <c r="E66" t="inlineStr">
        <is>
          <t>VALLENTUNA</t>
        </is>
      </c>
      <c r="G66" t="n">
        <v>2.6</v>
      </c>
      <c r="H66" t="n">
        <v>0</v>
      </c>
      <c r="I66" t="n">
        <v>0</v>
      </c>
      <c r="J66" t="n">
        <v>0</v>
      </c>
      <c r="K66" t="n">
        <v>0</v>
      </c>
      <c r="L66" t="n">
        <v>0</v>
      </c>
      <c r="M66" t="n">
        <v>0</v>
      </c>
      <c r="N66" t="n">
        <v>0</v>
      </c>
      <c r="O66" t="n">
        <v>0</v>
      </c>
      <c r="P66" t="n">
        <v>0</v>
      </c>
      <c r="Q66" t="n">
        <v>0</v>
      </c>
      <c r="R66" s="2" t="inlineStr"/>
    </row>
    <row r="67" ht="15" customHeight="1">
      <c r="A67" t="inlineStr">
        <is>
          <t>A 24068-2024</t>
        </is>
      </c>
      <c r="B67" s="1" t="n">
        <v>45456</v>
      </c>
      <c r="C67" s="1" t="n">
        <v>46113</v>
      </c>
      <c r="D67" t="inlineStr">
        <is>
          <t>STOCKHOLMS LÄN</t>
        </is>
      </c>
      <c r="E67" t="inlineStr">
        <is>
          <t>VALLENTUNA</t>
        </is>
      </c>
      <c r="G67" t="n">
        <v>7.4</v>
      </c>
      <c r="H67" t="n">
        <v>0</v>
      </c>
      <c r="I67" t="n">
        <v>0</v>
      </c>
      <c r="J67" t="n">
        <v>0</v>
      </c>
      <c r="K67" t="n">
        <v>0</v>
      </c>
      <c r="L67" t="n">
        <v>0</v>
      </c>
      <c r="M67" t="n">
        <v>0</v>
      </c>
      <c r="N67" t="n">
        <v>0</v>
      </c>
      <c r="O67" t="n">
        <v>0</v>
      </c>
      <c r="P67" t="n">
        <v>0</v>
      </c>
      <c r="Q67" t="n">
        <v>0</v>
      </c>
      <c r="R67" s="2" t="inlineStr"/>
    </row>
    <row r="68" ht="15" customHeight="1">
      <c r="A68" t="inlineStr">
        <is>
          <t>A 52989-2023</t>
        </is>
      </c>
      <c r="B68" s="1" t="n">
        <v>45226</v>
      </c>
      <c r="C68" s="1" t="n">
        <v>46113</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61442-2024</t>
        </is>
      </c>
      <c r="B69" s="1" t="n">
        <v>45646.47003472222</v>
      </c>
      <c r="C69" s="1" t="n">
        <v>46113</v>
      </c>
      <c r="D69" t="inlineStr">
        <is>
          <t>STOCKHOLMS LÄN</t>
        </is>
      </c>
      <c r="E69" t="inlineStr">
        <is>
          <t>VALLENTUNA</t>
        </is>
      </c>
      <c r="G69" t="n">
        <v>4.6</v>
      </c>
      <c r="H69" t="n">
        <v>0</v>
      </c>
      <c r="I69" t="n">
        <v>0</v>
      </c>
      <c r="J69" t="n">
        <v>0</v>
      </c>
      <c r="K69" t="n">
        <v>0</v>
      </c>
      <c r="L69" t="n">
        <v>0</v>
      </c>
      <c r="M69" t="n">
        <v>0</v>
      </c>
      <c r="N69" t="n">
        <v>0</v>
      </c>
      <c r="O69" t="n">
        <v>0</v>
      </c>
      <c r="P69" t="n">
        <v>0</v>
      </c>
      <c r="Q69" t="n">
        <v>0</v>
      </c>
      <c r="R69" s="2" t="inlineStr"/>
    </row>
    <row r="70" ht="15" customHeight="1">
      <c r="A70" t="inlineStr">
        <is>
          <t>A 3078-2023</t>
        </is>
      </c>
      <c r="B70" s="1" t="n">
        <v>44946.41527777778</v>
      </c>
      <c r="C70" s="1" t="n">
        <v>46113</v>
      </c>
      <c r="D70" t="inlineStr">
        <is>
          <t>STOCKHOLMS LÄN</t>
        </is>
      </c>
      <c r="E70" t="inlineStr">
        <is>
          <t>VALLENTUNA</t>
        </is>
      </c>
      <c r="G70" t="n">
        <v>3.9</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46113</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46113</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46113</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30913-2021</t>
        </is>
      </c>
      <c r="B74" s="1" t="n">
        <v>44365</v>
      </c>
      <c r="C74" s="1" t="n">
        <v>46113</v>
      </c>
      <c r="D74" t="inlineStr">
        <is>
          <t>STOCKHOLMS LÄN</t>
        </is>
      </c>
      <c r="E74" t="inlineStr">
        <is>
          <t>VALLENTUNA</t>
        </is>
      </c>
      <c r="F74" t="inlineStr">
        <is>
          <t>Övriga Aktiebolag</t>
        </is>
      </c>
      <c r="G74" t="n">
        <v>3.3</v>
      </c>
      <c r="H74" t="n">
        <v>0</v>
      </c>
      <c r="I74" t="n">
        <v>0</v>
      </c>
      <c r="J74" t="n">
        <v>0</v>
      </c>
      <c r="K74" t="n">
        <v>0</v>
      </c>
      <c r="L74" t="n">
        <v>0</v>
      </c>
      <c r="M74" t="n">
        <v>0</v>
      </c>
      <c r="N74" t="n">
        <v>0</v>
      </c>
      <c r="O74" t="n">
        <v>0</v>
      </c>
      <c r="P74" t="n">
        <v>0</v>
      </c>
      <c r="Q74" t="n">
        <v>0</v>
      </c>
      <c r="R74" s="2" t="inlineStr"/>
    </row>
    <row r="75" ht="15" customHeight="1">
      <c r="A75" t="inlineStr">
        <is>
          <t>A 19503-2023</t>
        </is>
      </c>
      <c r="B75" s="1" t="n">
        <v>45050.47333333334</v>
      </c>
      <c r="C75" s="1" t="n">
        <v>46113</v>
      </c>
      <c r="D75" t="inlineStr">
        <is>
          <t>STOCKHOLMS LÄN</t>
        </is>
      </c>
      <c r="E75" t="inlineStr">
        <is>
          <t>VALLENTUNA</t>
        </is>
      </c>
      <c r="G75" t="n">
        <v>0.7</v>
      </c>
      <c r="H75" t="n">
        <v>0</v>
      </c>
      <c r="I75" t="n">
        <v>0</v>
      </c>
      <c r="J75" t="n">
        <v>0</v>
      </c>
      <c r="K75" t="n">
        <v>0</v>
      </c>
      <c r="L75" t="n">
        <v>0</v>
      </c>
      <c r="M75" t="n">
        <v>0</v>
      </c>
      <c r="N75" t="n">
        <v>0</v>
      </c>
      <c r="O75" t="n">
        <v>0</v>
      </c>
      <c r="P75" t="n">
        <v>0</v>
      </c>
      <c r="Q75" t="n">
        <v>0</v>
      </c>
      <c r="R75" s="2" t="inlineStr"/>
    </row>
    <row r="76" ht="15" customHeight="1">
      <c r="A76" t="inlineStr">
        <is>
          <t>A 48014-2025</t>
        </is>
      </c>
      <c r="B76" s="1" t="n">
        <v>45932.64520833334</v>
      </c>
      <c r="C76" s="1" t="n">
        <v>46113</v>
      </c>
      <c r="D76" t="inlineStr">
        <is>
          <t>STOCKHOLMS LÄN</t>
        </is>
      </c>
      <c r="E76" t="inlineStr">
        <is>
          <t>VALLENTUNA</t>
        </is>
      </c>
      <c r="G76" t="n">
        <v>0.6</v>
      </c>
      <c r="H76" t="n">
        <v>0</v>
      </c>
      <c r="I76" t="n">
        <v>0</v>
      </c>
      <c r="J76" t="n">
        <v>0</v>
      </c>
      <c r="K76" t="n">
        <v>0</v>
      </c>
      <c r="L76" t="n">
        <v>0</v>
      </c>
      <c r="M76" t="n">
        <v>0</v>
      </c>
      <c r="N76" t="n">
        <v>0</v>
      </c>
      <c r="O76" t="n">
        <v>0</v>
      </c>
      <c r="P76" t="n">
        <v>0</v>
      </c>
      <c r="Q76" t="n">
        <v>0</v>
      </c>
      <c r="R76" s="2" t="inlineStr"/>
    </row>
    <row r="77" ht="15" customHeight="1">
      <c r="A77" t="inlineStr">
        <is>
          <t>A 48038-2025</t>
        </is>
      </c>
      <c r="B77" s="1" t="n">
        <v>45932.66008101852</v>
      </c>
      <c r="C77" s="1" t="n">
        <v>46113</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48068-2021</t>
        </is>
      </c>
      <c r="B78" s="1" t="n">
        <v>44449.42270833333</v>
      </c>
      <c r="C78" s="1" t="n">
        <v>46113</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3937-2022</t>
        </is>
      </c>
      <c r="B79" s="1" t="n">
        <v>44587</v>
      </c>
      <c r="C79" s="1" t="n">
        <v>46113</v>
      </c>
      <c r="D79" t="inlineStr">
        <is>
          <t>STOCKHOLMS LÄN</t>
        </is>
      </c>
      <c r="E79" t="inlineStr">
        <is>
          <t>VALLENTUNA</t>
        </is>
      </c>
      <c r="G79" t="n">
        <v>6.6</v>
      </c>
      <c r="H79" t="n">
        <v>0</v>
      </c>
      <c r="I79" t="n">
        <v>0</v>
      </c>
      <c r="J79" t="n">
        <v>0</v>
      </c>
      <c r="K79" t="n">
        <v>0</v>
      </c>
      <c r="L79" t="n">
        <v>0</v>
      </c>
      <c r="M79" t="n">
        <v>0</v>
      </c>
      <c r="N79" t="n">
        <v>0</v>
      </c>
      <c r="O79" t="n">
        <v>0</v>
      </c>
      <c r="P79" t="n">
        <v>0</v>
      </c>
      <c r="Q79" t="n">
        <v>0</v>
      </c>
      <c r="R79" s="2" t="inlineStr"/>
    </row>
    <row r="80" ht="15" customHeight="1">
      <c r="A80" t="inlineStr">
        <is>
          <t>A 21445-2023</t>
        </is>
      </c>
      <c r="B80" s="1" t="n">
        <v>45063</v>
      </c>
      <c r="C80" s="1" t="n">
        <v>46113</v>
      </c>
      <c r="D80" t="inlineStr">
        <is>
          <t>STOCKHOLMS LÄN</t>
        </is>
      </c>
      <c r="E80" t="inlineStr">
        <is>
          <t>VALLENTUNA</t>
        </is>
      </c>
      <c r="G80" t="n">
        <v>3.1</v>
      </c>
      <c r="H80" t="n">
        <v>0</v>
      </c>
      <c r="I80" t="n">
        <v>0</v>
      </c>
      <c r="J80" t="n">
        <v>0</v>
      </c>
      <c r="K80" t="n">
        <v>0</v>
      </c>
      <c r="L80" t="n">
        <v>0</v>
      </c>
      <c r="M80" t="n">
        <v>0</v>
      </c>
      <c r="N80" t="n">
        <v>0</v>
      </c>
      <c r="O80" t="n">
        <v>0</v>
      </c>
      <c r="P80" t="n">
        <v>0</v>
      </c>
      <c r="Q80" t="n">
        <v>0</v>
      </c>
      <c r="R80" s="2" t="inlineStr"/>
    </row>
    <row r="81" ht="15" customHeight="1">
      <c r="A81" t="inlineStr">
        <is>
          <t>A 22683-2023</t>
        </is>
      </c>
      <c r="B81" s="1" t="n">
        <v>45071</v>
      </c>
      <c r="C81" s="1" t="n">
        <v>46113</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60818-2023</t>
        </is>
      </c>
      <c r="B82" s="1" t="n">
        <v>45259</v>
      </c>
      <c r="C82" s="1" t="n">
        <v>46113</v>
      </c>
      <c r="D82" t="inlineStr">
        <is>
          <t>STOCKHOLMS LÄN</t>
        </is>
      </c>
      <c r="E82" t="inlineStr">
        <is>
          <t>VALLENTUNA</t>
        </is>
      </c>
      <c r="G82" t="n">
        <v>9.4</v>
      </c>
      <c r="H82" t="n">
        <v>0</v>
      </c>
      <c r="I82" t="n">
        <v>0</v>
      </c>
      <c r="J82" t="n">
        <v>0</v>
      </c>
      <c r="K82" t="n">
        <v>0</v>
      </c>
      <c r="L82" t="n">
        <v>0</v>
      </c>
      <c r="M82" t="n">
        <v>0</v>
      </c>
      <c r="N82" t="n">
        <v>0</v>
      </c>
      <c r="O82" t="n">
        <v>0</v>
      </c>
      <c r="P82" t="n">
        <v>0</v>
      </c>
      <c r="Q82" t="n">
        <v>0</v>
      </c>
      <c r="R82" s="2" t="inlineStr"/>
    </row>
    <row r="83" ht="15" customHeight="1">
      <c r="A83" t="inlineStr">
        <is>
          <t>A 24943-2024</t>
        </is>
      </c>
      <c r="B83" s="1" t="n">
        <v>45461.62585648148</v>
      </c>
      <c r="C83" s="1" t="n">
        <v>46113</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46113</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25984-2025</t>
        </is>
      </c>
      <c r="B85" s="1" t="n">
        <v>45804.64016203704</v>
      </c>
      <c r="C85" s="1" t="n">
        <v>46113</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46113</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26390-2023</t>
        </is>
      </c>
      <c r="B87" s="1" t="n">
        <v>45086</v>
      </c>
      <c r="C87" s="1" t="n">
        <v>46113</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46113</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46113</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54460-2025</t>
        </is>
      </c>
      <c r="B90" s="1" t="n">
        <v>45965.56219907408</v>
      </c>
      <c r="C90" s="1" t="n">
        <v>46113</v>
      </c>
      <c r="D90" t="inlineStr">
        <is>
          <t>STOCKHOLMS LÄN</t>
        </is>
      </c>
      <c r="E90" t="inlineStr">
        <is>
          <t>VALLENTUNA</t>
        </is>
      </c>
      <c r="G90" t="n">
        <v>22.9</v>
      </c>
      <c r="H90" t="n">
        <v>0</v>
      </c>
      <c r="I90" t="n">
        <v>0</v>
      </c>
      <c r="J90" t="n">
        <v>0</v>
      </c>
      <c r="K90" t="n">
        <v>0</v>
      </c>
      <c r="L90" t="n">
        <v>0</v>
      </c>
      <c r="M90" t="n">
        <v>0</v>
      </c>
      <c r="N90" t="n">
        <v>0</v>
      </c>
      <c r="O90" t="n">
        <v>0</v>
      </c>
      <c r="P90" t="n">
        <v>0</v>
      </c>
      <c r="Q90" t="n">
        <v>0</v>
      </c>
      <c r="R90" s="2" t="inlineStr"/>
    </row>
    <row r="91" ht="15" customHeight="1">
      <c r="A91" t="inlineStr">
        <is>
          <t>A 24707-2023</t>
        </is>
      </c>
      <c r="B91" s="1" t="n">
        <v>45084</v>
      </c>
      <c r="C91" s="1" t="n">
        <v>46113</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12609-2024</t>
        </is>
      </c>
      <c r="B92" s="1" t="n">
        <v>45382.8109375</v>
      </c>
      <c r="C92" s="1" t="n">
        <v>46113</v>
      </c>
      <c r="D92" t="inlineStr">
        <is>
          <t>STOCKHOLMS LÄN</t>
        </is>
      </c>
      <c r="E92" t="inlineStr">
        <is>
          <t>VALLENTUNA</t>
        </is>
      </c>
      <c r="G92" t="n">
        <v>0.9</v>
      </c>
      <c r="H92" t="n">
        <v>0</v>
      </c>
      <c r="I92" t="n">
        <v>0</v>
      </c>
      <c r="J92" t="n">
        <v>0</v>
      </c>
      <c r="K92" t="n">
        <v>0</v>
      </c>
      <c r="L92" t="n">
        <v>0</v>
      </c>
      <c r="M92" t="n">
        <v>0</v>
      </c>
      <c r="N92" t="n">
        <v>0</v>
      </c>
      <c r="O92" t="n">
        <v>0</v>
      </c>
      <c r="P92" t="n">
        <v>0</v>
      </c>
      <c r="Q92" t="n">
        <v>0</v>
      </c>
      <c r="R92" s="2" t="inlineStr"/>
    </row>
    <row r="93" ht="15" customHeight="1">
      <c r="A93" t="inlineStr">
        <is>
          <t>A 47140-2024</t>
        </is>
      </c>
      <c r="B93" s="1" t="n">
        <v>45586.58753472222</v>
      </c>
      <c r="C93" s="1" t="n">
        <v>46113</v>
      </c>
      <c r="D93" t="inlineStr">
        <is>
          <t>STOCKHOLMS LÄN</t>
        </is>
      </c>
      <c r="E93" t="inlineStr">
        <is>
          <t>VALLENTUNA</t>
        </is>
      </c>
      <c r="G93" t="n">
        <v>1</v>
      </c>
      <c r="H93" t="n">
        <v>0</v>
      </c>
      <c r="I93" t="n">
        <v>0</v>
      </c>
      <c r="J93" t="n">
        <v>0</v>
      </c>
      <c r="K93" t="n">
        <v>0</v>
      </c>
      <c r="L93" t="n">
        <v>0</v>
      </c>
      <c r="M93" t="n">
        <v>0</v>
      </c>
      <c r="N93" t="n">
        <v>0</v>
      </c>
      <c r="O93" t="n">
        <v>0</v>
      </c>
      <c r="P93" t="n">
        <v>0</v>
      </c>
      <c r="Q93" t="n">
        <v>0</v>
      </c>
      <c r="R93" s="2" t="inlineStr"/>
    </row>
    <row r="94" ht="15" customHeight="1">
      <c r="A94" t="inlineStr">
        <is>
          <t>A 8565-2025</t>
        </is>
      </c>
      <c r="B94" s="1" t="n">
        <v>45709</v>
      </c>
      <c r="C94" s="1" t="n">
        <v>46113</v>
      </c>
      <c r="D94" t="inlineStr">
        <is>
          <t>STOCKHOLMS LÄN</t>
        </is>
      </c>
      <c r="E94" t="inlineStr">
        <is>
          <t>VALLENTUNA</t>
        </is>
      </c>
      <c r="F94" t="inlineStr">
        <is>
          <t>Kommuner</t>
        </is>
      </c>
      <c r="G94" t="n">
        <v>4.2</v>
      </c>
      <c r="H94" t="n">
        <v>0</v>
      </c>
      <c r="I94" t="n">
        <v>0</v>
      </c>
      <c r="J94" t="n">
        <v>0</v>
      </c>
      <c r="K94" t="n">
        <v>0</v>
      </c>
      <c r="L94" t="n">
        <v>0</v>
      </c>
      <c r="M94" t="n">
        <v>0</v>
      </c>
      <c r="N94" t="n">
        <v>0</v>
      </c>
      <c r="O94" t="n">
        <v>0</v>
      </c>
      <c r="P94" t="n">
        <v>0</v>
      </c>
      <c r="Q94" t="n">
        <v>0</v>
      </c>
      <c r="R94" s="2" t="inlineStr"/>
    </row>
    <row r="95" ht="15" customHeight="1">
      <c r="A95" t="inlineStr">
        <is>
          <t>A 30902-2025</t>
        </is>
      </c>
      <c r="B95" s="1" t="n">
        <v>45832.36104166666</v>
      </c>
      <c r="C95" s="1" t="n">
        <v>46113</v>
      </c>
      <c r="D95" t="inlineStr">
        <is>
          <t>STOCKHOLMS LÄN</t>
        </is>
      </c>
      <c r="E95" t="inlineStr">
        <is>
          <t>VALLENTUNA</t>
        </is>
      </c>
      <c r="G95" t="n">
        <v>8.199999999999999</v>
      </c>
      <c r="H95" t="n">
        <v>0</v>
      </c>
      <c r="I95" t="n">
        <v>0</v>
      </c>
      <c r="J95" t="n">
        <v>0</v>
      </c>
      <c r="K95" t="n">
        <v>0</v>
      </c>
      <c r="L95" t="n">
        <v>0</v>
      </c>
      <c r="M95" t="n">
        <v>0</v>
      </c>
      <c r="N95" t="n">
        <v>0</v>
      </c>
      <c r="O95" t="n">
        <v>0</v>
      </c>
      <c r="P95" t="n">
        <v>0</v>
      </c>
      <c r="Q95" t="n">
        <v>0</v>
      </c>
      <c r="R95" s="2" t="inlineStr"/>
    </row>
    <row r="96" ht="15" customHeight="1">
      <c r="A96" t="inlineStr">
        <is>
          <t>A 9063-2024</t>
        </is>
      </c>
      <c r="B96" s="1" t="n">
        <v>45357.72652777778</v>
      </c>
      <c r="C96" s="1" t="n">
        <v>46113</v>
      </c>
      <c r="D96" t="inlineStr">
        <is>
          <t>STOCKHOLMS LÄN</t>
        </is>
      </c>
      <c r="E96" t="inlineStr">
        <is>
          <t>VALLENTUNA</t>
        </is>
      </c>
      <c r="G96" t="n">
        <v>4.1</v>
      </c>
      <c r="H96" t="n">
        <v>0</v>
      </c>
      <c r="I96" t="n">
        <v>0</v>
      </c>
      <c r="J96" t="n">
        <v>0</v>
      </c>
      <c r="K96" t="n">
        <v>0</v>
      </c>
      <c r="L96" t="n">
        <v>0</v>
      </c>
      <c r="M96" t="n">
        <v>0</v>
      </c>
      <c r="N96" t="n">
        <v>0</v>
      </c>
      <c r="O96" t="n">
        <v>0</v>
      </c>
      <c r="P96" t="n">
        <v>0</v>
      </c>
      <c r="Q96" t="n">
        <v>0</v>
      </c>
      <c r="R96" s="2" t="inlineStr"/>
    </row>
    <row r="97" ht="15" customHeight="1">
      <c r="A97" t="inlineStr">
        <is>
          <t>A 4803-2024</t>
        </is>
      </c>
      <c r="B97" s="1" t="n">
        <v>45328</v>
      </c>
      <c r="C97" s="1" t="n">
        <v>46113</v>
      </c>
      <c r="D97" t="inlineStr">
        <is>
          <t>STOCKHOLMS LÄN</t>
        </is>
      </c>
      <c r="E97" t="inlineStr">
        <is>
          <t>VALLENTUNA</t>
        </is>
      </c>
      <c r="G97" t="n">
        <v>4.6</v>
      </c>
      <c r="H97" t="n">
        <v>0</v>
      </c>
      <c r="I97" t="n">
        <v>0</v>
      </c>
      <c r="J97" t="n">
        <v>0</v>
      </c>
      <c r="K97" t="n">
        <v>0</v>
      </c>
      <c r="L97" t="n">
        <v>0</v>
      </c>
      <c r="M97" t="n">
        <v>0</v>
      </c>
      <c r="N97" t="n">
        <v>0</v>
      </c>
      <c r="O97" t="n">
        <v>0</v>
      </c>
      <c r="P97" t="n">
        <v>0</v>
      </c>
      <c r="Q97" t="n">
        <v>0</v>
      </c>
      <c r="R97" s="2" t="inlineStr"/>
    </row>
    <row r="98" ht="15" customHeight="1">
      <c r="A98" t="inlineStr">
        <is>
          <t>A 52542-2023</t>
        </is>
      </c>
      <c r="B98" s="1" t="n">
        <v>45225</v>
      </c>
      <c r="C98" s="1" t="n">
        <v>46113</v>
      </c>
      <c r="D98" t="inlineStr">
        <is>
          <t>STOCKHOLMS LÄN</t>
        </is>
      </c>
      <c r="E98" t="inlineStr">
        <is>
          <t>VALLENTUNA</t>
        </is>
      </c>
      <c r="G98" t="n">
        <v>3.8</v>
      </c>
      <c r="H98" t="n">
        <v>0</v>
      </c>
      <c r="I98" t="n">
        <v>0</v>
      </c>
      <c r="J98" t="n">
        <v>0</v>
      </c>
      <c r="K98" t="n">
        <v>0</v>
      </c>
      <c r="L98" t="n">
        <v>0</v>
      </c>
      <c r="M98" t="n">
        <v>0</v>
      </c>
      <c r="N98" t="n">
        <v>0</v>
      </c>
      <c r="O98" t="n">
        <v>0</v>
      </c>
      <c r="P98" t="n">
        <v>0</v>
      </c>
      <c r="Q98" t="n">
        <v>0</v>
      </c>
      <c r="R98" s="2" t="inlineStr"/>
    </row>
    <row r="99" ht="15" customHeight="1">
      <c r="A99" t="inlineStr">
        <is>
          <t>A 27870-2025</t>
        </is>
      </c>
      <c r="B99" s="1" t="n">
        <v>45817</v>
      </c>
      <c r="C99" s="1" t="n">
        <v>46113</v>
      </c>
      <c r="D99" t="inlineStr">
        <is>
          <t>STOCKHOLMS LÄN</t>
        </is>
      </c>
      <c r="E99" t="inlineStr">
        <is>
          <t>VALLENTUNA</t>
        </is>
      </c>
      <c r="G99" t="n">
        <v>2.3</v>
      </c>
      <c r="H99" t="n">
        <v>0</v>
      </c>
      <c r="I99" t="n">
        <v>0</v>
      </c>
      <c r="J99" t="n">
        <v>0</v>
      </c>
      <c r="K99" t="n">
        <v>0</v>
      </c>
      <c r="L99" t="n">
        <v>0</v>
      </c>
      <c r="M99" t="n">
        <v>0</v>
      </c>
      <c r="N99" t="n">
        <v>0</v>
      </c>
      <c r="O99" t="n">
        <v>0</v>
      </c>
      <c r="P99" t="n">
        <v>0</v>
      </c>
      <c r="Q99" t="n">
        <v>0</v>
      </c>
      <c r="R99" s="2" t="inlineStr"/>
    </row>
    <row r="100" ht="15" customHeight="1">
      <c r="A100" t="inlineStr">
        <is>
          <t>A 61646-2025</t>
        </is>
      </c>
      <c r="B100" s="1" t="n">
        <v>46002</v>
      </c>
      <c r="C100" s="1" t="n">
        <v>46113</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11950-2025</t>
        </is>
      </c>
      <c r="B101" s="1" t="n">
        <v>45728.55622685186</v>
      </c>
      <c r="C101" s="1" t="n">
        <v>46113</v>
      </c>
      <c r="D101" t="inlineStr">
        <is>
          <t>STOCKHOLMS LÄN</t>
        </is>
      </c>
      <c r="E101" t="inlineStr">
        <is>
          <t>VALLENTUNA</t>
        </is>
      </c>
      <c r="G101" t="n">
        <v>1.4</v>
      </c>
      <c r="H101" t="n">
        <v>0</v>
      </c>
      <c r="I101" t="n">
        <v>0</v>
      </c>
      <c r="J101" t="n">
        <v>0</v>
      </c>
      <c r="K101" t="n">
        <v>0</v>
      </c>
      <c r="L101" t="n">
        <v>0</v>
      </c>
      <c r="M101" t="n">
        <v>0</v>
      </c>
      <c r="N101" t="n">
        <v>0</v>
      </c>
      <c r="O101" t="n">
        <v>0</v>
      </c>
      <c r="P101" t="n">
        <v>0</v>
      </c>
      <c r="Q101" t="n">
        <v>0</v>
      </c>
      <c r="R101" s="2" t="inlineStr"/>
    </row>
    <row r="102" ht="15" customHeight="1">
      <c r="A102" t="inlineStr">
        <is>
          <t>A 14489-2024</t>
        </is>
      </c>
      <c r="B102" s="1" t="n">
        <v>45394.58053240741</v>
      </c>
      <c r="C102" s="1" t="n">
        <v>46113</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28431-2025</t>
        </is>
      </c>
      <c r="B103" s="1" t="n">
        <v>45819.38072916667</v>
      </c>
      <c r="C103" s="1" t="n">
        <v>46113</v>
      </c>
      <c r="D103" t="inlineStr">
        <is>
          <t>STOCKHOLMS LÄN</t>
        </is>
      </c>
      <c r="E103" t="inlineStr">
        <is>
          <t>VALLENTUNA</t>
        </is>
      </c>
      <c r="G103" t="n">
        <v>1.5</v>
      </c>
      <c r="H103" t="n">
        <v>0</v>
      </c>
      <c r="I103" t="n">
        <v>0</v>
      </c>
      <c r="J103" t="n">
        <v>0</v>
      </c>
      <c r="K103" t="n">
        <v>0</v>
      </c>
      <c r="L103" t="n">
        <v>0</v>
      </c>
      <c r="M103" t="n">
        <v>0</v>
      </c>
      <c r="N103" t="n">
        <v>0</v>
      </c>
      <c r="O103" t="n">
        <v>0</v>
      </c>
      <c r="P103" t="n">
        <v>0</v>
      </c>
      <c r="Q103" t="n">
        <v>0</v>
      </c>
      <c r="R103" s="2" t="inlineStr"/>
    </row>
    <row r="104" ht="15" customHeight="1">
      <c r="A104" t="inlineStr">
        <is>
          <t>A 52562-2023</t>
        </is>
      </c>
      <c r="B104" s="1" t="n">
        <v>45225</v>
      </c>
      <c r="C104" s="1" t="n">
        <v>46113</v>
      </c>
      <c r="D104" t="inlineStr">
        <is>
          <t>STOCKHOLMS LÄN</t>
        </is>
      </c>
      <c r="E104" t="inlineStr">
        <is>
          <t>VALLENTUNA</t>
        </is>
      </c>
      <c r="G104" t="n">
        <v>3.4</v>
      </c>
      <c r="H104" t="n">
        <v>0</v>
      </c>
      <c r="I104" t="n">
        <v>0</v>
      </c>
      <c r="J104" t="n">
        <v>0</v>
      </c>
      <c r="K104" t="n">
        <v>0</v>
      </c>
      <c r="L104" t="n">
        <v>0</v>
      </c>
      <c r="M104" t="n">
        <v>0</v>
      </c>
      <c r="N104" t="n">
        <v>0</v>
      </c>
      <c r="O104" t="n">
        <v>0</v>
      </c>
      <c r="P104" t="n">
        <v>0</v>
      </c>
      <c r="Q104" t="n">
        <v>0</v>
      </c>
      <c r="R104" s="2" t="inlineStr"/>
    </row>
    <row r="105" ht="15" customHeight="1">
      <c r="A105" t="inlineStr">
        <is>
          <t>A 414-2026</t>
        </is>
      </c>
      <c r="B105" s="1" t="n">
        <v>46028.76050925926</v>
      </c>
      <c r="C105" s="1" t="n">
        <v>46113</v>
      </c>
      <c r="D105" t="inlineStr">
        <is>
          <t>STOCKHOLMS LÄN</t>
        </is>
      </c>
      <c r="E105" t="inlineStr">
        <is>
          <t>VALLENTUNA</t>
        </is>
      </c>
      <c r="G105" t="n">
        <v>2.6</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46113</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46113</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46113</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46113</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12396-2026</t>
        </is>
      </c>
      <c r="B110" s="1" t="n">
        <v>46090.38930555555</v>
      </c>
      <c r="C110" s="1" t="n">
        <v>46113</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12400-2026</t>
        </is>
      </c>
      <c r="B111" s="1" t="n">
        <v>46090.39423611111</v>
      </c>
      <c r="C111" s="1" t="n">
        <v>46113</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3698-2022</t>
        </is>
      </c>
      <c r="B112" s="1" t="n">
        <v>44586</v>
      </c>
      <c r="C112" s="1" t="n">
        <v>46113</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12819-2026</t>
        </is>
      </c>
      <c r="B113" s="1" t="n">
        <v>46092.40896990741</v>
      </c>
      <c r="C113" s="1" t="n">
        <v>46113</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12822-2026</t>
        </is>
      </c>
      <c r="B114" s="1" t="n">
        <v>46092.41358796296</v>
      </c>
      <c r="C114" s="1" t="n">
        <v>46113</v>
      </c>
      <c r="D114" t="inlineStr">
        <is>
          <t>STOCKHOLMS LÄN</t>
        </is>
      </c>
      <c r="E114" t="inlineStr">
        <is>
          <t>VALLENTUNA</t>
        </is>
      </c>
      <c r="G114" t="n">
        <v>2.7</v>
      </c>
      <c r="H114" t="n">
        <v>0</v>
      </c>
      <c r="I114" t="n">
        <v>0</v>
      </c>
      <c r="J114" t="n">
        <v>0</v>
      </c>
      <c r="K114" t="n">
        <v>0</v>
      </c>
      <c r="L114" t="n">
        <v>0</v>
      </c>
      <c r="M114" t="n">
        <v>0</v>
      </c>
      <c r="N114" t="n">
        <v>0</v>
      </c>
      <c r="O114" t="n">
        <v>0</v>
      </c>
      <c r="P114" t="n">
        <v>0</v>
      </c>
      <c r="Q114" t="n">
        <v>0</v>
      </c>
      <c r="R114" s="2" t="inlineStr"/>
    </row>
    <row r="115" ht="15" customHeight="1">
      <c r="A115" t="inlineStr">
        <is>
          <t>A 12828-2026</t>
        </is>
      </c>
      <c r="B115" s="1" t="n">
        <v>46092.41760416667</v>
      </c>
      <c r="C115" s="1" t="n">
        <v>46113</v>
      </c>
      <c r="D115" t="inlineStr">
        <is>
          <t>STOCKHOLMS LÄN</t>
        </is>
      </c>
      <c r="E115" t="inlineStr">
        <is>
          <t>VALLENTUNA</t>
        </is>
      </c>
      <c r="G115" t="n">
        <v>1</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46113</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12830-2026</t>
        </is>
      </c>
      <c r="B117" s="1" t="n">
        <v>46092.42290509259</v>
      </c>
      <c r="C117" s="1" t="n">
        <v>46113</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12234-2022</t>
        </is>
      </c>
      <c r="B118" s="1" t="n">
        <v>44637</v>
      </c>
      <c r="C118" s="1" t="n">
        <v>46113</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21614-2022</t>
        </is>
      </c>
      <c r="B119" s="1" t="n">
        <v>44706</v>
      </c>
      <c r="C119" s="1" t="n">
        <v>46113</v>
      </c>
      <c r="D119" t="inlineStr">
        <is>
          <t>STOCKHOLMS LÄN</t>
        </is>
      </c>
      <c r="E119" t="inlineStr">
        <is>
          <t>VALLENTUNA</t>
        </is>
      </c>
      <c r="G119" t="n">
        <v>4</v>
      </c>
      <c r="H119" t="n">
        <v>0</v>
      </c>
      <c r="I119" t="n">
        <v>0</v>
      </c>
      <c r="J119" t="n">
        <v>0</v>
      </c>
      <c r="K119" t="n">
        <v>0</v>
      </c>
      <c r="L119" t="n">
        <v>0</v>
      </c>
      <c r="M119" t="n">
        <v>0</v>
      </c>
      <c r="N119" t="n">
        <v>0</v>
      </c>
      <c r="O119" t="n">
        <v>0</v>
      </c>
      <c r="P119" t="n">
        <v>0</v>
      </c>
      <c r="Q119" t="n">
        <v>0</v>
      </c>
      <c r="R119" s="2" t="inlineStr"/>
    </row>
    <row r="120" ht="15" customHeight="1">
      <c r="A120" t="inlineStr">
        <is>
          <t>A 44346-2021</t>
        </is>
      </c>
      <c r="B120" s="1" t="n">
        <v>44434</v>
      </c>
      <c r="C120" s="1" t="n">
        <v>46113</v>
      </c>
      <c r="D120" t="inlineStr">
        <is>
          <t>STOCKHOLMS LÄN</t>
        </is>
      </c>
      <c r="E120" t="inlineStr">
        <is>
          <t>VALLENTUNA</t>
        </is>
      </c>
      <c r="G120" t="n">
        <v>3</v>
      </c>
      <c r="H120" t="n">
        <v>0</v>
      </c>
      <c r="I120" t="n">
        <v>0</v>
      </c>
      <c r="J120" t="n">
        <v>0</v>
      </c>
      <c r="K120" t="n">
        <v>0</v>
      </c>
      <c r="L120" t="n">
        <v>0</v>
      </c>
      <c r="M120" t="n">
        <v>0</v>
      </c>
      <c r="N120" t="n">
        <v>0</v>
      </c>
      <c r="O120" t="n">
        <v>0</v>
      </c>
      <c r="P120" t="n">
        <v>0</v>
      </c>
      <c r="Q120" t="n">
        <v>0</v>
      </c>
      <c r="R120" s="2" t="inlineStr"/>
    </row>
    <row r="121" ht="15" customHeight="1">
      <c r="A121" t="inlineStr">
        <is>
          <t>A 12585-2023</t>
        </is>
      </c>
      <c r="B121" s="1" t="n">
        <v>45000.41373842592</v>
      </c>
      <c r="C121" s="1" t="n">
        <v>46113</v>
      </c>
      <c r="D121" t="inlineStr">
        <is>
          <t>STOCKHOLMS LÄN</t>
        </is>
      </c>
      <c r="E121" t="inlineStr">
        <is>
          <t>VALLENTUNA</t>
        </is>
      </c>
      <c r="G121" t="n">
        <v>3.7</v>
      </c>
      <c r="H121" t="n">
        <v>0</v>
      </c>
      <c r="I121" t="n">
        <v>0</v>
      </c>
      <c r="J121" t="n">
        <v>0</v>
      </c>
      <c r="K121" t="n">
        <v>0</v>
      </c>
      <c r="L121" t="n">
        <v>0</v>
      </c>
      <c r="M121" t="n">
        <v>0</v>
      </c>
      <c r="N121" t="n">
        <v>0</v>
      </c>
      <c r="O121" t="n">
        <v>0</v>
      </c>
      <c r="P121" t="n">
        <v>0</v>
      </c>
      <c r="Q121" t="n">
        <v>0</v>
      </c>
      <c r="R121" s="2" t="inlineStr"/>
    </row>
    <row r="122" ht="15" customHeight="1">
      <c r="A122" t="inlineStr">
        <is>
          <t>A 8787-2024</t>
        </is>
      </c>
      <c r="B122" s="1" t="n">
        <v>45356</v>
      </c>
      <c r="C122" s="1" t="n">
        <v>46113</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6298-2026</t>
        </is>
      </c>
      <c r="B123" s="1" t="n">
        <v>46055.5656712963</v>
      </c>
      <c r="C123" s="1" t="n">
        <v>46113</v>
      </c>
      <c r="D123" t="inlineStr">
        <is>
          <t>STOCKHOLMS LÄN</t>
        </is>
      </c>
      <c r="E123" t="inlineStr">
        <is>
          <t>VALLENTUNA</t>
        </is>
      </c>
      <c r="G123" t="n">
        <v>3.3</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46102.82101851852</v>
      </c>
      <c r="C124" s="1" t="n">
        <v>46113</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46113</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46113</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23986-2023</t>
        </is>
      </c>
      <c r="B127" s="1" t="n">
        <v>45078</v>
      </c>
      <c r="C127" s="1" t="n">
        <v>46113</v>
      </c>
      <c r="D127" t="inlineStr">
        <is>
          <t>STOCKHOLMS LÄN</t>
        </is>
      </c>
      <c r="E127" t="inlineStr">
        <is>
          <t>VALLENTUNA</t>
        </is>
      </c>
      <c r="F127" t="inlineStr">
        <is>
          <t>Kyrkan</t>
        </is>
      </c>
      <c r="G127" t="n">
        <v>5.7</v>
      </c>
      <c r="H127" t="n">
        <v>0</v>
      </c>
      <c r="I127" t="n">
        <v>0</v>
      </c>
      <c r="J127" t="n">
        <v>0</v>
      </c>
      <c r="K127" t="n">
        <v>0</v>
      </c>
      <c r="L127" t="n">
        <v>0</v>
      </c>
      <c r="M127" t="n">
        <v>0</v>
      </c>
      <c r="N127" t="n">
        <v>0</v>
      </c>
      <c r="O127" t="n">
        <v>0</v>
      </c>
      <c r="P127" t="n">
        <v>0</v>
      </c>
      <c r="Q127" t="n">
        <v>0</v>
      </c>
      <c r="R127" s="2" t="inlineStr"/>
    </row>
    <row r="128" ht="15" customHeight="1">
      <c r="A128" t="inlineStr">
        <is>
          <t>A 15300-2023</t>
        </is>
      </c>
      <c r="B128" s="1" t="n">
        <v>45019</v>
      </c>
      <c r="C128" s="1" t="n">
        <v>46113</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46113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46113</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46113</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46113</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46113</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46113</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46113</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46113</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46113</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46113</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46113</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46113</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46113</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46113</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46113</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46113</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46113</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12621-2024</t>
        </is>
      </c>
      <c r="B146" s="1" t="n">
        <v>45383.6325</v>
      </c>
      <c r="C146" s="1" t="n">
        <v>46113</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row r="147">
      <c r="A147" t="inlineStr">
        <is>
          <t>A 46381-2023</t>
        </is>
      </c>
      <c r="B147" s="1" t="n">
        <v>45193</v>
      </c>
      <c r="C147" s="1" t="n">
        <v>46113</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2026-04-01T10:42:17Z</dcterms:created>
  <dcterms:modified xmlns:dcterms="http://purl.org/dc/terms/" xmlns:xsi="http://www.w3.org/2001/XMLSchema-instance" xsi:type="dcterms:W3CDTF">2026-04-01T10:42:18Z</dcterms:modified>
</cp:coreProperties>
</file>