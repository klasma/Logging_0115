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45569</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45569</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45569</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45569</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50718-2023</t>
        </is>
      </c>
      <c r="B6" s="1" t="n">
        <v>45217</v>
      </c>
      <c r="C6" s="1" t="n">
        <v>45569</v>
      </c>
      <c r="D6" t="inlineStr">
        <is>
          <t>STOCKHOLMS LÄN</t>
        </is>
      </c>
      <c r="E6" t="inlineStr">
        <is>
          <t>VALLENTUNA</t>
        </is>
      </c>
      <c r="G6" t="n">
        <v>3.6</v>
      </c>
      <c r="H6" t="n">
        <v>4</v>
      </c>
      <c r="I6" t="n">
        <v>9</v>
      </c>
      <c r="J6" t="n">
        <v>6</v>
      </c>
      <c r="K6" t="n">
        <v>0</v>
      </c>
      <c r="L6" t="n">
        <v>0</v>
      </c>
      <c r="M6" t="n">
        <v>0</v>
      </c>
      <c r="N6" t="n">
        <v>0</v>
      </c>
      <c r="O6" t="n">
        <v>6</v>
      </c>
      <c r="P6" t="n">
        <v>0</v>
      </c>
      <c r="Q6" t="n">
        <v>17</v>
      </c>
      <c r="R6" s="2" t="inlineStr">
        <is>
          <t>Granticka
Rosenticka
Spillkråka
Tallticka
Ullticka
Vedtrappmossa
Brandticka
Bronshjon
Grovticka
Grön sköldmossa
Grönpyrola
Gulnål
Rödgul trumpetsvamp
Trådticka
Vedticka
Blåsippa
Revlummer</t>
        </is>
      </c>
      <c r="S6">
        <f>HYPERLINK("https://klasma.github.io/Logging_0115/artfynd/A 50718-2023 artfynd.xlsx", "A 50718-2023")</f>
        <v/>
      </c>
      <c r="T6">
        <f>HYPERLINK("https://klasma.github.io/Logging_0115/kartor/A 50718-2023 karta.png", "A 50718-2023")</f>
        <v/>
      </c>
      <c r="V6">
        <f>HYPERLINK("https://klasma.github.io/Logging_0115/klagomål/A 50718-2023 FSC-klagomål.docx", "A 50718-2023")</f>
        <v/>
      </c>
      <c r="W6">
        <f>HYPERLINK("https://klasma.github.io/Logging_0115/klagomålsmail/A 50718-2023 FSC-klagomål mail.docx", "A 50718-2023")</f>
        <v/>
      </c>
      <c r="X6">
        <f>HYPERLINK("https://klasma.github.io/Logging_0115/tillsyn/A 50718-2023 tillsynsbegäran.docx", "A 50718-2023")</f>
        <v/>
      </c>
      <c r="Y6">
        <f>HYPERLINK("https://klasma.github.io/Logging_0115/tillsynsmail/A 50718-2023 tillsynsbegäran mail.docx", "A 50718-2023")</f>
        <v/>
      </c>
      <c r="Z6">
        <f>HYPERLINK("https://klasma.github.io/Logging_0115/fåglar/A 50718-2023 prioriterade fågelarter.docx", "A 50718-2023")</f>
        <v/>
      </c>
    </row>
    <row r="7" ht="15" customHeight="1">
      <c r="A7" t="inlineStr">
        <is>
          <t>A 55761-2023</t>
        </is>
      </c>
      <c r="B7" s="1" t="n">
        <v>45239</v>
      </c>
      <c r="C7" s="1" t="n">
        <v>45569</v>
      </c>
      <c r="D7" t="inlineStr">
        <is>
          <t>STOCKHOLMS LÄN</t>
        </is>
      </c>
      <c r="E7" t="inlineStr">
        <is>
          <t>VALLENTUNA</t>
        </is>
      </c>
      <c r="G7" t="n">
        <v>11.7</v>
      </c>
      <c r="H7" t="n">
        <v>4</v>
      </c>
      <c r="I7" t="n">
        <v>5</v>
      </c>
      <c r="J7" t="n">
        <v>10</v>
      </c>
      <c r="K7" t="n">
        <v>0</v>
      </c>
      <c r="L7" t="n">
        <v>0</v>
      </c>
      <c r="M7" t="n">
        <v>0</v>
      </c>
      <c r="N7" t="n">
        <v>0</v>
      </c>
      <c r="O7" t="n">
        <v>10</v>
      </c>
      <c r="P7" t="n">
        <v>0</v>
      </c>
      <c r="Q7" t="n">
        <v>17</v>
      </c>
      <c r="R7" s="2" t="inlineStr">
        <is>
          <t>Dvärgbägarlav
Garnlav
Motaggsvamp
Orange taggsvamp
Spillkråka
Svartvit taggsvamp
Tallticka
Talltita
Vedskivlav
Vintertagging
Björksplintborre
Blodticka
Blåmossa
Bronshjon
Granbarkgnagare
Kungsfågel
Tjäder</t>
        </is>
      </c>
      <c r="S7">
        <f>HYPERLINK("https://klasma.github.io/Logging_0115/artfynd/A 55761-2023 artfynd.xlsx", "A 55761-2023")</f>
        <v/>
      </c>
      <c r="T7">
        <f>HYPERLINK("https://klasma.github.io/Logging_0115/kartor/A 55761-2023 karta.png", "A 55761-2023")</f>
        <v/>
      </c>
      <c r="U7">
        <f>HYPERLINK("https://klasma.github.io/Logging_0115/knärot/A 55761-2023 karta knärot.png", "A 55761-2023")</f>
        <v/>
      </c>
      <c r="V7">
        <f>HYPERLINK("https://klasma.github.io/Logging_0115/klagomål/A 55761-2023 FSC-klagomål.docx", "A 55761-2023")</f>
        <v/>
      </c>
      <c r="W7">
        <f>HYPERLINK("https://klasma.github.io/Logging_0115/klagomålsmail/A 55761-2023 FSC-klagomål mail.docx", "A 55761-2023")</f>
        <v/>
      </c>
      <c r="X7">
        <f>HYPERLINK("https://klasma.github.io/Logging_0115/tillsyn/A 55761-2023 tillsynsbegäran.docx", "A 55761-2023")</f>
        <v/>
      </c>
      <c r="Y7">
        <f>HYPERLINK("https://klasma.github.io/Logging_0115/tillsynsmail/A 55761-2023 tillsynsbegäran mail.docx", "A 55761-2023")</f>
        <v/>
      </c>
      <c r="Z7">
        <f>HYPERLINK("https://klasma.github.io/Logging_0115/fåglar/A 55761-2023 prioriterade fågelarter.docx", "A 55761-2023")</f>
        <v/>
      </c>
    </row>
    <row r="8" ht="15" customHeight="1">
      <c r="A8" t="inlineStr">
        <is>
          <t>A 10326-2024</t>
        </is>
      </c>
      <c r="B8" s="1" t="n">
        <v>45365</v>
      </c>
      <c r="C8" s="1" t="n">
        <v>45569</v>
      </c>
      <c r="D8" t="inlineStr">
        <is>
          <t>STOCKHOLMS LÄN</t>
        </is>
      </c>
      <c r="E8" t="inlineStr">
        <is>
          <t>VALLENTUNA</t>
        </is>
      </c>
      <c r="G8" t="n">
        <v>9.5</v>
      </c>
      <c r="H8" t="n">
        <v>5</v>
      </c>
      <c r="I8" t="n">
        <v>6</v>
      </c>
      <c r="J8" t="n">
        <v>6</v>
      </c>
      <c r="K8" t="n">
        <v>2</v>
      </c>
      <c r="L8" t="n">
        <v>0</v>
      </c>
      <c r="M8" t="n">
        <v>0</v>
      </c>
      <c r="N8" t="n">
        <v>0</v>
      </c>
      <c r="O8" t="n">
        <v>8</v>
      </c>
      <c r="P8" t="n">
        <v>2</v>
      </c>
      <c r="Q8" t="n">
        <v>17</v>
      </c>
      <c r="R8" s="2" t="inlineStr">
        <is>
          <t>Knärot
Rynkskinn
Brunpudrad nållav
Rosenticka
Spillkråka
Tallticka
Ullticka
Vedtrappmossa
Bronshjon
Grönpyrola
Kattfotslav
Rävticka
Rödgul trumpetsvamp
Vedticka
Kungsfågel
Blåsippa
Revlummer</t>
        </is>
      </c>
      <c r="S8">
        <f>HYPERLINK("https://klasma.github.io/Logging_0115/artfynd/A 10326-2024 artfynd.xlsx", "A 10326-2024")</f>
        <v/>
      </c>
      <c r="T8">
        <f>HYPERLINK("https://klasma.github.io/Logging_0115/kartor/A 10326-2024 karta.png", "A 10326-2024")</f>
        <v/>
      </c>
      <c r="U8">
        <f>HYPERLINK("https://klasma.github.io/Logging_0115/knärot/A 10326-2024 karta knärot.png", "A 10326-2024")</f>
        <v/>
      </c>
      <c r="V8">
        <f>HYPERLINK("https://klasma.github.io/Logging_0115/klagomål/A 10326-2024 FSC-klagomål.docx", "A 10326-2024")</f>
        <v/>
      </c>
      <c r="W8">
        <f>HYPERLINK("https://klasma.github.io/Logging_0115/klagomålsmail/A 10326-2024 FSC-klagomål mail.docx", "A 10326-2024")</f>
        <v/>
      </c>
      <c r="X8">
        <f>HYPERLINK("https://klasma.github.io/Logging_0115/tillsyn/A 10326-2024 tillsynsbegäran.docx", "A 10326-2024")</f>
        <v/>
      </c>
      <c r="Y8">
        <f>HYPERLINK("https://klasma.github.io/Logging_0115/tillsynsmail/A 10326-2024 tillsynsbegäran mail.docx", "A 10326-2024")</f>
        <v/>
      </c>
      <c r="Z8">
        <f>HYPERLINK("https://klasma.github.io/Logging_0115/fåglar/A 10326-2024 prioriterade fågelarter.docx", "A 10326-2024")</f>
        <v/>
      </c>
    </row>
    <row r="9" ht="15" customHeight="1">
      <c r="A9" t="inlineStr">
        <is>
          <t>A 55825-2023</t>
        </is>
      </c>
      <c r="B9" s="1" t="n">
        <v>45239</v>
      </c>
      <c r="C9" s="1" t="n">
        <v>45569</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45569</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45569</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45569</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45569</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45569</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45569</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45569</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45569</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45569</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45569</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45569</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45569</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45569</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45569</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45569</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45569</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45569</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45569</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45569</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45569</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45569</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45569</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45569</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45569</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45569</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45569</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29376-2024</t>
        </is>
      </c>
      <c r="B36" s="1" t="n">
        <v>45483</v>
      </c>
      <c r="C36" s="1" t="n">
        <v>45569</v>
      </c>
      <c r="D36" t="inlineStr">
        <is>
          <t>STOCKHOLMS LÄN</t>
        </is>
      </c>
      <c r="E36" t="inlineStr">
        <is>
          <t>VALLENTUNA</t>
        </is>
      </c>
      <c r="F36" t="inlineStr">
        <is>
          <t>Övriga Aktiebolag</t>
        </is>
      </c>
      <c r="G36" t="n">
        <v>11.9</v>
      </c>
      <c r="H36" t="n">
        <v>0</v>
      </c>
      <c r="I36" t="n">
        <v>0</v>
      </c>
      <c r="J36" t="n">
        <v>1</v>
      </c>
      <c r="K36" t="n">
        <v>1</v>
      </c>
      <c r="L36" t="n">
        <v>0</v>
      </c>
      <c r="M36" t="n">
        <v>0</v>
      </c>
      <c r="N36" t="n">
        <v>0</v>
      </c>
      <c r="O36" t="n">
        <v>2</v>
      </c>
      <c r="P36" t="n">
        <v>1</v>
      </c>
      <c r="Q36" t="n">
        <v>2</v>
      </c>
      <c r="R36" s="2" t="inlineStr">
        <is>
          <t>Bandnate
Vedtrappmossa</t>
        </is>
      </c>
      <c r="S36">
        <f>HYPERLINK("https://klasma.github.io/Logging_0115/artfynd/A 29376-2024 artfynd.xlsx", "A 29376-2024")</f>
        <v/>
      </c>
      <c r="T36">
        <f>HYPERLINK("https://klasma.github.io/Logging_0115/kartor/A 29376-2024 karta.png", "A 29376-2024")</f>
        <v/>
      </c>
      <c r="V36">
        <f>HYPERLINK("https://klasma.github.io/Logging_0115/klagomål/A 29376-2024 FSC-klagomål.docx", "A 29376-2024")</f>
        <v/>
      </c>
      <c r="W36">
        <f>HYPERLINK("https://klasma.github.io/Logging_0115/klagomålsmail/A 29376-2024 FSC-klagomål mail.docx", "A 29376-2024")</f>
        <v/>
      </c>
      <c r="X36">
        <f>HYPERLINK("https://klasma.github.io/Logging_0115/tillsyn/A 29376-2024 tillsynsbegäran.docx", "A 29376-2024")</f>
        <v/>
      </c>
      <c r="Y36">
        <f>HYPERLINK("https://klasma.github.io/Logging_0115/tillsynsmail/A 29376-2024 tillsynsbegäran mail.docx", "A 29376-2024")</f>
        <v/>
      </c>
    </row>
    <row r="37" ht="15" customHeight="1">
      <c r="A37" t="inlineStr">
        <is>
          <t>A 68108-2019</t>
        </is>
      </c>
      <c r="B37" s="1" t="n">
        <v>43817</v>
      </c>
      <c r="C37" s="1" t="n">
        <v>45569</v>
      </c>
      <c r="D37" t="inlineStr">
        <is>
          <t>STOCKHOLMS LÄN</t>
        </is>
      </c>
      <c r="E37" t="inlineStr">
        <is>
          <t>VALLENTUNA</t>
        </is>
      </c>
      <c r="G37" t="n">
        <v>3.2</v>
      </c>
      <c r="H37" t="n">
        <v>0</v>
      </c>
      <c r="I37" t="n">
        <v>1</v>
      </c>
      <c r="J37" t="n">
        <v>0</v>
      </c>
      <c r="K37" t="n">
        <v>0</v>
      </c>
      <c r="L37" t="n">
        <v>0</v>
      </c>
      <c r="M37" t="n">
        <v>0</v>
      </c>
      <c r="N37" t="n">
        <v>0</v>
      </c>
      <c r="O37" t="n">
        <v>0</v>
      </c>
      <c r="P37" t="n">
        <v>0</v>
      </c>
      <c r="Q37" t="n">
        <v>1</v>
      </c>
      <c r="R37" s="2" t="inlineStr">
        <is>
          <t>Skuggblåslav</t>
        </is>
      </c>
      <c r="S37">
        <f>HYPERLINK("https://klasma.github.io/Logging_0115/artfynd/A 68108-2019 artfynd.xlsx", "A 68108-2019")</f>
        <v/>
      </c>
      <c r="T37">
        <f>HYPERLINK("https://klasma.github.io/Logging_0115/kartor/A 68108-2019 karta.png", "A 68108-2019")</f>
        <v/>
      </c>
      <c r="V37">
        <f>HYPERLINK("https://klasma.github.io/Logging_0115/klagomål/A 68108-2019 FSC-klagomål.docx", "A 68108-2019")</f>
        <v/>
      </c>
      <c r="W37">
        <f>HYPERLINK("https://klasma.github.io/Logging_0115/klagomålsmail/A 68108-2019 FSC-klagomål mail.docx", "A 68108-2019")</f>
        <v/>
      </c>
      <c r="X37">
        <f>HYPERLINK("https://klasma.github.io/Logging_0115/tillsyn/A 68108-2019 tillsynsbegäran.docx", "A 68108-2019")</f>
        <v/>
      </c>
      <c r="Y37">
        <f>HYPERLINK("https://klasma.github.io/Logging_0115/tillsynsmail/A 68108-2019 tillsynsbegäran mail.docx", "A 68108-2019")</f>
        <v/>
      </c>
    </row>
    <row r="38" ht="15" customHeight="1">
      <c r="A38" t="inlineStr">
        <is>
          <t>A 68107-2019</t>
        </is>
      </c>
      <c r="B38" s="1" t="n">
        <v>43817</v>
      </c>
      <c r="C38" s="1" t="n">
        <v>45569</v>
      </c>
      <c r="D38" t="inlineStr">
        <is>
          <t>STOCKHOLMS LÄN</t>
        </is>
      </c>
      <c r="E38" t="inlineStr">
        <is>
          <t>VALLENTUNA</t>
        </is>
      </c>
      <c r="G38" t="n">
        <v>11.4</v>
      </c>
      <c r="H38" t="n">
        <v>0</v>
      </c>
      <c r="I38" t="n">
        <v>0</v>
      </c>
      <c r="J38" t="n">
        <v>1</v>
      </c>
      <c r="K38" t="n">
        <v>0</v>
      </c>
      <c r="L38" t="n">
        <v>0</v>
      </c>
      <c r="M38" t="n">
        <v>0</v>
      </c>
      <c r="N38" t="n">
        <v>0</v>
      </c>
      <c r="O38" t="n">
        <v>1</v>
      </c>
      <c r="P38" t="n">
        <v>0</v>
      </c>
      <c r="Q38" t="n">
        <v>1</v>
      </c>
      <c r="R38" s="2" t="inlineStr">
        <is>
          <t>Tallticka</t>
        </is>
      </c>
      <c r="S38">
        <f>HYPERLINK("https://klasma.github.io/Logging_0115/artfynd/A 68107-2019 artfynd.xlsx", "A 68107-2019")</f>
        <v/>
      </c>
      <c r="T38">
        <f>HYPERLINK("https://klasma.github.io/Logging_0115/kartor/A 68107-2019 karta.png", "A 68107-2019")</f>
        <v/>
      </c>
      <c r="V38">
        <f>HYPERLINK("https://klasma.github.io/Logging_0115/klagomål/A 68107-2019 FSC-klagomål.docx", "A 68107-2019")</f>
        <v/>
      </c>
      <c r="W38">
        <f>HYPERLINK("https://klasma.github.io/Logging_0115/klagomålsmail/A 68107-2019 FSC-klagomål mail.docx", "A 68107-2019")</f>
        <v/>
      </c>
      <c r="X38">
        <f>HYPERLINK("https://klasma.github.io/Logging_0115/tillsyn/A 68107-2019 tillsynsbegäran.docx", "A 68107-2019")</f>
        <v/>
      </c>
      <c r="Y38">
        <f>HYPERLINK("https://klasma.github.io/Logging_0115/tillsynsmail/A 68107-2019 tillsynsbegäran mail.docx", "A 68107-2019")</f>
        <v/>
      </c>
    </row>
    <row r="39" ht="15" customHeight="1">
      <c r="A39" t="inlineStr">
        <is>
          <t>A 41934-2021</t>
        </is>
      </c>
      <c r="B39" s="1" t="n">
        <v>44425</v>
      </c>
      <c r="C39" s="1" t="n">
        <v>45569</v>
      </c>
      <c r="D39" t="inlineStr">
        <is>
          <t>STOCKHOLMS LÄN</t>
        </is>
      </c>
      <c r="E39" t="inlineStr">
        <is>
          <t>VALLENTUNA</t>
        </is>
      </c>
      <c r="F39" t="inlineStr">
        <is>
          <t>Övriga Aktiebolag</t>
        </is>
      </c>
      <c r="G39" t="n">
        <v>7.1</v>
      </c>
      <c r="H39" t="n">
        <v>0</v>
      </c>
      <c r="I39" t="n">
        <v>0</v>
      </c>
      <c r="J39" t="n">
        <v>1</v>
      </c>
      <c r="K39" t="n">
        <v>0</v>
      </c>
      <c r="L39" t="n">
        <v>0</v>
      </c>
      <c r="M39" t="n">
        <v>0</v>
      </c>
      <c r="N39" t="n">
        <v>0</v>
      </c>
      <c r="O39" t="n">
        <v>1</v>
      </c>
      <c r="P39" t="n">
        <v>0</v>
      </c>
      <c r="Q39" t="n">
        <v>1</v>
      </c>
      <c r="R39" s="2" t="inlineStr">
        <is>
          <t>Skogsklocka</t>
        </is>
      </c>
      <c r="S39">
        <f>HYPERLINK("https://klasma.github.io/Logging_0115/artfynd/A 41934-2021 artfynd.xlsx", "A 41934-2021")</f>
        <v/>
      </c>
      <c r="T39">
        <f>HYPERLINK("https://klasma.github.io/Logging_0115/kartor/A 41934-2021 karta.png", "A 41934-2021")</f>
        <v/>
      </c>
      <c r="V39">
        <f>HYPERLINK("https://klasma.github.io/Logging_0115/klagomål/A 41934-2021 FSC-klagomål.docx", "A 41934-2021")</f>
        <v/>
      </c>
      <c r="W39">
        <f>HYPERLINK("https://klasma.github.io/Logging_0115/klagomålsmail/A 41934-2021 FSC-klagomål mail.docx", "A 41934-2021")</f>
        <v/>
      </c>
      <c r="X39">
        <f>HYPERLINK("https://klasma.github.io/Logging_0115/tillsyn/A 41934-2021 tillsynsbegäran.docx", "A 41934-2021")</f>
        <v/>
      </c>
      <c r="Y39">
        <f>HYPERLINK("https://klasma.github.io/Logging_0115/tillsynsmail/A 41934-2021 tillsynsbegäran mail.docx", "A 41934-2021")</f>
        <v/>
      </c>
    </row>
    <row r="40" ht="15" customHeight="1">
      <c r="A40" t="inlineStr">
        <is>
          <t>A 131-2022</t>
        </is>
      </c>
      <c r="B40" s="1" t="n">
        <v>44560</v>
      </c>
      <c r="C40" s="1" t="n">
        <v>45569</v>
      </c>
      <c r="D40" t="inlineStr">
        <is>
          <t>STOCKHOLMS LÄN</t>
        </is>
      </c>
      <c r="E40" t="inlineStr">
        <is>
          <t>VALLENTUNA</t>
        </is>
      </c>
      <c r="F40" t="inlineStr">
        <is>
          <t>Övriga Aktiebolag</t>
        </is>
      </c>
      <c r="G40" t="n">
        <v>4.6</v>
      </c>
      <c r="H40" t="n">
        <v>0</v>
      </c>
      <c r="I40" t="n">
        <v>1</v>
      </c>
      <c r="J40" t="n">
        <v>0</v>
      </c>
      <c r="K40" t="n">
        <v>0</v>
      </c>
      <c r="L40" t="n">
        <v>0</v>
      </c>
      <c r="M40" t="n">
        <v>0</v>
      </c>
      <c r="N40" t="n">
        <v>0</v>
      </c>
      <c r="O40" t="n">
        <v>0</v>
      </c>
      <c r="P40" t="n">
        <v>0</v>
      </c>
      <c r="Q40" t="n">
        <v>1</v>
      </c>
      <c r="R40" s="2" t="inlineStr">
        <is>
          <t>Tjockfotad fingersvamp</t>
        </is>
      </c>
      <c r="S40">
        <f>HYPERLINK("https://klasma.github.io/Logging_0115/artfynd/A 131-2022 artfynd.xlsx", "A 131-2022")</f>
        <v/>
      </c>
      <c r="T40">
        <f>HYPERLINK("https://klasma.github.io/Logging_0115/kartor/A 131-2022 karta.png", "A 131-2022")</f>
        <v/>
      </c>
      <c r="V40">
        <f>HYPERLINK("https://klasma.github.io/Logging_0115/klagomål/A 131-2022 FSC-klagomål.docx", "A 131-2022")</f>
        <v/>
      </c>
      <c r="W40">
        <f>HYPERLINK("https://klasma.github.io/Logging_0115/klagomålsmail/A 131-2022 FSC-klagomål mail.docx", "A 131-2022")</f>
        <v/>
      </c>
      <c r="X40">
        <f>HYPERLINK("https://klasma.github.io/Logging_0115/tillsyn/A 131-2022 tillsynsbegäran.docx", "A 131-2022")</f>
        <v/>
      </c>
      <c r="Y40">
        <f>HYPERLINK("https://klasma.github.io/Logging_0115/tillsynsmail/A 131-2022 tillsynsbegäran mail.docx", "A 131-2022")</f>
        <v/>
      </c>
    </row>
    <row r="41" ht="15" customHeight="1">
      <c r="A41" t="inlineStr">
        <is>
          <t>A 21-2022</t>
        </is>
      </c>
      <c r="B41" s="1" t="n">
        <v>44560</v>
      </c>
      <c r="C41" s="1" t="n">
        <v>45569</v>
      </c>
      <c r="D41" t="inlineStr">
        <is>
          <t>STOCKHOLMS LÄN</t>
        </is>
      </c>
      <c r="E41" t="inlineStr">
        <is>
          <t>VALLENTUNA</t>
        </is>
      </c>
      <c r="F41" t="inlineStr">
        <is>
          <t>Övriga Aktiebolag</t>
        </is>
      </c>
      <c r="G41" t="n">
        <v>3.5</v>
      </c>
      <c r="H41" t="n">
        <v>1</v>
      </c>
      <c r="I41" t="n">
        <v>0</v>
      </c>
      <c r="J41" t="n">
        <v>0</v>
      </c>
      <c r="K41" t="n">
        <v>0</v>
      </c>
      <c r="L41" t="n">
        <v>0</v>
      </c>
      <c r="M41" t="n">
        <v>0</v>
      </c>
      <c r="N41" t="n">
        <v>0</v>
      </c>
      <c r="O41" t="n">
        <v>0</v>
      </c>
      <c r="P41" t="n">
        <v>0</v>
      </c>
      <c r="Q41" t="n">
        <v>1</v>
      </c>
      <c r="R41" s="2" t="inlineStr">
        <is>
          <t>Nattviol</t>
        </is>
      </c>
      <c r="S41">
        <f>HYPERLINK("https://klasma.github.io/Logging_0115/artfynd/A 21-2022 artfynd.xlsx", "A 21-2022")</f>
        <v/>
      </c>
      <c r="T41">
        <f>HYPERLINK("https://klasma.github.io/Logging_0115/kartor/A 21-2022 karta.png", "A 21-2022")</f>
        <v/>
      </c>
      <c r="V41">
        <f>HYPERLINK("https://klasma.github.io/Logging_0115/klagomål/A 21-2022 FSC-klagomål.docx", "A 21-2022")</f>
        <v/>
      </c>
      <c r="W41">
        <f>HYPERLINK("https://klasma.github.io/Logging_0115/klagomålsmail/A 21-2022 FSC-klagomål mail.docx", "A 21-2022")</f>
        <v/>
      </c>
      <c r="X41">
        <f>HYPERLINK("https://klasma.github.io/Logging_0115/tillsyn/A 21-2022 tillsynsbegäran.docx", "A 21-2022")</f>
        <v/>
      </c>
      <c r="Y41">
        <f>HYPERLINK("https://klasma.github.io/Logging_0115/tillsynsmail/A 21-2022 tillsynsbegäran mail.docx", "A 21-2022")</f>
        <v/>
      </c>
    </row>
    <row r="42" ht="15" customHeight="1">
      <c r="A42" t="inlineStr">
        <is>
          <t>A 8500-2022</t>
        </is>
      </c>
      <c r="B42" s="1" t="n">
        <v>44613</v>
      </c>
      <c r="C42" s="1" t="n">
        <v>45569</v>
      </c>
      <c r="D42" t="inlineStr">
        <is>
          <t>STOCKHOLMS LÄN</t>
        </is>
      </c>
      <c r="E42" t="inlineStr">
        <is>
          <t>VALLENTUNA</t>
        </is>
      </c>
      <c r="G42" t="n">
        <v>5</v>
      </c>
      <c r="H42" t="n">
        <v>0</v>
      </c>
      <c r="I42" t="n">
        <v>1</v>
      </c>
      <c r="J42" t="n">
        <v>0</v>
      </c>
      <c r="K42" t="n">
        <v>0</v>
      </c>
      <c r="L42" t="n">
        <v>0</v>
      </c>
      <c r="M42" t="n">
        <v>0</v>
      </c>
      <c r="N42" t="n">
        <v>0</v>
      </c>
      <c r="O42" t="n">
        <v>0</v>
      </c>
      <c r="P42" t="n">
        <v>0</v>
      </c>
      <c r="Q42" t="n">
        <v>1</v>
      </c>
      <c r="R42" s="2" t="inlineStr">
        <is>
          <t>Blåmossa</t>
        </is>
      </c>
      <c r="S42">
        <f>HYPERLINK("https://klasma.github.io/Logging_0115/artfynd/A 8500-2022 artfynd.xlsx", "A 8500-2022")</f>
        <v/>
      </c>
      <c r="T42">
        <f>HYPERLINK("https://klasma.github.io/Logging_0115/kartor/A 8500-2022 karta.png", "A 8500-2022")</f>
        <v/>
      </c>
      <c r="V42">
        <f>HYPERLINK("https://klasma.github.io/Logging_0115/klagomål/A 8500-2022 FSC-klagomål.docx", "A 8500-2022")</f>
        <v/>
      </c>
      <c r="W42">
        <f>HYPERLINK("https://klasma.github.io/Logging_0115/klagomålsmail/A 8500-2022 FSC-klagomål mail.docx", "A 8500-2022")</f>
        <v/>
      </c>
      <c r="X42">
        <f>HYPERLINK("https://klasma.github.io/Logging_0115/tillsyn/A 8500-2022 tillsynsbegäran.docx", "A 8500-2022")</f>
        <v/>
      </c>
      <c r="Y42">
        <f>HYPERLINK("https://klasma.github.io/Logging_0115/tillsynsmail/A 8500-2022 tillsynsbegäran mail.docx", "A 8500-2022")</f>
        <v/>
      </c>
    </row>
    <row r="43" ht="15" customHeight="1">
      <c r="A43" t="inlineStr">
        <is>
          <t>A 9445-2022</t>
        </is>
      </c>
      <c r="B43" s="1" t="n">
        <v>44616</v>
      </c>
      <c r="C43" s="1" t="n">
        <v>45569</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45569</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45569</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45569</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45569</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45569</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45569</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45569</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45569</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45569</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45569</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45569</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45569</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45569</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45569</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45569</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45569</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45569</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45569</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45569</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45569</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45569</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45569</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45569</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45569</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45569</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45569</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45569</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45569</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45569</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45569</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45569</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45569</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45569</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45569</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45569</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45569</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45569</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45569</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45569</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45569</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45569</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45569</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45569</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45569</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45569</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45569</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45569</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45569</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45569</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45569</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45569</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45569</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45569</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45569</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45569</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45569</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45569</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45569</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45569</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45569</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45569</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45569</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45569</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45569</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45569</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45569</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45569</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45569</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45569</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45569</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45569</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45569</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45569</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45569</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45569</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45569</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45569</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45569</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45569</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45569</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45569</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45569</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45569</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45569</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45569</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45569</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45569</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45569</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45569</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45569</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45569</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45569</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45569</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45569</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45569</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45569</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45569</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45569</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45569</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45569</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45569</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45569</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45569</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45569</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45569</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45569</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45569</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45569</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45569</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45569</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45569</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45569</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45569</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45569</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45569</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45569</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45569</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45569</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45569</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45569</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45569</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45569</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45569</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45569</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45569</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45569</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45569</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45569</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45569</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45569</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45569</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45569</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45569</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45569</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45569</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45569</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45569</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45569</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45569</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45569</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45569</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45569</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45569</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45569</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45569</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45569</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45569</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45569</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45569</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45569</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45569</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45569</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45569</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45569</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45569</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45569</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45569</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45569</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45569</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45569</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45569</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45569</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45569</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45569</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45569</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45569</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45569</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45569</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45569</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45569</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45569</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45569</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45569</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45569</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45569</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45569</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45569</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45569</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45569</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45569</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45569</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45569</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45569</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45569</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45569</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45569</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45569</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45569</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45569</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45569</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45569</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45569</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45569</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45569</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45569</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45569</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45569</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45569</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45569</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45569</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45569</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45569</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45569</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45569</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45569</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45569</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45569</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45569</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45569</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45569</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c r="A254" t="inlineStr">
        <is>
          <t>A 38102-2024</t>
        </is>
      </c>
      <c r="B254" s="1" t="n">
        <v>45545</v>
      </c>
      <c r="C254" s="1" t="n">
        <v>45569</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2024-10-04T13:00:12Z</dcterms:created>
  <dcterms:modified xmlns:dcterms="http://purl.org/dc/terms/" xmlns:xsi="http://www.w3.org/2001/XMLSchema-instance" xsi:type="dcterms:W3CDTF">2024-10-04T13:00:12Z</dcterms:modified>
</cp:coreProperties>
</file>