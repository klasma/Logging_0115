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46013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46013</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46013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46013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46013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46013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46013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46013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46013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46013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46013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46013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46013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46013</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46013</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46013</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46013</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46013</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46013</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46013</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46013</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46013</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46013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46013</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46013</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46013</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46013</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46013</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46013</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46013</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46013</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21-2022</t>
        </is>
      </c>
      <c r="B33" s="1" t="n">
        <v>44560</v>
      </c>
      <c r="C33" s="1" t="n">
        <v>46013</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17341-2025</t>
        </is>
      </c>
      <c r="B34" s="1" t="n">
        <v>45756</v>
      </c>
      <c r="C34" s="1" t="n">
        <v>46013</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34458-2023</t>
        </is>
      </c>
      <c r="B35" s="1" t="n">
        <v>45139</v>
      </c>
      <c r="C35" s="1" t="n">
        <v>46013</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34460-2023</t>
        </is>
      </c>
      <c r="B36" s="1" t="n">
        <v>45139</v>
      </c>
      <c r="C36" s="1" t="n">
        <v>46013</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21439-2025</t>
        </is>
      </c>
      <c r="B37" s="1" t="n">
        <v>45782.52939814814</v>
      </c>
      <c r="C37" s="1" t="n">
        <v>46013</v>
      </c>
      <c r="D37" t="inlineStr">
        <is>
          <t>STOCKHOLMS LÄN</t>
        </is>
      </c>
      <c r="E37" t="inlineStr">
        <is>
          <t>VALLENTUNA</t>
        </is>
      </c>
      <c r="G37" t="n">
        <v>2.1</v>
      </c>
      <c r="H37" t="n">
        <v>0</v>
      </c>
      <c r="I37" t="n">
        <v>1</v>
      </c>
      <c r="J37" t="n">
        <v>0</v>
      </c>
      <c r="K37" t="n">
        <v>0</v>
      </c>
      <c r="L37" t="n">
        <v>0</v>
      </c>
      <c r="M37" t="n">
        <v>0</v>
      </c>
      <c r="N37" t="n">
        <v>0</v>
      </c>
      <c r="O37" t="n">
        <v>0</v>
      </c>
      <c r="P37" t="n">
        <v>0</v>
      </c>
      <c r="Q37" t="n">
        <v>1</v>
      </c>
      <c r="R37" s="2" t="inlineStr">
        <is>
          <t>Mindre märgborre</t>
        </is>
      </c>
      <c r="S37">
        <f>HYPERLINK("https://klasma.github.io/Logging_0115/artfynd/A 21439-2025 artfynd.xlsx", "A 21439-2025")</f>
        <v/>
      </c>
      <c r="T37">
        <f>HYPERLINK("https://klasma.github.io/Logging_0115/kartor/A 21439-2025 karta.png", "A 21439-2025")</f>
        <v/>
      </c>
      <c r="V37">
        <f>HYPERLINK("https://klasma.github.io/Logging_0115/klagomål/A 21439-2025 FSC-klagomål.docx", "A 21439-2025")</f>
        <v/>
      </c>
      <c r="W37">
        <f>HYPERLINK("https://klasma.github.io/Logging_0115/klagomålsmail/A 21439-2025 FSC-klagomål mail.docx", "A 21439-2025")</f>
        <v/>
      </c>
      <c r="X37">
        <f>HYPERLINK("https://klasma.github.io/Logging_0115/tillsyn/A 21439-2025 tillsynsbegäran.docx", "A 21439-2025")</f>
        <v/>
      </c>
      <c r="Y37">
        <f>HYPERLINK("https://klasma.github.io/Logging_0115/tillsynsmail/A 21439-2025 tillsynsbegäran mail.docx", "A 21439-2025")</f>
        <v/>
      </c>
    </row>
    <row r="38" ht="15" customHeight="1">
      <c r="A38" t="inlineStr">
        <is>
          <t>A 22936-2025</t>
        </is>
      </c>
      <c r="B38" s="1" t="n">
        <v>45790.45738425926</v>
      </c>
      <c r="C38" s="1" t="n">
        <v>46013</v>
      </c>
      <c r="D38" t="inlineStr">
        <is>
          <t>STOCKHOLMS LÄN</t>
        </is>
      </c>
      <c r="E38" t="inlineStr">
        <is>
          <t>VALLENTUNA</t>
        </is>
      </c>
      <c r="G38" t="n">
        <v>2.7</v>
      </c>
      <c r="H38" t="n">
        <v>0</v>
      </c>
      <c r="I38" t="n">
        <v>1</v>
      </c>
      <c r="J38" t="n">
        <v>0</v>
      </c>
      <c r="K38" t="n">
        <v>0</v>
      </c>
      <c r="L38" t="n">
        <v>0</v>
      </c>
      <c r="M38" t="n">
        <v>0</v>
      </c>
      <c r="N38" t="n">
        <v>0</v>
      </c>
      <c r="O38" t="n">
        <v>0</v>
      </c>
      <c r="P38" t="n">
        <v>0</v>
      </c>
      <c r="Q38" t="n">
        <v>1</v>
      </c>
      <c r="R38" s="2" t="inlineStr">
        <is>
          <t>Björksplintborre</t>
        </is>
      </c>
      <c r="S38">
        <f>HYPERLINK("https://klasma.github.io/Logging_0115/artfynd/A 22936-2025 artfynd.xlsx", "A 22936-2025")</f>
        <v/>
      </c>
      <c r="T38">
        <f>HYPERLINK("https://klasma.github.io/Logging_0115/kartor/A 22936-2025 karta.png", "A 22936-2025")</f>
        <v/>
      </c>
      <c r="V38">
        <f>HYPERLINK("https://klasma.github.io/Logging_0115/klagomål/A 22936-2025 FSC-klagomål.docx", "A 22936-2025")</f>
        <v/>
      </c>
      <c r="W38">
        <f>HYPERLINK("https://klasma.github.io/Logging_0115/klagomålsmail/A 22936-2025 FSC-klagomål mail.docx", "A 22936-2025")</f>
        <v/>
      </c>
      <c r="X38">
        <f>HYPERLINK("https://klasma.github.io/Logging_0115/tillsyn/A 22936-2025 tillsynsbegäran.docx", "A 22936-2025")</f>
        <v/>
      </c>
      <c r="Y38">
        <f>HYPERLINK("https://klasma.github.io/Logging_0115/tillsynsmail/A 22936-2025 tillsynsbegäran mail.docx", "A 22936-2025")</f>
        <v/>
      </c>
    </row>
    <row r="39" ht="15" customHeight="1">
      <c r="A39" t="inlineStr">
        <is>
          <t>A 20612-2021</t>
        </is>
      </c>
      <c r="B39" s="1" t="n">
        <v>44315</v>
      </c>
      <c r="C39" s="1" t="n">
        <v>46013</v>
      </c>
      <c r="D39" t="inlineStr">
        <is>
          <t>STOCKHOLMS LÄN</t>
        </is>
      </c>
      <c r="E39" t="inlineStr">
        <is>
          <t>VALLENTUNA</t>
        </is>
      </c>
      <c r="F39" t="inlineStr">
        <is>
          <t>Övriga Aktiebolag</t>
        </is>
      </c>
      <c r="G39" t="n">
        <v>1.2</v>
      </c>
      <c r="H39" t="n">
        <v>0</v>
      </c>
      <c r="I39" t="n">
        <v>0</v>
      </c>
      <c r="J39" t="n">
        <v>0</v>
      </c>
      <c r="K39" t="n">
        <v>0</v>
      </c>
      <c r="L39" t="n">
        <v>0</v>
      </c>
      <c r="M39" t="n">
        <v>0</v>
      </c>
      <c r="N39" t="n">
        <v>0</v>
      </c>
      <c r="O39" t="n">
        <v>0</v>
      </c>
      <c r="P39" t="n">
        <v>0</v>
      </c>
      <c r="Q39" t="n">
        <v>0</v>
      </c>
      <c r="R39" s="2" t="inlineStr"/>
    </row>
    <row r="40" ht="15" customHeight="1">
      <c r="A40" t="inlineStr">
        <is>
          <t>A 8089-2022</t>
        </is>
      </c>
      <c r="B40" s="1" t="n">
        <v>44609.53716435185</v>
      </c>
      <c r="C40" s="1" t="n">
        <v>46013</v>
      </c>
      <c r="D40" t="inlineStr">
        <is>
          <t>STOCKHOLMS LÄN</t>
        </is>
      </c>
      <c r="E40" t="inlineStr">
        <is>
          <t>VALLENTUNA</t>
        </is>
      </c>
      <c r="G40" t="n">
        <v>3.3</v>
      </c>
      <c r="H40" t="n">
        <v>0</v>
      </c>
      <c r="I40" t="n">
        <v>0</v>
      </c>
      <c r="J40" t="n">
        <v>0</v>
      </c>
      <c r="K40" t="n">
        <v>0</v>
      </c>
      <c r="L40" t="n">
        <v>0</v>
      </c>
      <c r="M40" t="n">
        <v>0</v>
      </c>
      <c r="N40" t="n">
        <v>0</v>
      </c>
      <c r="O40" t="n">
        <v>0</v>
      </c>
      <c r="P40" t="n">
        <v>0</v>
      </c>
      <c r="Q40" t="n">
        <v>0</v>
      </c>
      <c r="R40" s="2" t="inlineStr"/>
    </row>
    <row r="41" ht="15" customHeight="1">
      <c r="A41" t="inlineStr">
        <is>
          <t>A 8791-2021</t>
        </is>
      </c>
      <c r="B41" s="1" t="n">
        <v>44246</v>
      </c>
      <c r="C41" s="1" t="n">
        <v>46013</v>
      </c>
      <c r="D41" t="inlineStr">
        <is>
          <t>STOCKHOLMS LÄN</t>
        </is>
      </c>
      <c r="E41" t="inlineStr">
        <is>
          <t>VALLENTUNA</t>
        </is>
      </c>
      <c r="G41" t="n">
        <v>0.8</v>
      </c>
      <c r="H41" t="n">
        <v>0</v>
      </c>
      <c r="I41" t="n">
        <v>0</v>
      </c>
      <c r="J41" t="n">
        <v>0</v>
      </c>
      <c r="K41" t="n">
        <v>0</v>
      </c>
      <c r="L41" t="n">
        <v>0</v>
      </c>
      <c r="M41" t="n">
        <v>0</v>
      </c>
      <c r="N41" t="n">
        <v>0</v>
      </c>
      <c r="O41" t="n">
        <v>0</v>
      </c>
      <c r="P41" t="n">
        <v>0</v>
      </c>
      <c r="Q41" t="n">
        <v>0</v>
      </c>
      <c r="R41" s="2" t="inlineStr"/>
    </row>
    <row r="42" ht="15" customHeight="1">
      <c r="A42" t="inlineStr">
        <is>
          <t>A 9442-2022</t>
        </is>
      </c>
      <c r="B42" s="1" t="n">
        <v>44616</v>
      </c>
      <c r="C42" s="1" t="n">
        <v>46013</v>
      </c>
      <c r="D42" t="inlineStr">
        <is>
          <t>STOCKHOLMS LÄN</t>
        </is>
      </c>
      <c r="E42" t="inlineStr">
        <is>
          <t>VALLENTUNA</t>
        </is>
      </c>
      <c r="G42" t="n">
        <v>3</v>
      </c>
      <c r="H42" t="n">
        <v>0</v>
      </c>
      <c r="I42" t="n">
        <v>0</v>
      </c>
      <c r="J42" t="n">
        <v>0</v>
      </c>
      <c r="K42" t="n">
        <v>0</v>
      </c>
      <c r="L42" t="n">
        <v>0</v>
      </c>
      <c r="M42" t="n">
        <v>0</v>
      </c>
      <c r="N42" t="n">
        <v>0</v>
      </c>
      <c r="O42" t="n">
        <v>0</v>
      </c>
      <c r="P42" t="n">
        <v>0</v>
      </c>
      <c r="Q42" t="n">
        <v>0</v>
      </c>
      <c r="R42" s="2" t="inlineStr"/>
    </row>
    <row r="43" ht="15" customHeight="1">
      <c r="A43" t="inlineStr">
        <is>
          <t>A 14434-2021</t>
        </is>
      </c>
      <c r="B43" s="1" t="n">
        <v>44279</v>
      </c>
      <c r="C43" s="1" t="n">
        <v>46013</v>
      </c>
      <c r="D43" t="inlineStr">
        <is>
          <t>STOCKHOLMS LÄN</t>
        </is>
      </c>
      <c r="E43" t="inlineStr">
        <is>
          <t>VALLENTUNA</t>
        </is>
      </c>
      <c r="G43" t="n">
        <v>2</v>
      </c>
      <c r="H43" t="n">
        <v>0</v>
      </c>
      <c r="I43" t="n">
        <v>0</v>
      </c>
      <c r="J43" t="n">
        <v>0</v>
      </c>
      <c r="K43" t="n">
        <v>0</v>
      </c>
      <c r="L43" t="n">
        <v>0</v>
      </c>
      <c r="M43" t="n">
        <v>0</v>
      </c>
      <c r="N43" t="n">
        <v>0</v>
      </c>
      <c r="O43" t="n">
        <v>0</v>
      </c>
      <c r="P43" t="n">
        <v>0</v>
      </c>
      <c r="Q43" t="n">
        <v>0</v>
      </c>
      <c r="R43" s="2" t="inlineStr"/>
    </row>
    <row r="44" ht="15" customHeight="1">
      <c r="A44" t="inlineStr">
        <is>
          <t>A 178-2022</t>
        </is>
      </c>
      <c r="B44" s="1" t="n">
        <v>44560</v>
      </c>
      <c r="C44" s="1" t="n">
        <v>46013</v>
      </c>
      <c r="D44" t="inlineStr">
        <is>
          <t>STOCKHOLMS LÄN</t>
        </is>
      </c>
      <c r="E44" t="inlineStr">
        <is>
          <t>VALLENTUNA</t>
        </is>
      </c>
      <c r="F44" t="inlineStr">
        <is>
          <t>Övriga Aktiebolag</t>
        </is>
      </c>
      <c r="G44" t="n">
        <v>1.5</v>
      </c>
      <c r="H44" t="n">
        <v>0</v>
      </c>
      <c r="I44" t="n">
        <v>0</v>
      </c>
      <c r="J44" t="n">
        <v>0</v>
      </c>
      <c r="K44" t="n">
        <v>0</v>
      </c>
      <c r="L44" t="n">
        <v>0</v>
      </c>
      <c r="M44" t="n">
        <v>0</v>
      </c>
      <c r="N44" t="n">
        <v>0</v>
      </c>
      <c r="O44" t="n">
        <v>0</v>
      </c>
      <c r="P44" t="n">
        <v>0</v>
      </c>
      <c r="Q44" t="n">
        <v>0</v>
      </c>
      <c r="R44" s="2" t="inlineStr"/>
    </row>
    <row r="45" ht="15" customHeight="1">
      <c r="A45" t="inlineStr">
        <is>
          <t>A 22060-2021</t>
        </is>
      </c>
      <c r="B45" s="1" t="n">
        <v>44323</v>
      </c>
      <c r="C45" s="1" t="n">
        <v>46013</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46013</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46013</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46013</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46013</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46013</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46013</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46013</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46013</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46013</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46013</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46013</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46013</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46013</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46013</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24994-2021</t>
        </is>
      </c>
      <c r="B60" s="1" t="n">
        <v>44341</v>
      </c>
      <c r="C60" s="1" t="n">
        <v>46013</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46013</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46013</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60795-2023</t>
        </is>
      </c>
      <c r="B63" s="1" t="n">
        <v>45260</v>
      </c>
      <c r="C63" s="1" t="n">
        <v>46013</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46013</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23923-2025</t>
        </is>
      </c>
      <c r="B65" s="1" t="n">
        <v>45795.39648148148</v>
      </c>
      <c r="C65" s="1" t="n">
        <v>46013</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30913-2021</t>
        </is>
      </c>
      <c r="B66" s="1" t="n">
        <v>44365</v>
      </c>
      <c r="C66" s="1" t="n">
        <v>46013</v>
      </c>
      <c r="D66" t="inlineStr">
        <is>
          <t>STOCKHOLMS LÄN</t>
        </is>
      </c>
      <c r="E66" t="inlineStr">
        <is>
          <t>VALLENTUNA</t>
        </is>
      </c>
      <c r="F66" t="inlineStr">
        <is>
          <t>Övriga Aktiebolag</t>
        </is>
      </c>
      <c r="G66" t="n">
        <v>3.3</v>
      </c>
      <c r="H66" t="n">
        <v>0</v>
      </c>
      <c r="I66" t="n">
        <v>0</v>
      </c>
      <c r="J66" t="n">
        <v>0</v>
      </c>
      <c r="K66" t="n">
        <v>0</v>
      </c>
      <c r="L66" t="n">
        <v>0</v>
      </c>
      <c r="M66" t="n">
        <v>0</v>
      </c>
      <c r="N66" t="n">
        <v>0</v>
      </c>
      <c r="O66" t="n">
        <v>0</v>
      </c>
      <c r="P66" t="n">
        <v>0</v>
      </c>
      <c r="Q66" t="n">
        <v>0</v>
      </c>
      <c r="R66" s="2" t="inlineStr"/>
    </row>
    <row r="67" ht="15" customHeight="1">
      <c r="A67" t="inlineStr">
        <is>
          <t>A 25984-2025</t>
        </is>
      </c>
      <c r="B67" s="1" t="n">
        <v>45804.64016203704</v>
      </c>
      <c r="C67" s="1" t="n">
        <v>46013</v>
      </c>
      <c r="D67" t="inlineStr">
        <is>
          <t>STOCKHOLMS LÄN</t>
        </is>
      </c>
      <c r="E67" t="inlineStr">
        <is>
          <t>VALLENTUNA</t>
        </is>
      </c>
      <c r="G67" t="n">
        <v>2.5</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46013</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46013</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46013</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60818-2023</t>
        </is>
      </c>
      <c r="B71" s="1" t="n">
        <v>45259</v>
      </c>
      <c r="C71" s="1" t="n">
        <v>46013</v>
      </c>
      <c r="D71" t="inlineStr">
        <is>
          <t>STOCKHOLMS LÄN</t>
        </is>
      </c>
      <c r="E71" t="inlineStr">
        <is>
          <t>VALLENTUNA</t>
        </is>
      </c>
      <c r="G71" t="n">
        <v>9.4</v>
      </c>
      <c r="H71" t="n">
        <v>0</v>
      </c>
      <c r="I71" t="n">
        <v>0</v>
      </c>
      <c r="J71" t="n">
        <v>0</v>
      </c>
      <c r="K71" t="n">
        <v>0</v>
      </c>
      <c r="L71" t="n">
        <v>0</v>
      </c>
      <c r="M71" t="n">
        <v>0</v>
      </c>
      <c r="N71" t="n">
        <v>0</v>
      </c>
      <c r="O71" t="n">
        <v>0</v>
      </c>
      <c r="P71" t="n">
        <v>0</v>
      </c>
      <c r="Q71" t="n">
        <v>0</v>
      </c>
      <c r="R71" s="2" t="inlineStr"/>
    </row>
    <row r="72" ht="15" customHeight="1">
      <c r="A72" t="inlineStr">
        <is>
          <t>A 7264-2022</t>
        </is>
      </c>
      <c r="B72" s="1" t="n">
        <v>44606</v>
      </c>
      <c r="C72" s="1" t="n">
        <v>46013</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46013</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46013</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44988-2025</t>
        </is>
      </c>
      <c r="B75" s="1" t="n">
        <v>45918.65505787037</v>
      </c>
      <c r="C75" s="1" t="n">
        <v>46013</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19356-2025</t>
        </is>
      </c>
      <c r="B76" s="1" t="n">
        <v>45769.62061342593</v>
      </c>
      <c r="C76" s="1" t="n">
        <v>46013</v>
      </c>
      <c r="D76" t="inlineStr">
        <is>
          <t>STOCKHOLMS LÄN</t>
        </is>
      </c>
      <c r="E76" t="inlineStr">
        <is>
          <t>VALLENTUNA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46013</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27870-2025</t>
        </is>
      </c>
      <c r="B78" s="1" t="n">
        <v>45817</v>
      </c>
      <c r="C78" s="1" t="n">
        <v>46013</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46013</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46013</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24068-2024</t>
        </is>
      </c>
      <c r="B81" s="1" t="n">
        <v>45456</v>
      </c>
      <c r="C81" s="1" t="n">
        <v>46013</v>
      </c>
      <c r="D81" t="inlineStr">
        <is>
          <t>STOCKHOLMS LÄN</t>
        </is>
      </c>
      <c r="E81" t="inlineStr">
        <is>
          <t>VALLENTUNA</t>
        </is>
      </c>
      <c r="G81" t="n">
        <v>7.4</v>
      </c>
      <c r="H81" t="n">
        <v>0</v>
      </c>
      <c r="I81" t="n">
        <v>0</v>
      </c>
      <c r="J81" t="n">
        <v>0</v>
      </c>
      <c r="K81" t="n">
        <v>0</v>
      </c>
      <c r="L81" t="n">
        <v>0</v>
      </c>
      <c r="M81" t="n">
        <v>0</v>
      </c>
      <c r="N81" t="n">
        <v>0</v>
      </c>
      <c r="O81" t="n">
        <v>0</v>
      </c>
      <c r="P81" t="n">
        <v>0</v>
      </c>
      <c r="Q81" t="n">
        <v>0</v>
      </c>
      <c r="R81" s="2" t="inlineStr"/>
    </row>
    <row r="82" ht="15" customHeight="1">
      <c r="A82" t="inlineStr">
        <is>
          <t>A 48014-2025</t>
        </is>
      </c>
      <c r="B82" s="1" t="n">
        <v>45932.64520833334</v>
      </c>
      <c r="C82" s="1" t="n">
        <v>46013</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48038-2025</t>
        </is>
      </c>
      <c r="B83" s="1" t="n">
        <v>45932.66008101852</v>
      </c>
      <c r="C83" s="1" t="n">
        <v>46013</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61442-2024</t>
        </is>
      </c>
      <c r="B84" s="1" t="n">
        <v>45646.47003472222</v>
      </c>
      <c r="C84" s="1" t="n">
        <v>46013</v>
      </c>
      <c r="D84" t="inlineStr">
        <is>
          <t>STOCKHOLMS LÄN</t>
        </is>
      </c>
      <c r="E84" t="inlineStr">
        <is>
          <t>VALLENTUNA</t>
        </is>
      </c>
      <c r="G84" t="n">
        <v>4.6</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46013</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46013</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19503-2023</t>
        </is>
      </c>
      <c r="B87" s="1" t="n">
        <v>45050.47333333334</v>
      </c>
      <c r="C87" s="1" t="n">
        <v>46013</v>
      </c>
      <c r="D87" t="inlineStr">
        <is>
          <t>STOCKHOLMS LÄN</t>
        </is>
      </c>
      <c r="E87" t="inlineStr">
        <is>
          <t>VALLENTUNA</t>
        </is>
      </c>
      <c r="G87" t="n">
        <v>0.7</v>
      </c>
      <c r="H87" t="n">
        <v>0</v>
      </c>
      <c r="I87" t="n">
        <v>0</v>
      </c>
      <c r="J87" t="n">
        <v>0</v>
      </c>
      <c r="K87" t="n">
        <v>0</v>
      </c>
      <c r="L87" t="n">
        <v>0</v>
      </c>
      <c r="M87" t="n">
        <v>0</v>
      </c>
      <c r="N87" t="n">
        <v>0</v>
      </c>
      <c r="O87" t="n">
        <v>0</v>
      </c>
      <c r="P87" t="n">
        <v>0</v>
      </c>
      <c r="Q87" t="n">
        <v>0</v>
      </c>
      <c r="R87" s="2" t="inlineStr"/>
    </row>
    <row r="88" ht="15" customHeight="1">
      <c r="A88" t="inlineStr">
        <is>
          <t>A 21445-2023</t>
        </is>
      </c>
      <c r="B88" s="1" t="n">
        <v>45063</v>
      </c>
      <c r="C88" s="1" t="n">
        <v>46013</v>
      </c>
      <c r="D88" t="inlineStr">
        <is>
          <t>STOCKHOLMS LÄN</t>
        </is>
      </c>
      <c r="E88" t="inlineStr">
        <is>
          <t>VALLENTUNA</t>
        </is>
      </c>
      <c r="G88" t="n">
        <v>3.1</v>
      </c>
      <c r="H88" t="n">
        <v>0</v>
      </c>
      <c r="I88" t="n">
        <v>0</v>
      </c>
      <c r="J88" t="n">
        <v>0</v>
      </c>
      <c r="K88" t="n">
        <v>0</v>
      </c>
      <c r="L88" t="n">
        <v>0</v>
      </c>
      <c r="M88" t="n">
        <v>0</v>
      </c>
      <c r="N88" t="n">
        <v>0</v>
      </c>
      <c r="O88" t="n">
        <v>0</v>
      </c>
      <c r="P88" t="n">
        <v>0</v>
      </c>
      <c r="Q88" t="n">
        <v>0</v>
      </c>
      <c r="R88" s="2" t="inlineStr"/>
    </row>
    <row r="89" ht="15" customHeight="1">
      <c r="A89" t="inlineStr">
        <is>
          <t>A 22683-2023</t>
        </is>
      </c>
      <c r="B89" s="1" t="n">
        <v>45071</v>
      </c>
      <c r="C89" s="1" t="n">
        <v>46013</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24943-2024</t>
        </is>
      </c>
      <c r="B90" s="1" t="n">
        <v>45461.62585648148</v>
      </c>
      <c r="C90" s="1" t="n">
        <v>46013</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46013</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46013</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26390-2023</t>
        </is>
      </c>
      <c r="B93" s="1" t="n">
        <v>45086</v>
      </c>
      <c r="C93" s="1" t="n">
        <v>46013</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61646-2025</t>
        </is>
      </c>
      <c r="B94" s="1" t="n">
        <v>46002</v>
      </c>
      <c r="C94" s="1" t="n">
        <v>46013</v>
      </c>
      <c r="D94" t="inlineStr">
        <is>
          <t>STOCKHOLMS LÄN</t>
        </is>
      </c>
      <c r="E94" t="inlineStr">
        <is>
          <t>VALLENTUNA</t>
        </is>
      </c>
      <c r="G94" t="n">
        <v>3.7</v>
      </c>
      <c r="H94" t="n">
        <v>0</v>
      </c>
      <c r="I94" t="n">
        <v>0</v>
      </c>
      <c r="J94" t="n">
        <v>0</v>
      </c>
      <c r="K94" t="n">
        <v>0</v>
      </c>
      <c r="L94" t="n">
        <v>0</v>
      </c>
      <c r="M94" t="n">
        <v>0</v>
      </c>
      <c r="N94" t="n">
        <v>0</v>
      </c>
      <c r="O94" t="n">
        <v>0</v>
      </c>
      <c r="P94" t="n">
        <v>0</v>
      </c>
      <c r="Q94" t="n">
        <v>0</v>
      </c>
      <c r="R94" s="2" t="inlineStr"/>
    </row>
    <row r="95" ht="15" customHeight="1">
      <c r="A95" t="inlineStr">
        <is>
          <t>A 54466-2025</t>
        </is>
      </c>
      <c r="B95" s="1" t="n">
        <v>45965.56984953704</v>
      </c>
      <c r="C95" s="1" t="n">
        <v>46013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54460-2025</t>
        </is>
      </c>
      <c r="B96" s="1" t="n">
        <v>45965.56219907408</v>
      </c>
      <c r="C96" s="1" t="n">
        <v>46013</v>
      </c>
      <c r="D96" t="inlineStr">
        <is>
          <t>STOCKHOLMS LÄN</t>
        </is>
      </c>
      <c r="E96" t="inlineStr">
        <is>
          <t>VALLENTUNA</t>
        </is>
      </c>
      <c r="G96" t="n">
        <v>22.9</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46013</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12609-2024</t>
        </is>
      </c>
      <c r="B98" s="1" t="n">
        <v>45382.8109375</v>
      </c>
      <c r="C98" s="1" t="n">
        <v>46013</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47140-2024</t>
        </is>
      </c>
      <c r="B99" s="1" t="n">
        <v>45586.58753472222</v>
      </c>
      <c r="C99" s="1" t="n">
        <v>46013</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8565-2025</t>
        </is>
      </c>
      <c r="B100" s="1" t="n">
        <v>45709</v>
      </c>
      <c r="C100" s="1" t="n">
        <v>46013</v>
      </c>
      <c r="D100" t="inlineStr">
        <is>
          <t>STOCKHOLMS LÄN</t>
        </is>
      </c>
      <c r="E100" t="inlineStr">
        <is>
          <t>VALLENTUNA</t>
        </is>
      </c>
      <c r="F100" t="inlineStr">
        <is>
          <t>Kommuner</t>
        </is>
      </c>
      <c r="G100" t="n">
        <v>4.2</v>
      </c>
      <c r="H100" t="n">
        <v>0</v>
      </c>
      <c r="I100" t="n">
        <v>0</v>
      </c>
      <c r="J100" t="n">
        <v>0</v>
      </c>
      <c r="K100" t="n">
        <v>0</v>
      </c>
      <c r="L100" t="n">
        <v>0</v>
      </c>
      <c r="M100" t="n">
        <v>0</v>
      </c>
      <c r="N100" t="n">
        <v>0</v>
      </c>
      <c r="O100" t="n">
        <v>0</v>
      </c>
      <c r="P100" t="n">
        <v>0</v>
      </c>
      <c r="Q100" t="n">
        <v>0</v>
      </c>
      <c r="R100" s="2" t="inlineStr"/>
    </row>
    <row r="101" ht="15" customHeight="1">
      <c r="A101" t="inlineStr">
        <is>
          <t>A 9063-2024</t>
        </is>
      </c>
      <c r="B101" s="1" t="n">
        <v>45357.72652777778</v>
      </c>
      <c r="C101" s="1" t="n">
        <v>46013</v>
      </c>
      <c r="D101" t="inlineStr">
        <is>
          <t>STOCKHOLMS LÄN</t>
        </is>
      </c>
      <c r="E101" t="inlineStr">
        <is>
          <t>VALLENTUNA</t>
        </is>
      </c>
      <c r="G101" t="n">
        <v>4.1</v>
      </c>
      <c r="H101" t="n">
        <v>0</v>
      </c>
      <c r="I101" t="n">
        <v>0</v>
      </c>
      <c r="J101" t="n">
        <v>0</v>
      </c>
      <c r="K101" t="n">
        <v>0</v>
      </c>
      <c r="L101" t="n">
        <v>0</v>
      </c>
      <c r="M101" t="n">
        <v>0</v>
      </c>
      <c r="N101" t="n">
        <v>0</v>
      </c>
      <c r="O101" t="n">
        <v>0</v>
      </c>
      <c r="P101" t="n">
        <v>0</v>
      </c>
      <c r="Q101" t="n">
        <v>0</v>
      </c>
      <c r="R101" s="2" t="inlineStr"/>
    </row>
    <row r="102" ht="15" customHeight="1">
      <c r="A102" t="inlineStr">
        <is>
          <t>A 4803-2024</t>
        </is>
      </c>
      <c r="B102" s="1" t="n">
        <v>45328</v>
      </c>
      <c r="C102" s="1" t="n">
        <v>46013</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52542-2023</t>
        </is>
      </c>
      <c r="B103" s="1" t="n">
        <v>45225</v>
      </c>
      <c r="C103" s="1" t="n">
        <v>46013</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11950-2025</t>
        </is>
      </c>
      <c r="B104" s="1" t="n">
        <v>45728.55622685186</v>
      </c>
      <c r="C104" s="1" t="n">
        <v>46013</v>
      </c>
      <c r="D104" t="inlineStr">
        <is>
          <t>STOCKHOLMS LÄN</t>
        </is>
      </c>
      <c r="E104" t="inlineStr">
        <is>
          <t>VALLENTUNA</t>
        </is>
      </c>
      <c r="G104" t="n">
        <v>1.4</v>
      </c>
      <c r="H104" t="n">
        <v>0</v>
      </c>
      <c r="I104" t="n">
        <v>0</v>
      </c>
      <c r="J104" t="n">
        <v>0</v>
      </c>
      <c r="K104" t="n">
        <v>0</v>
      </c>
      <c r="L104" t="n">
        <v>0</v>
      </c>
      <c r="M104" t="n">
        <v>0</v>
      </c>
      <c r="N104" t="n">
        <v>0</v>
      </c>
      <c r="O104" t="n">
        <v>0</v>
      </c>
      <c r="P104" t="n">
        <v>0</v>
      </c>
      <c r="Q104" t="n">
        <v>0</v>
      </c>
      <c r="R104" s="2" t="inlineStr"/>
    </row>
    <row r="105" ht="15" customHeight="1">
      <c r="A105" t="inlineStr">
        <is>
          <t>A 68938-2020</t>
        </is>
      </c>
      <c r="B105" s="1" t="n">
        <v>44187</v>
      </c>
      <c r="C105" s="1" t="n">
        <v>46013</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14489-2024</t>
        </is>
      </c>
      <c r="B106" s="1" t="n">
        <v>45394.58053240741</v>
      </c>
      <c r="C106" s="1" t="n">
        <v>46013</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52562-2023</t>
        </is>
      </c>
      <c r="B107" s="1" t="n">
        <v>45225</v>
      </c>
      <c r="C107" s="1" t="n">
        <v>46013</v>
      </c>
      <c r="D107" t="inlineStr">
        <is>
          <t>STOCKHOLMS LÄN</t>
        </is>
      </c>
      <c r="E107" t="inlineStr">
        <is>
          <t>VALLENTUNA</t>
        </is>
      </c>
      <c r="G107" t="n">
        <v>3.4</v>
      </c>
      <c r="H107" t="n">
        <v>0</v>
      </c>
      <c r="I107" t="n">
        <v>0</v>
      </c>
      <c r="J107" t="n">
        <v>0</v>
      </c>
      <c r="K107" t="n">
        <v>0</v>
      </c>
      <c r="L107" t="n">
        <v>0</v>
      </c>
      <c r="M107" t="n">
        <v>0</v>
      </c>
      <c r="N107" t="n">
        <v>0</v>
      </c>
      <c r="O107" t="n">
        <v>0</v>
      </c>
      <c r="P107" t="n">
        <v>0</v>
      </c>
      <c r="Q107" t="n">
        <v>0</v>
      </c>
      <c r="R107" s="2" t="inlineStr"/>
    </row>
    <row r="108" ht="15" customHeight="1">
      <c r="A108" t="inlineStr">
        <is>
          <t>A 4804-2024</t>
        </is>
      </c>
      <c r="B108" s="1" t="n">
        <v>45328</v>
      </c>
      <c r="C108" s="1" t="n">
        <v>46013</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23013-2024</t>
        </is>
      </c>
      <c r="B109" s="1" t="n">
        <v>45450.35116898148</v>
      </c>
      <c r="C109" s="1" t="n">
        <v>46013</v>
      </c>
      <c r="D109" t="inlineStr">
        <is>
          <t>STOCKHOLMS LÄN</t>
        </is>
      </c>
      <c r="E109" t="inlineStr">
        <is>
          <t>VALLENTUNA</t>
        </is>
      </c>
      <c r="G109" t="n">
        <v>0.4</v>
      </c>
      <c r="H109" t="n">
        <v>0</v>
      </c>
      <c r="I109" t="n">
        <v>0</v>
      </c>
      <c r="J109" t="n">
        <v>0</v>
      </c>
      <c r="K109" t="n">
        <v>0</v>
      </c>
      <c r="L109" t="n">
        <v>0</v>
      </c>
      <c r="M109" t="n">
        <v>0</v>
      </c>
      <c r="N109" t="n">
        <v>0</v>
      </c>
      <c r="O109" t="n">
        <v>0</v>
      </c>
      <c r="P109" t="n">
        <v>0</v>
      </c>
      <c r="Q109" t="n">
        <v>0</v>
      </c>
      <c r="R109" s="2" t="inlineStr"/>
    </row>
    <row r="110" ht="15" customHeight="1">
      <c r="A110" t="inlineStr">
        <is>
          <t>A 2318-2024</t>
        </is>
      </c>
      <c r="B110" s="1" t="n">
        <v>45310</v>
      </c>
      <c r="C110" s="1" t="n">
        <v>46013</v>
      </c>
      <c r="D110" t="inlineStr">
        <is>
          <t>STOCKHOLMS LÄN</t>
        </is>
      </c>
      <c r="E110" t="inlineStr">
        <is>
          <t>VALLENTUNA</t>
        </is>
      </c>
      <c r="G110" t="n">
        <v>2.2</v>
      </c>
      <c r="H110" t="n">
        <v>0</v>
      </c>
      <c r="I110" t="n">
        <v>0</v>
      </c>
      <c r="J110" t="n">
        <v>0</v>
      </c>
      <c r="K110" t="n">
        <v>0</v>
      </c>
      <c r="L110" t="n">
        <v>0</v>
      </c>
      <c r="M110" t="n">
        <v>0</v>
      </c>
      <c r="N110" t="n">
        <v>0</v>
      </c>
      <c r="O110" t="n">
        <v>0</v>
      </c>
      <c r="P110" t="n">
        <v>0</v>
      </c>
      <c r="Q110" t="n">
        <v>0</v>
      </c>
      <c r="R110" s="2" t="inlineStr"/>
    </row>
    <row r="111" ht="15" customHeight="1">
      <c r="A111" t="inlineStr">
        <is>
          <t>A 61742-2022</t>
        </is>
      </c>
      <c r="B111" s="1" t="n">
        <v>44917</v>
      </c>
      <c r="C111" s="1" t="n">
        <v>46013</v>
      </c>
      <c r="D111" t="inlineStr">
        <is>
          <t>STOCKHOLMS LÄN</t>
        </is>
      </c>
      <c r="E111" t="inlineStr">
        <is>
          <t>VALLENTUNA</t>
        </is>
      </c>
      <c r="G111" t="n">
        <v>0.5</v>
      </c>
      <c r="H111" t="n">
        <v>0</v>
      </c>
      <c r="I111" t="n">
        <v>0</v>
      </c>
      <c r="J111" t="n">
        <v>0</v>
      </c>
      <c r="K111" t="n">
        <v>0</v>
      </c>
      <c r="L111" t="n">
        <v>0</v>
      </c>
      <c r="M111" t="n">
        <v>0</v>
      </c>
      <c r="N111" t="n">
        <v>0</v>
      </c>
      <c r="O111" t="n">
        <v>0</v>
      </c>
      <c r="P111" t="n">
        <v>0</v>
      </c>
      <c r="Q111" t="n">
        <v>0</v>
      </c>
      <c r="R111" s="2" t="inlineStr"/>
    </row>
    <row r="112" ht="15" customHeight="1">
      <c r="A112" t="inlineStr">
        <is>
          <t>A 3698-2022</t>
        </is>
      </c>
      <c r="B112" s="1" t="n">
        <v>44586</v>
      </c>
      <c r="C112" s="1" t="n">
        <v>46013</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46013</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46013</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46013</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12585-2023</t>
        </is>
      </c>
      <c r="B116" s="1" t="n">
        <v>45000.41373842592</v>
      </c>
      <c r="C116" s="1" t="n">
        <v>46013</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8787-2024</t>
        </is>
      </c>
      <c r="B117" s="1" t="n">
        <v>45356</v>
      </c>
      <c r="C117" s="1" t="n">
        <v>46013</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46013</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46013</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23986-2023</t>
        </is>
      </c>
      <c r="B120" s="1" t="n">
        <v>45078</v>
      </c>
      <c r="C120" s="1" t="n">
        <v>46013</v>
      </c>
      <c r="D120" t="inlineStr">
        <is>
          <t>STOCKHOLMS LÄN</t>
        </is>
      </c>
      <c r="E120" t="inlineStr">
        <is>
          <t>VALLENTUNA</t>
        </is>
      </c>
      <c r="F120" t="inlineStr">
        <is>
          <t>Kyrkan</t>
        </is>
      </c>
      <c r="G120" t="n">
        <v>5.7</v>
      </c>
      <c r="H120" t="n">
        <v>0</v>
      </c>
      <c r="I120" t="n">
        <v>0</v>
      </c>
      <c r="J120" t="n">
        <v>0</v>
      </c>
      <c r="K120" t="n">
        <v>0</v>
      </c>
      <c r="L120" t="n">
        <v>0</v>
      </c>
      <c r="M120" t="n">
        <v>0</v>
      </c>
      <c r="N120" t="n">
        <v>0</v>
      </c>
      <c r="O120" t="n">
        <v>0</v>
      </c>
      <c r="P120" t="n">
        <v>0</v>
      </c>
      <c r="Q120" t="n">
        <v>0</v>
      </c>
      <c r="R120" s="2" t="inlineStr"/>
    </row>
    <row r="121" ht="15" customHeight="1">
      <c r="A121" t="inlineStr">
        <is>
          <t>A 15300-2023</t>
        </is>
      </c>
      <c r="B121" s="1" t="n">
        <v>45019</v>
      </c>
      <c r="C121" s="1" t="n">
        <v>46013</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46013</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13836-2022</t>
        </is>
      </c>
      <c r="B123" s="1" t="n">
        <v>44649</v>
      </c>
      <c r="C123" s="1" t="n">
        <v>46013</v>
      </c>
      <c r="D123" t="inlineStr">
        <is>
          <t>STOCKHOLMS LÄN</t>
        </is>
      </c>
      <c r="E123" t="inlineStr">
        <is>
          <t>VALLENTUNA</t>
        </is>
      </c>
      <c r="G123" t="n">
        <v>3.5</v>
      </c>
      <c r="H123" t="n">
        <v>0</v>
      </c>
      <c r="I123" t="n">
        <v>0</v>
      </c>
      <c r="J123" t="n">
        <v>0</v>
      </c>
      <c r="K123" t="n">
        <v>0</v>
      </c>
      <c r="L123" t="n">
        <v>0</v>
      </c>
      <c r="M123" t="n">
        <v>0</v>
      </c>
      <c r="N123" t="n">
        <v>0</v>
      </c>
      <c r="O123" t="n">
        <v>0</v>
      </c>
      <c r="P123" t="n">
        <v>0</v>
      </c>
      <c r="Q123" t="n">
        <v>0</v>
      </c>
      <c r="R123" s="2" t="inlineStr"/>
    </row>
    <row r="124" ht="15" customHeight="1">
      <c r="A124" t="inlineStr">
        <is>
          <t>A 29704-2023</t>
        </is>
      </c>
      <c r="B124" s="1" t="n">
        <v>45107</v>
      </c>
      <c r="C124" s="1" t="n">
        <v>46013</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21765-2023</t>
        </is>
      </c>
      <c r="B125" s="1" t="n">
        <v>45064</v>
      </c>
      <c r="C125" s="1" t="n">
        <v>46013</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45496-2023</t>
        </is>
      </c>
      <c r="B126" s="1" t="n">
        <v>45194</v>
      </c>
      <c r="C126" s="1" t="n">
        <v>46013</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46013</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46013</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46013</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14775-2024</t>
        </is>
      </c>
      <c r="B130" s="1" t="n">
        <v>45397.73675925926</v>
      </c>
      <c r="C130" s="1" t="n">
        <v>46013</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735-2024</t>
        </is>
      </c>
      <c r="B131" s="1" t="n">
        <v>45300</v>
      </c>
      <c r="C131" s="1" t="n">
        <v>46013</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17411-2023</t>
        </is>
      </c>
      <c r="B132" s="1" t="n">
        <v>45035.82512731481</v>
      </c>
      <c r="C132" s="1" t="n">
        <v>46013</v>
      </c>
      <c r="D132" t="inlineStr">
        <is>
          <t>STOCKHOLMS LÄN</t>
        </is>
      </c>
      <c r="E132" t="inlineStr">
        <is>
          <t>VALLENTUNA</t>
        </is>
      </c>
      <c r="G132" t="n">
        <v>0.7</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46013</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46013</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17340-2025</t>
        </is>
      </c>
      <c r="B135" s="1" t="n">
        <v>45756</v>
      </c>
      <c r="C135" s="1" t="n">
        <v>46013</v>
      </c>
      <c r="D135" t="inlineStr">
        <is>
          <t>STOCKHOLMS LÄN</t>
        </is>
      </c>
      <c r="E135" t="inlineStr">
        <is>
          <t>VALLENTUNA</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46013</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46013</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34452-2021</t>
        </is>
      </c>
      <c r="B138" s="1" t="n">
        <v>44381</v>
      </c>
      <c r="C138" s="1" t="n">
        <v>46013</v>
      </c>
      <c r="D138" t="inlineStr">
        <is>
          <t>STOCKHOLMS LÄN</t>
        </is>
      </c>
      <c r="E138" t="inlineStr">
        <is>
          <t>VALLENTUNA</t>
        </is>
      </c>
      <c r="G138" t="n">
        <v>14.7</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46013</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46013</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46013</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c r="A142" t="inlineStr">
        <is>
          <t>A 23009-2024</t>
        </is>
      </c>
      <c r="B142" s="1" t="n">
        <v>45450.34506944445</v>
      </c>
      <c r="C142" s="1" t="n">
        <v>46013</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2025-12-22T10:27:06Z</dcterms:created>
  <dcterms:modified xmlns:dcterms="http://purl.org/dc/terms/" xmlns:xsi="http://www.w3.org/2001/XMLSchema-instance" xsi:type="dcterms:W3CDTF">2025-12-22T10:27:06Z</dcterms:modified>
</cp:coreProperties>
</file>