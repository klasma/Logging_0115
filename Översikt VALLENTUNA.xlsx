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46197</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46197</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46197</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46197</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46197</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46197</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61763-2025</t>
        </is>
      </c>
      <c r="B8" s="1" t="n">
        <v>46002</v>
      </c>
      <c r="C8" s="1" t="n">
        <v>46197</v>
      </c>
      <c r="D8" t="inlineStr">
        <is>
          <t>STOCKHOLMS LÄN</t>
        </is>
      </c>
      <c r="E8" t="inlineStr">
        <is>
          <t>VALLENTUNA</t>
        </is>
      </c>
      <c r="G8" t="n">
        <v>6.9</v>
      </c>
      <c r="H8" t="n">
        <v>2</v>
      </c>
      <c r="I8" t="n">
        <v>5</v>
      </c>
      <c r="J8" t="n">
        <v>2</v>
      </c>
      <c r="K8" t="n">
        <v>1</v>
      </c>
      <c r="L8" t="n">
        <v>0</v>
      </c>
      <c r="M8" t="n">
        <v>0</v>
      </c>
      <c r="N8" t="n">
        <v>0</v>
      </c>
      <c r="O8" t="n">
        <v>3</v>
      </c>
      <c r="P8" t="n">
        <v>1</v>
      </c>
      <c r="Q8" t="n">
        <v>9</v>
      </c>
      <c r="R8" s="2" t="inlineStr">
        <is>
          <t>Gränsticka
Dunmossa
Talltita
Björksplintborre
Blomkålssvamp
Mörk husmossa
Stubbspretmossa
Vågbandad barkbock
Kungsfågel</t>
        </is>
      </c>
      <c r="S8">
        <f>HYPERLINK("https://klasma.github.io/Logging_0115/artfynd/A 61763-2025 artfynd.xlsx", "A 61763-2025")</f>
        <v/>
      </c>
      <c r="T8">
        <f>HYPERLINK("https://klasma.github.io/Logging_0115/kartor/A 61763-2025 karta.png", "A 61763-2025")</f>
        <v/>
      </c>
      <c r="V8">
        <f>HYPERLINK("https://klasma.github.io/Logging_0115/klagomål/A 61763-2025 FSC-klagomål.docx", "A 61763-2025")</f>
        <v/>
      </c>
      <c r="W8">
        <f>HYPERLINK("https://klasma.github.io/Logging_0115/klagomålsmail/A 61763-2025 FSC-klagomål mail.docx", "A 61763-2025")</f>
        <v/>
      </c>
      <c r="X8">
        <f>HYPERLINK("https://klasma.github.io/Logging_0115/tillsyn/A 61763-2025 tillsynsbegäran.docx", "A 61763-2025")</f>
        <v/>
      </c>
      <c r="Y8">
        <f>HYPERLINK("https://klasma.github.io/Logging_0115/tillsynsmail/A 61763-2025 tillsynsbegäran mail.docx", "A 61763-2025")</f>
        <v/>
      </c>
      <c r="Z8">
        <f>HYPERLINK("https://klasma.github.io/Logging_0115/fåglar/A 61763-2025 prioriterade fågelarter.docx", "A 61763-2025")</f>
        <v/>
      </c>
    </row>
    <row r="9" ht="15" customHeight="1">
      <c r="A9" t="inlineStr">
        <is>
          <t>A 50435-2024</t>
        </is>
      </c>
      <c r="B9" s="1" t="n">
        <v>45601</v>
      </c>
      <c r="C9" s="1" t="n">
        <v>46197</v>
      </c>
      <c r="D9" t="inlineStr">
        <is>
          <t>STOCKHOLMS LÄN</t>
        </is>
      </c>
      <c r="E9" t="inlineStr">
        <is>
          <t>VALLENTUNA</t>
        </is>
      </c>
      <c r="F9" t="inlineStr">
        <is>
          <t>Allmännings- och besparingsskogar</t>
        </is>
      </c>
      <c r="G9" t="n">
        <v>2.3</v>
      </c>
      <c r="H9" t="n">
        <v>5</v>
      </c>
      <c r="I9" t="n">
        <v>5</v>
      </c>
      <c r="J9" t="n">
        <v>2</v>
      </c>
      <c r="K9" t="n">
        <v>0</v>
      </c>
      <c r="L9" t="n">
        <v>0</v>
      </c>
      <c r="M9" t="n">
        <v>0</v>
      </c>
      <c r="N9" t="n">
        <v>0</v>
      </c>
      <c r="O9" t="n">
        <v>2</v>
      </c>
      <c r="P9" t="n">
        <v>0</v>
      </c>
      <c r="Q9" t="n">
        <v>9</v>
      </c>
      <c r="R9" s="2" t="inlineStr">
        <is>
          <t>Grönsångare
Talltita
Aprikosfingersvamp
Mindre märgborre
Mönjevaxing
Nästrot
Tibast
Blåsippa
Tjäder</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25512-2022</t>
        </is>
      </c>
      <c r="B10" s="1" t="n">
        <v>44732</v>
      </c>
      <c r="C10" s="1" t="n">
        <v>46197</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46197</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46197</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46197</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14508-2024</t>
        </is>
      </c>
      <c r="B14" s="1" t="n">
        <v>45394</v>
      </c>
      <c r="C14" s="1" t="n">
        <v>46197</v>
      </c>
      <c r="D14" t="inlineStr">
        <is>
          <t>STOCKHOLMS LÄN</t>
        </is>
      </c>
      <c r="E14" t="inlineStr">
        <is>
          <t>VALLENTUNA</t>
        </is>
      </c>
      <c r="G14" t="n">
        <v>1.7</v>
      </c>
      <c r="H14" t="n">
        <v>2</v>
      </c>
      <c r="I14" t="n">
        <v>0</v>
      </c>
      <c r="J14" t="n">
        <v>2</v>
      </c>
      <c r="K14" t="n">
        <v>1</v>
      </c>
      <c r="L14" t="n">
        <v>0</v>
      </c>
      <c r="M14" t="n">
        <v>0</v>
      </c>
      <c r="N14" t="n">
        <v>0</v>
      </c>
      <c r="O14" t="n">
        <v>3</v>
      </c>
      <c r="P14" t="n">
        <v>1</v>
      </c>
      <c r="Q14" t="n">
        <v>3</v>
      </c>
      <c r="R14" s="2" t="inlineStr">
        <is>
          <t>Hussvala
Berggräsfjäril
Mindre hackspett</t>
        </is>
      </c>
      <c r="S14">
        <f>HYPERLINK("https://klasma.github.io/Logging_0115/artfynd/A 14508-2024 artfynd.xlsx", "A 14508-2024")</f>
        <v/>
      </c>
      <c r="T14">
        <f>HYPERLINK("https://klasma.github.io/Logging_0115/kartor/A 14508-2024 karta.png", "A 14508-2024")</f>
        <v/>
      </c>
      <c r="V14">
        <f>HYPERLINK("https://klasma.github.io/Logging_0115/klagomål/A 14508-2024 FSC-klagomål.docx", "A 14508-2024")</f>
        <v/>
      </c>
      <c r="W14">
        <f>HYPERLINK("https://klasma.github.io/Logging_0115/klagomålsmail/A 14508-2024 FSC-klagomål mail.docx", "A 14508-2024")</f>
        <v/>
      </c>
      <c r="X14">
        <f>HYPERLINK("https://klasma.github.io/Logging_0115/tillsyn/A 14508-2024 tillsynsbegäran.docx", "A 14508-2024")</f>
        <v/>
      </c>
      <c r="Y14">
        <f>HYPERLINK("https://klasma.github.io/Logging_0115/tillsynsmail/A 14508-2024 tillsynsbegäran mail.docx", "A 14508-2024")</f>
        <v/>
      </c>
      <c r="Z14">
        <f>HYPERLINK("https://klasma.github.io/Logging_0115/fåglar/A 14508-2024 prioriterade fågelarter.docx", "A 14508-2024")</f>
        <v/>
      </c>
    </row>
    <row r="15" ht="15" customHeight="1">
      <c r="A15" t="inlineStr">
        <is>
          <t>A 48717-2024</t>
        </is>
      </c>
      <c r="B15" s="1" t="n">
        <v>45593</v>
      </c>
      <c r="C15" s="1" t="n">
        <v>46197</v>
      </c>
      <c r="D15" t="inlineStr">
        <is>
          <t>STOCKHOLMS LÄN</t>
        </is>
      </c>
      <c r="E15" t="inlineStr">
        <is>
          <t>VALLENTUNA</t>
        </is>
      </c>
      <c r="G15" t="n">
        <v>6.2</v>
      </c>
      <c r="H15" t="n">
        <v>2</v>
      </c>
      <c r="I15" t="n">
        <v>0</v>
      </c>
      <c r="J15" t="n">
        <v>1</v>
      </c>
      <c r="K15" t="n">
        <v>0</v>
      </c>
      <c r="L15" t="n">
        <v>0</v>
      </c>
      <c r="M15" t="n">
        <v>0</v>
      </c>
      <c r="N15" t="n">
        <v>0</v>
      </c>
      <c r="O15" t="n">
        <v>1</v>
      </c>
      <c r="P15" t="n">
        <v>0</v>
      </c>
      <c r="Q15" t="n">
        <v>3</v>
      </c>
      <c r="R15" s="2" t="inlineStr">
        <is>
          <t>Ullticka
Tjäder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46197</v>
      </c>
      <c r="D16" t="inlineStr">
        <is>
          <t>STOCKHOLMS LÄN</t>
        </is>
      </c>
      <c r="E16" t="inlineStr">
        <is>
          <t>VALLENTUNA</t>
        </is>
      </c>
      <c r="G16" t="n">
        <v>2.1</v>
      </c>
      <c r="H16" t="n">
        <v>3</v>
      </c>
      <c r="I16" t="n">
        <v>0</v>
      </c>
      <c r="J16" t="n">
        <v>1</v>
      </c>
      <c r="K16" t="n">
        <v>0</v>
      </c>
      <c r="L16" t="n">
        <v>0</v>
      </c>
      <c r="M16" t="n">
        <v>0</v>
      </c>
      <c r="N16" t="n">
        <v>0</v>
      </c>
      <c r="O16" t="n">
        <v>1</v>
      </c>
      <c r="P16" t="n">
        <v>0</v>
      </c>
      <c r="Q16" t="n">
        <v>3</v>
      </c>
      <c r="R16" s="2" t="inlineStr">
        <is>
          <t>Järnsparv
Grönsiska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63543-2025</t>
        </is>
      </c>
      <c r="B17" s="1" t="n">
        <v>46013</v>
      </c>
      <c r="C17" s="1" t="n">
        <v>46197</v>
      </c>
      <c r="D17" t="inlineStr">
        <is>
          <t>STOCKHOLMS LÄN</t>
        </is>
      </c>
      <c r="E17" t="inlineStr">
        <is>
          <t>VALLENTUNA</t>
        </is>
      </c>
      <c r="G17" t="n">
        <v>3.4</v>
      </c>
      <c r="H17" t="n">
        <v>0</v>
      </c>
      <c r="I17" t="n">
        <v>1</v>
      </c>
      <c r="J17" t="n">
        <v>2</v>
      </c>
      <c r="K17" t="n">
        <v>0</v>
      </c>
      <c r="L17" t="n">
        <v>0</v>
      </c>
      <c r="M17" t="n">
        <v>0</v>
      </c>
      <c r="N17" t="n">
        <v>0</v>
      </c>
      <c r="O17" t="n">
        <v>2</v>
      </c>
      <c r="P17" t="n">
        <v>0</v>
      </c>
      <c r="Q17" t="n">
        <v>3</v>
      </c>
      <c r="R17" s="2" t="inlineStr">
        <is>
          <t>Tallticka
Vedskivlav
Björksplintborre</t>
        </is>
      </c>
      <c r="S17">
        <f>HYPERLINK("https://klasma.github.io/Logging_0115/artfynd/A 63543-2025 artfynd.xlsx", "A 63543-2025")</f>
        <v/>
      </c>
      <c r="T17">
        <f>HYPERLINK("https://klasma.github.io/Logging_0115/kartor/A 63543-2025 karta.png", "A 63543-2025")</f>
        <v/>
      </c>
      <c r="V17">
        <f>HYPERLINK("https://klasma.github.io/Logging_0115/klagomål/A 63543-2025 FSC-klagomål.docx", "A 63543-2025")</f>
        <v/>
      </c>
      <c r="W17">
        <f>HYPERLINK("https://klasma.github.io/Logging_0115/klagomålsmail/A 63543-2025 FSC-klagomål mail.docx", "A 63543-2025")</f>
        <v/>
      </c>
      <c r="X17">
        <f>HYPERLINK("https://klasma.github.io/Logging_0115/tillsyn/A 63543-2025 tillsynsbegäran.docx", "A 63543-2025")</f>
        <v/>
      </c>
      <c r="Y17">
        <f>HYPERLINK("https://klasma.github.io/Logging_0115/tillsynsmail/A 63543-2025 tillsynsbegäran mail.docx", "A 63543-2025")</f>
        <v/>
      </c>
    </row>
    <row r="18" ht="15" customHeight="1">
      <c r="A18" t="inlineStr">
        <is>
          <t>A 37456-2023</t>
        </is>
      </c>
      <c r="B18" s="1" t="n">
        <v>45156</v>
      </c>
      <c r="C18" s="1" t="n">
        <v>46197</v>
      </c>
      <c r="D18" t="inlineStr">
        <is>
          <t>STOCKHOLMS LÄN</t>
        </is>
      </c>
      <c r="E18" t="inlineStr">
        <is>
          <t>VALLENTUNA</t>
        </is>
      </c>
      <c r="F18" t="inlineStr">
        <is>
          <t>Övriga Aktiebolag</t>
        </is>
      </c>
      <c r="G18" t="n">
        <v>3.3</v>
      </c>
      <c r="H18" t="n">
        <v>1</v>
      </c>
      <c r="I18" t="n">
        <v>0</v>
      </c>
      <c r="J18" t="n">
        <v>2</v>
      </c>
      <c r="K18" t="n">
        <v>0</v>
      </c>
      <c r="L18" t="n">
        <v>0</v>
      </c>
      <c r="M18" t="n">
        <v>0</v>
      </c>
      <c r="N18" t="n">
        <v>0</v>
      </c>
      <c r="O18" t="n">
        <v>2</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9745-2022</t>
        </is>
      </c>
      <c r="B19" s="1" t="n">
        <v>44618</v>
      </c>
      <c r="C19" s="1" t="n">
        <v>46197</v>
      </c>
      <c r="D19" t="inlineStr">
        <is>
          <t>STOCKHOLMS LÄN</t>
        </is>
      </c>
      <c r="E19" t="inlineStr">
        <is>
          <t>VALLENTUNA</t>
        </is>
      </c>
      <c r="G19" t="n">
        <v>5.9</v>
      </c>
      <c r="H19" t="n">
        <v>1</v>
      </c>
      <c r="I19" t="n">
        <v>2</v>
      </c>
      <c r="J19" t="n">
        <v>0</v>
      </c>
      <c r="K19" t="n">
        <v>0</v>
      </c>
      <c r="L19" t="n">
        <v>0</v>
      </c>
      <c r="M19" t="n">
        <v>0</v>
      </c>
      <c r="N19" t="n">
        <v>0</v>
      </c>
      <c r="O19" t="n">
        <v>0</v>
      </c>
      <c r="P19" t="n">
        <v>0</v>
      </c>
      <c r="Q19" t="n">
        <v>3</v>
      </c>
      <c r="R19" s="2" t="inlineStr">
        <is>
          <t>Björksplintborre
Vedticka
Spillkråka</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34452-2021</t>
        </is>
      </c>
      <c r="B20" s="1" t="n">
        <v>44381</v>
      </c>
      <c r="C20" s="1" t="n">
        <v>46197</v>
      </c>
      <c r="D20" t="inlineStr">
        <is>
          <t>STOCKHOLMS LÄN</t>
        </is>
      </c>
      <c r="E20" t="inlineStr">
        <is>
          <t>VALLENTUNA</t>
        </is>
      </c>
      <c r="G20" t="n">
        <v>14.7</v>
      </c>
      <c r="H20" t="n">
        <v>0</v>
      </c>
      <c r="I20" t="n">
        <v>0</v>
      </c>
      <c r="J20" t="n">
        <v>0</v>
      </c>
      <c r="K20" t="n">
        <v>0</v>
      </c>
      <c r="L20" t="n">
        <v>0</v>
      </c>
      <c r="M20" t="n">
        <v>0</v>
      </c>
      <c r="N20" t="n">
        <v>0</v>
      </c>
      <c r="O20" t="n">
        <v>0</v>
      </c>
      <c r="P20" t="n">
        <v>0</v>
      </c>
      <c r="Q20" t="n">
        <v>3</v>
      </c>
      <c r="R20" s="2" t="inlineStr">
        <is>
          <t>Ekorrbär
Kärrviol
Skogsstjärna</t>
        </is>
      </c>
      <c r="S20">
        <f>HYPERLINK("https://klasma.github.io/Logging_0115/artfynd/A 34452-2021 artfynd.xlsx", "A 34452-2021")</f>
        <v/>
      </c>
      <c r="T20">
        <f>HYPERLINK("https://klasma.github.io/Logging_0115/kartor/A 34452-2021 karta.png", "A 34452-2021")</f>
        <v/>
      </c>
      <c r="V20">
        <f>HYPERLINK("https://klasma.github.io/Logging_0115/klagomål/A 34452-2021 FSC-klagomål.docx", "A 34452-2021")</f>
        <v/>
      </c>
      <c r="W20">
        <f>HYPERLINK("https://klasma.github.io/Logging_0115/klagomålsmail/A 34452-2021 FSC-klagomål mail.docx", "A 34452-2021")</f>
        <v/>
      </c>
      <c r="X20">
        <f>HYPERLINK("https://klasma.github.io/Logging_0115/tillsyn/A 34452-2021 tillsynsbegäran.docx", "A 34452-2021")</f>
        <v/>
      </c>
      <c r="Y20">
        <f>HYPERLINK("https://klasma.github.io/Logging_0115/tillsynsmail/A 34452-2021 tillsynsbegäran mail.docx", "A 34452-2021")</f>
        <v/>
      </c>
    </row>
    <row r="21" ht="15" customHeight="1">
      <c r="A21" t="inlineStr">
        <is>
          <t>A 60-2022</t>
        </is>
      </c>
      <c r="B21" s="1" t="n">
        <v>44560</v>
      </c>
      <c r="C21" s="1" t="n">
        <v>46197</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46197</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46197</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63539-2025</t>
        </is>
      </c>
      <c r="B24" s="1" t="n">
        <v>46013</v>
      </c>
      <c r="C24" s="1" t="n">
        <v>46197</v>
      </c>
      <c r="D24" t="inlineStr">
        <is>
          <t>STOCKHOLMS LÄN</t>
        </is>
      </c>
      <c r="E24" t="inlineStr">
        <is>
          <t>VALLENTUNA</t>
        </is>
      </c>
      <c r="G24" t="n">
        <v>1.1</v>
      </c>
      <c r="H24" t="n">
        <v>0</v>
      </c>
      <c r="I24" t="n">
        <v>0</v>
      </c>
      <c r="J24" t="n">
        <v>2</v>
      </c>
      <c r="K24" t="n">
        <v>0</v>
      </c>
      <c r="L24" t="n">
        <v>0</v>
      </c>
      <c r="M24" t="n">
        <v>0</v>
      </c>
      <c r="N24" t="n">
        <v>0</v>
      </c>
      <c r="O24" t="n">
        <v>2</v>
      </c>
      <c r="P24" t="n">
        <v>0</v>
      </c>
      <c r="Q24" t="n">
        <v>2</v>
      </c>
      <c r="R24" s="2" t="inlineStr">
        <is>
          <t>Tallticka
Vårärt</t>
        </is>
      </c>
      <c r="S24">
        <f>HYPERLINK("https://klasma.github.io/Logging_0115/artfynd/A 63539-2025 artfynd.xlsx", "A 63539-2025")</f>
        <v/>
      </c>
      <c r="T24">
        <f>HYPERLINK("https://klasma.github.io/Logging_0115/kartor/A 63539-2025 karta.png", "A 63539-2025")</f>
        <v/>
      </c>
      <c r="V24">
        <f>HYPERLINK("https://klasma.github.io/Logging_0115/klagomål/A 63539-2025 FSC-klagomål.docx", "A 63539-2025")</f>
        <v/>
      </c>
      <c r="W24">
        <f>HYPERLINK("https://klasma.github.io/Logging_0115/klagomålsmail/A 63539-2025 FSC-klagomål mail.docx", "A 63539-2025")</f>
        <v/>
      </c>
      <c r="X24">
        <f>HYPERLINK("https://klasma.github.io/Logging_0115/tillsyn/A 63539-2025 tillsynsbegäran.docx", "A 63539-2025")</f>
        <v/>
      </c>
      <c r="Y24">
        <f>HYPERLINK("https://klasma.github.io/Logging_0115/tillsynsmail/A 63539-2025 tillsynsbegäran mail.docx", "A 63539-2025")</f>
        <v/>
      </c>
    </row>
    <row r="25" ht="15" customHeight="1">
      <c r="A25" t="inlineStr">
        <is>
          <t>A 41021-2023</t>
        </is>
      </c>
      <c r="B25" s="1" t="n">
        <v>45173</v>
      </c>
      <c r="C25" s="1" t="n">
        <v>46197</v>
      </c>
      <c r="D25" t="inlineStr">
        <is>
          <t>STOCKHOLMS LÄN</t>
        </is>
      </c>
      <c r="E25" t="inlineStr">
        <is>
          <t>VALLENTUNA</t>
        </is>
      </c>
      <c r="G25" t="n">
        <v>3</v>
      </c>
      <c r="H25" t="n">
        <v>0</v>
      </c>
      <c r="I25" t="n">
        <v>0</v>
      </c>
      <c r="J25" t="n">
        <v>2</v>
      </c>
      <c r="K25" t="n">
        <v>0</v>
      </c>
      <c r="L25" t="n">
        <v>0</v>
      </c>
      <c r="M25" t="n">
        <v>0</v>
      </c>
      <c r="N25" t="n">
        <v>0</v>
      </c>
      <c r="O25" t="n">
        <v>2</v>
      </c>
      <c r="P25" t="n">
        <v>0</v>
      </c>
      <c r="Q25" t="n">
        <v>2</v>
      </c>
      <c r="R25" s="2" t="inlineStr">
        <is>
          <t>Fjällig taggsvamp s.str.
Orange taggsvamp</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27935-2026</t>
        </is>
      </c>
      <c r="B26" s="1" t="n">
        <v>46191</v>
      </c>
      <c r="C26" s="1" t="n">
        <v>46197</v>
      </c>
      <c r="D26" t="inlineStr">
        <is>
          <t>STOCKHOLMS LÄN</t>
        </is>
      </c>
      <c r="E26" t="inlineStr">
        <is>
          <t>VALLENTUNA</t>
        </is>
      </c>
      <c r="G26" t="n">
        <v>5</v>
      </c>
      <c r="H26" t="n">
        <v>2</v>
      </c>
      <c r="I26" t="n">
        <v>0</v>
      </c>
      <c r="J26" t="n">
        <v>0</v>
      </c>
      <c r="K26" t="n">
        <v>0</v>
      </c>
      <c r="L26" t="n">
        <v>0</v>
      </c>
      <c r="M26" t="n">
        <v>0</v>
      </c>
      <c r="N26" t="n">
        <v>0</v>
      </c>
      <c r="O26" t="n">
        <v>0</v>
      </c>
      <c r="P26" t="n">
        <v>0</v>
      </c>
      <c r="Q26" t="n">
        <v>2</v>
      </c>
      <c r="R26" s="2" t="inlineStr">
        <is>
          <t>Större vattensalamander
Mindre vattensalamander</t>
        </is>
      </c>
      <c r="S26">
        <f>HYPERLINK("https://klasma.github.io/Logging_0115/artfynd/A 27935-2026 artfynd.xlsx", "A 27935-2026")</f>
        <v/>
      </c>
      <c r="T26">
        <f>HYPERLINK("https://klasma.github.io/Logging_0115/kartor/A 27935-2026 karta.png", "A 27935-2026")</f>
        <v/>
      </c>
      <c r="V26">
        <f>HYPERLINK("https://klasma.github.io/Logging_0115/klagomål/A 27935-2026 FSC-klagomål.docx", "A 27935-2026")</f>
        <v/>
      </c>
      <c r="W26">
        <f>HYPERLINK("https://klasma.github.io/Logging_0115/klagomålsmail/A 27935-2026 FSC-klagomål mail.docx", "A 27935-2026")</f>
        <v/>
      </c>
      <c r="X26">
        <f>HYPERLINK("https://klasma.github.io/Logging_0115/tillsyn/A 27935-2026 tillsynsbegäran.docx", "A 27935-2026")</f>
        <v/>
      </c>
      <c r="Y26">
        <f>HYPERLINK("https://klasma.github.io/Logging_0115/tillsynsmail/A 27935-2026 tillsynsbegäran mail.docx", "A 27935-2026")</f>
        <v/>
      </c>
    </row>
    <row r="27" ht="15" customHeight="1">
      <c r="A27" t="inlineStr">
        <is>
          <t>A 34460-2023</t>
        </is>
      </c>
      <c r="B27" s="1" t="n">
        <v>45139</v>
      </c>
      <c r="C27" s="1" t="n">
        <v>46197</v>
      </c>
      <c r="D27" t="inlineStr">
        <is>
          <t>STOCKHOLMS LÄN</t>
        </is>
      </c>
      <c r="E27" t="inlineStr">
        <is>
          <t>VALLENTUNA</t>
        </is>
      </c>
      <c r="G27" t="n">
        <v>1.7</v>
      </c>
      <c r="H27" t="n">
        <v>0</v>
      </c>
      <c r="I27" t="n">
        <v>0</v>
      </c>
      <c r="J27" t="n">
        <v>2</v>
      </c>
      <c r="K27" t="n">
        <v>0</v>
      </c>
      <c r="L27" t="n">
        <v>0</v>
      </c>
      <c r="M27" t="n">
        <v>0</v>
      </c>
      <c r="N27" t="n">
        <v>0</v>
      </c>
      <c r="O27" t="n">
        <v>2</v>
      </c>
      <c r="P27" t="n">
        <v>0</v>
      </c>
      <c r="Q27" t="n">
        <v>2</v>
      </c>
      <c r="R27" s="2" t="inlineStr">
        <is>
          <t>Motaggsvamp
Orange taggsvamp</t>
        </is>
      </c>
      <c r="S27">
        <f>HYPERLINK("https://klasma.github.io/Logging_0115/artfynd/A 34460-2023 artfynd.xlsx", "A 34460-2023")</f>
        <v/>
      </c>
      <c r="T27">
        <f>HYPERLINK("https://klasma.github.io/Logging_0115/kartor/A 34460-2023 karta.png", "A 34460-2023")</f>
        <v/>
      </c>
      <c r="V27">
        <f>HYPERLINK("https://klasma.github.io/Logging_0115/klagomål/A 34460-2023 FSC-klagomål.docx", "A 34460-2023")</f>
        <v/>
      </c>
      <c r="W27">
        <f>HYPERLINK("https://klasma.github.io/Logging_0115/klagomålsmail/A 34460-2023 FSC-klagomål mail.docx", "A 34460-2023")</f>
        <v/>
      </c>
      <c r="X27">
        <f>HYPERLINK("https://klasma.github.io/Logging_0115/tillsyn/A 34460-2023 tillsynsbegäran.docx", "A 34460-2023")</f>
        <v/>
      </c>
      <c r="Y27">
        <f>HYPERLINK("https://klasma.github.io/Logging_0115/tillsynsmail/A 34460-2023 tillsynsbegäran mail.docx", "A 34460-2023")</f>
        <v/>
      </c>
    </row>
    <row r="28" ht="15" customHeight="1">
      <c r="A28" t="inlineStr">
        <is>
          <t>A 23923-2025</t>
        </is>
      </c>
      <c r="B28" s="1" t="n">
        <v>45795</v>
      </c>
      <c r="C28" s="1" t="n">
        <v>46197</v>
      </c>
      <c r="D28" t="inlineStr">
        <is>
          <t>STOCKHOLMS LÄN</t>
        </is>
      </c>
      <c r="E28" t="inlineStr">
        <is>
          <t>VALLENTUNA</t>
        </is>
      </c>
      <c r="G28" t="n">
        <v>2.3</v>
      </c>
      <c r="H28" t="n">
        <v>2</v>
      </c>
      <c r="I28" t="n">
        <v>0</v>
      </c>
      <c r="J28" t="n">
        <v>1</v>
      </c>
      <c r="K28" t="n">
        <v>0</v>
      </c>
      <c r="L28" t="n">
        <v>0</v>
      </c>
      <c r="M28" t="n">
        <v>0</v>
      </c>
      <c r="N28" t="n">
        <v>0</v>
      </c>
      <c r="O28" t="n">
        <v>1</v>
      </c>
      <c r="P28" t="n">
        <v>0</v>
      </c>
      <c r="Q28" t="n">
        <v>2</v>
      </c>
      <c r="R28" s="2" t="inlineStr">
        <is>
          <t>Gulsparv
Kråka</t>
        </is>
      </c>
      <c r="S28">
        <f>HYPERLINK("https://klasma.github.io/Logging_0115/artfynd/A 23923-2025 artfynd.xlsx", "A 23923-2025")</f>
        <v/>
      </c>
      <c r="T28">
        <f>HYPERLINK("https://klasma.github.io/Logging_0115/kartor/A 23923-2025 karta.png", "A 23923-2025")</f>
        <v/>
      </c>
      <c r="V28">
        <f>HYPERLINK("https://klasma.github.io/Logging_0115/klagomål/A 23923-2025 FSC-klagomål.docx", "A 23923-2025")</f>
        <v/>
      </c>
      <c r="W28">
        <f>HYPERLINK("https://klasma.github.io/Logging_0115/klagomålsmail/A 23923-2025 FSC-klagomål mail.docx", "A 23923-2025")</f>
        <v/>
      </c>
      <c r="X28">
        <f>HYPERLINK("https://klasma.github.io/Logging_0115/tillsyn/A 23923-2025 tillsynsbegäran.docx", "A 23923-2025")</f>
        <v/>
      </c>
      <c r="Y28">
        <f>HYPERLINK("https://klasma.github.io/Logging_0115/tillsynsmail/A 23923-2025 tillsynsbegäran mail.docx", "A 23923-2025")</f>
        <v/>
      </c>
      <c r="Z28">
        <f>HYPERLINK("https://klasma.github.io/Logging_0115/fåglar/A 23923-2025 prioriterade fågelarter.docx", "A 23923-2025")</f>
        <v/>
      </c>
    </row>
    <row r="29" ht="15" customHeight="1">
      <c r="A29" t="inlineStr">
        <is>
          <t>A 8817-2025</t>
        </is>
      </c>
      <c r="B29" s="1" t="n">
        <v>45712</v>
      </c>
      <c r="C29" s="1" t="n">
        <v>46197</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17348-2025</t>
        </is>
      </c>
      <c r="B30" s="1" t="n">
        <v>45756</v>
      </c>
      <c r="C30" s="1" t="n">
        <v>46197</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v>
      </c>
      <c r="C31" s="1" t="n">
        <v>46197</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24068-2024</t>
        </is>
      </c>
      <c r="B32" s="1" t="n">
        <v>45456</v>
      </c>
      <c r="C32" s="1" t="n">
        <v>46197</v>
      </c>
      <c r="D32" t="inlineStr">
        <is>
          <t>STOCKHOLMS LÄN</t>
        </is>
      </c>
      <c r="E32" t="inlineStr">
        <is>
          <t>VALLENTUNA</t>
        </is>
      </c>
      <c r="G32" t="n">
        <v>7.4</v>
      </c>
      <c r="H32" t="n">
        <v>0</v>
      </c>
      <c r="I32" t="n">
        <v>0</v>
      </c>
      <c r="J32" t="n">
        <v>1</v>
      </c>
      <c r="K32" t="n">
        <v>0</v>
      </c>
      <c r="L32" t="n">
        <v>0</v>
      </c>
      <c r="M32" t="n">
        <v>0</v>
      </c>
      <c r="N32" t="n">
        <v>0</v>
      </c>
      <c r="O32" t="n">
        <v>1</v>
      </c>
      <c r="P32" t="n">
        <v>0</v>
      </c>
      <c r="Q32" t="n">
        <v>1</v>
      </c>
      <c r="R32" s="2" t="inlineStr">
        <is>
          <t>Vedskivlav</t>
        </is>
      </c>
      <c r="S32">
        <f>HYPERLINK("https://klasma.github.io/Logging_0115/artfynd/A 24068-2024 artfynd.xlsx", "A 24068-2024")</f>
        <v/>
      </c>
      <c r="T32">
        <f>HYPERLINK("https://klasma.github.io/Logging_0115/kartor/A 24068-2024 karta.png", "A 24068-2024")</f>
        <v/>
      </c>
      <c r="V32">
        <f>HYPERLINK("https://klasma.github.io/Logging_0115/klagomål/A 24068-2024 FSC-klagomål.docx", "A 24068-2024")</f>
        <v/>
      </c>
      <c r="W32">
        <f>HYPERLINK("https://klasma.github.io/Logging_0115/klagomålsmail/A 24068-2024 FSC-klagomål mail.docx", "A 24068-2024")</f>
        <v/>
      </c>
      <c r="X32">
        <f>HYPERLINK("https://klasma.github.io/Logging_0115/tillsyn/A 24068-2024 tillsynsbegäran.docx", "A 24068-2024")</f>
        <v/>
      </c>
      <c r="Y32">
        <f>HYPERLINK("https://klasma.github.io/Logging_0115/tillsynsmail/A 24068-2024 tillsynsbegäran mail.docx", "A 24068-2024")</f>
        <v/>
      </c>
    </row>
    <row r="33" ht="15" customHeight="1">
      <c r="A33" t="inlineStr">
        <is>
          <t>A 7890-2023</t>
        </is>
      </c>
      <c r="B33" s="1" t="n">
        <v>44973</v>
      </c>
      <c r="C33" s="1" t="n">
        <v>46197</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54481-2025</t>
        </is>
      </c>
      <c r="B34" s="1" t="n">
        <v>45965</v>
      </c>
      <c r="C34" s="1" t="n">
        <v>46197</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54460-2025</t>
        </is>
      </c>
      <c r="B35" s="1" t="n">
        <v>45965</v>
      </c>
      <c r="C35" s="1" t="n">
        <v>46197</v>
      </c>
      <c r="D35" t="inlineStr">
        <is>
          <t>STOCKHOLMS LÄN</t>
        </is>
      </c>
      <c r="E35" t="inlineStr">
        <is>
          <t>VALLENTUNA</t>
        </is>
      </c>
      <c r="G35" t="n">
        <v>22.9</v>
      </c>
      <c r="H35" t="n">
        <v>0</v>
      </c>
      <c r="I35" t="n">
        <v>0</v>
      </c>
      <c r="J35" t="n">
        <v>1</v>
      </c>
      <c r="K35" t="n">
        <v>0</v>
      </c>
      <c r="L35" t="n">
        <v>0</v>
      </c>
      <c r="M35" t="n">
        <v>0</v>
      </c>
      <c r="N35" t="n">
        <v>0</v>
      </c>
      <c r="O35" t="n">
        <v>1</v>
      </c>
      <c r="P35" t="n">
        <v>0</v>
      </c>
      <c r="Q35" t="n">
        <v>1</v>
      </c>
      <c r="R35" s="2" t="inlineStr">
        <is>
          <t>Gullklöver</t>
        </is>
      </c>
      <c r="S35">
        <f>HYPERLINK("https://klasma.github.io/Logging_0115/artfynd/A 54460-2025 artfynd.xlsx", "A 54460-2025")</f>
        <v/>
      </c>
      <c r="T35">
        <f>HYPERLINK("https://klasma.github.io/Logging_0115/kartor/A 54460-2025 karta.png", "A 54460-2025")</f>
        <v/>
      </c>
      <c r="V35">
        <f>HYPERLINK("https://klasma.github.io/Logging_0115/klagomål/A 54460-2025 FSC-klagomål.docx", "A 54460-2025")</f>
        <v/>
      </c>
      <c r="W35">
        <f>HYPERLINK("https://klasma.github.io/Logging_0115/klagomålsmail/A 54460-2025 FSC-klagomål mail.docx", "A 54460-2025")</f>
        <v/>
      </c>
      <c r="X35">
        <f>HYPERLINK("https://klasma.github.io/Logging_0115/tillsyn/A 54460-2025 tillsynsbegäran.docx", "A 54460-2025")</f>
        <v/>
      </c>
      <c r="Y35">
        <f>HYPERLINK("https://klasma.github.io/Logging_0115/tillsynsmail/A 54460-2025 tillsynsbegäran mail.docx", "A 54460-2025")</f>
        <v/>
      </c>
    </row>
    <row r="36" ht="15" customHeight="1">
      <c r="A36" t="inlineStr">
        <is>
          <t>A 12396-2026</t>
        </is>
      </c>
      <c r="B36" s="1" t="n">
        <v>46090</v>
      </c>
      <c r="C36" s="1" t="n">
        <v>46197</v>
      </c>
      <c r="D36" t="inlineStr">
        <is>
          <t>STOCKHOLMS LÄN</t>
        </is>
      </c>
      <c r="E36" t="inlineStr">
        <is>
          <t>VALLENTUNA</t>
        </is>
      </c>
      <c r="G36" t="n">
        <v>3</v>
      </c>
      <c r="H36" t="n">
        <v>1</v>
      </c>
      <c r="I36" t="n">
        <v>0</v>
      </c>
      <c r="J36" t="n">
        <v>0</v>
      </c>
      <c r="K36" t="n">
        <v>0</v>
      </c>
      <c r="L36" t="n">
        <v>0</v>
      </c>
      <c r="M36" t="n">
        <v>0</v>
      </c>
      <c r="N36" t="n">
        <v>0</v>
      </c>
      <c r="O36" t="n">
        <v>0</v>
      </c>
      <c r="P36" t="n">
        <v>0</v>
      </c>
      <c r="Q36" t="n">
        <v>1</v>
      </c>
      <c r="R36" s="2" t="inlineStr">
        <is>
          <t>Spillkråka</t>
        </is>
      </c>
      <c r="S36">
        <f>HYPERLINK("https://klasma.github.io/Logging_0115/artfynd/A 12396-2026 artfynd.xlsx", "A 12396-2026")</f>
        <v/>
      </c>
      <c r="T36">
        <f>HYPERLINK("https://klasma.github.io/Logging_0115/kartor/A 12396-2026 karta.png", "A 12396-2026")</f>
        <v/>
      </c>
      <c r="V36">
        <f>HYPERLINK("https://klasma.github.io/Logging_0115/klagomål/A 12396-2026 FSC-klagomål.docx", "A 12396-2026")</f>
        <v/>
      </c>
      <c r="W36">
        <f>HYPERLINK("https://klasma.github.io/Logging_0115/klagomålsmail/A 12396-2026 FSC-klagomål mail.docx", "A 12396-2026")</f>
        <v/>
      </c>
      <c r="X36">
        <f>HYPERLINK("https://klasma.github.io/Logging_0115/tillsyn/A 12396-2026 tillsynsbegäran.docx", "A 12396-2026")</f>
        <v/>
      </c>
      <c r="Y36">
        <f>HYPERLINK("https://klasma.github.io/Logging_0115/tillsynsmail/A 12396-2026 tillsynsbegäran mail.docx", "A 12396-2026")</f>
        <v/>
      </c>
      <c r="Z36">
        <f>HYPERLINK("https://klasma.github.io/Logging_0115/fåglar/A 12396-2026 prioriterade fågelarter.docx", "A 12396-2026")</f>
        <v/>
      </c>
    </row>
    <row r="37" ht="15" customHeight="1">
      <c r="A37" t="inlineStr">
        <is>
          <t>A 12401-2026</t>
        </is>
      </c>
      <c r="B37" s="1" t="n">
        <v>46090</v>
      </c>
      <c r="C37" s="1" t="n">
        <v>46197</v>
      </c>
      <c r="D37" t="inlineStr">
        <is>
          <t>STOCKHOLMS LÄN</t>
        </is>
      </c>
      <c r="E37" t="inlineStr">
        <is>
          <t>VALLENTUNA</t>
        </is>
      </c>
      <c r="G37" t="n">
        <v>5.9</v>
      </c>
      <c r="H37" t="n">
        <v>1</v>
      </c>
      <c r="I37" t="n">
        <v>0</v>
      </c>
      <c r="J37" t="n">
        <v>0</v>
      </c>
      <c r="K37" t="n">
        <v>0</v>
      </c>
      <c r="L37" t="n">
        <v>0</v>
      </c>
      <c r="M37" t="n">
        <v>0</v>
      </c>
      <c r="N37" t="n">
        <v>0</v>
      </c>
      <c r="O37" t="n">
        <v>0</v>
      </c>
      <c r="P37" t="n">
        <v>0</v>
      </c>
      <c r="Q37" t="n">
        <v>1</v>
      </c>
      <c r="R37" s="2" t="inlineStr">
        <is>
          <t>Spillkråka</t>
        </is>
      </c>
      <c r="S37">
        <f>HYPERLINK("https://klasma.github.io/Logging_0115/artfynd/A 12401-2026 artfynd.xlsx", "A 12401-2026")</f>
        <v/>
      </c>
      <c r="T37">
        <f>HYPERLINK("https://klasma.github.io/Logging_0115/kartor/A 12401-2026 karta.png", "A 12401-2026")</f>
        <v/>
      </c>
      <c r="V37">
        <f>HYPERLINK("https://klasma.github.io/Logging_0115/klagomål/A 12401-2026 FSC-klagomål.docx", "A 12401-2026")</f>
        <v/>
      </c>
      <c r="W37">
        <f>HYPERLINK("https://klasma.github.io/Logging_0115/klagomålsmail/A 12401-2026 FSC-klagomål mail.docx", "A 12401-2026")</f>
        <v/>
      </c>
      <c r="X37">
        <f>HYPERLINK("https://klasma.github.io/Logging_0115/tillsyn/A 12401-2026 tillsynsbegäran.docx", "A 12401-2026")</f>
        <v/>
      </c>
      <c r="Y37">
        <f>HYPERLINK("https://klasma.github.io/Logging_0115/tillsynsmail/A 12401-2026 tillsynsbegäran mail.docx", "A 12401-2026")</f>
        <v/>
      </c>
      <c r="Z37">
        <f>HYPERLINK("https://klasma.github.io/Logging_0115/fåglar/A 12401-2026 prioriterade fågelarter.docx", "A 12401-2026")</f>
        <v/>
      </c>
    </row>
    <row r="38" ht="15" customHeight="1">
      <c r="A38" t="inlineStr">
        <is>
          <t>A 21-2022</t>
        </is>
      </c>
      <c r="B38" s="1" t="n">
        <v>44560</v>
      </c>
      <c r="C38" s="1" t="n">
        <v>46197</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46197</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20910-2026</t>
        </is>
      </c>
      <c r="B40" s="1" t="n">
        <v>46142</v>
      </c>
      <c r="C40" s="1" t="n">
        <v>46197</v>
      </c>
      <c r="D40" t="inlineStr">
        <is>
          <t>STOCKHOLMS LÄN</t>
        </is>
      </c>
      <c r="E40" t="inlineStr">
        <is>
          <t>VALLENTUNA</t>
        </is>
      </c>
      <c r="G40" t="n">
        <v>1.8</v>
      </c>
      <c r="H40" t="n">
        <v>1</v>
      </c>
      <c r="I40" t="n">
        <v>0</v>
      </c>
      <c r="J40" t="n">
        <v>0</v>
      </c>
      <c r="K40" t="n">
        <v>0</v>
      </c>
      <c r="L40" t="n">
        <v>0</v>
      </c>
      <c r="M40" t="n">
        <v>0</v>
      </c>
      <c r="N40" t="n">
        <v>0</v>
      </c>
      <c r="O40" t="n">
        <v>0</v>
      </c>
      <c r="P40" t="n">
        <v>0</v>
      </c>
      <c r="Q40" t="n">
        <v>1</v>
      </c>
      <c r="R40" s="2" t="inlineStr">
        <is>
          <t>Revlummer</t>
        </is>
      </c>
      <c r="S40">
        <f>HYPERLINK("https://klasma.github.io/Logging_0115/artfynd/A 20910-2026 artfynd.xlsx", "A 20910-2026")</f>
        <v/>
      </c>
      <c r="T40">
        <f>HYPERLINK("https://klasma.github.io/Logging_0115/kartor/A 20910-2026 karta.png", "A 20910-2026")</f>
        <v/>
      </c>
      <c r="V40">
        <f>HYPERLINK("https://klasma.github.io/Logging_0115/klagomål/A 20910-2026 FSC-klagomål.docx", "A 20910-2026")</f>
        <v/>
      </c>
      <c r="W40">
        <f>HYPERLINK("https://klasma.github.io/Logging_0115/klagomålsmail/A 20910-2026 FSC-klagomål mail.docx", "A 20910-2026")</f>
        <v/>
      </c>
      <c r="X40">
        <f>HYPERLINK("https://klasma.github.io/Logging_0115/tillsyn/A 20910-2026 tillsynsbegäran.docx", "A 20910-2026")</f>
        <v/>
      </c>
      <c r="Y40">
        <f>HYPERLINK("https://klasma.github.io/Logging_0115/tillsynsmail/A 20910-2026 tillsynsbegäran mail.docx", "A 20910-2026")</f>
        <v/>
      </c>
    </row>
    <row r="41" ht="15" customHeight="1">
      <c r="A41" t="inlineStr">
        <is>
          <t>A 20914-2026</t>
        </is>
      </c>
      <c r="B41" s="1" t="n">
        <v>46142</v>
      </c>
      <c r="C41" s="1" t="n">
        <v>46197</v>
      </c>
      <c r="D41" t="inlineStr">
        <is>
          <t>STOCKHOLMS LÄN</t>
        </is>
      </c>
      <c r="E41" t="inlineStr">
        <is>
          <t>VALLENTUNA</t>
        </is>
      </c>
      <c r="G41" t="n">
        <v>1.1</v>
      </c>
      <c r="H41" t="n">
        <v>0</v>
      </c>
      <c r="I41" t="n">
        <v>0</v>
      </c>
      <c r="J41" t="n">
        <v>1</v>
      </c>
      <c r="K41" t="n">
        <v>0</v>
      </c>
      <c r="L41" t="n">
        <v>0</v>
      </c>
      <c r="M41" t="n">
        <v>0</v>
      </c>
      <c r="N41" t="n">
        <v>0</v>
      </c>
      <c r="O41" t="n">
        <v>1</v>
      </c>
      <c r="P41" t="n">
        <v>0</v>
      </c>
      <c r="Q41" t="n">
        <v>1</v>
      </c>
      <c r="R41" s="2" t="inlineStr">
        <is>
          <t>Tallticka</t>
        </is>
      </c>
      <c r="S41">
        <f>HYPERLINK("https://klasma.github.io/Logging_0115/artfynd/A 20914-2026 artfynd.xlsx", "A 20914-2026")</f>
        <v/>
      </c>
      <c r="T41">
        <f>HYPERLINK("https://klasma.github.io/Logging_0115/kartor/A 20914-2026 karta.png", "A 20914-2026")</f>
        <v/>
      </c>
      <c r="V41">
        <f>HYPERLINK("https://klasma.github.io/Logging_0115/klagomål/A 20914-2026 FSC-klagomål.docx", "A 20914-2026")</f>
        <v/>
      </c>
      <c r="W41">
        <f>HYPERLINK("https://klasma.github.io/Logging_0115/klagomålsmail/A 20914-2026 FSC-klagomål mail.docx", "A 20914-2026")</f>
        <v/>
      </c>
      <c r="X41">
        <f>HYPERLINK("https://klasma.github.io/Logging_0115/tillsyn/A 20914-2026 tillsynsbegäran.docx", "A 20914-2026")</f>
        <v/>
      </c>
      <c r="Y41">
        <f>HYPERLINK("https://klasma.github.io/Logging_0115/tillsynsmail/A 20914-2026 tillsynsbegäran mail.docx", "A 20914-2026")</f>
        <v/>
      </c>
    </row>
    <row r="42" ht="15" customHeight="1">
      <c r="A42" t="inlineStr">
        <is>
          <t>A 34458-2023</t>
        </is>
      </c>
      <c r="B42" s="1" t="n">
        <v>45139</v>
      </c>
      <c r="C42" s="1" t="n">
        <v>46197</v>
      </c>
      <c r="D42" t="inlineStr">
        <is>
          <t>STOCKHOLMS LÄN</t>
        </is>
      </c>
      <c r="E42" t="inlineStr">
        <is>
          <t>VALLENTUNA</t>
        </is>
      </c>
      <c r="G42" t="n">
        <v>2.5</v>
      </c>
      <c r="H42" t="n">
        <v>0</v>
      </c>
      <c r="I42" t="n">
        <v>0</v>
      </c>
      <c r="J42" t="n">
        <v>1</v>
      </c>
      <c r="K42" t="n">
        <v>0</v>
      </c>
      <c r="L42" t="n">
        <v>0</v>
      </c>
      <c r="M42" t="n">
        <v>0</v>
      </c>
      <c r="N42" t="n">
        <v>0</v>
      </c>
      <c r="O42" t="n">
        <v>1</v>
      </c>
      <c r="P42" t="n">
        <v>0</v>
      </c>
      <c r="Q42" t="n">
        <v>1</v>
      </c>
      <c r="R42" s="2" t="inlineStr">
        <is>
          <t>Motaggsvamp</t>
        </is>
      </c>
      <c r="S42">
        <f>HYPERLINK("https://klasma.github.io/Logging_0115/artfynd/A 34458-2023 artfynd.xlsx", "A 34458-2023")</f>
        <v/>
      </c>
      <c r="T42">
        <f>HYPERLINK("https://klasma.github.io/Logging_0115/kartor/A 34458-2023 karta.png", "A 34458-2023")</f>
        <v/>
      </c>
      <c r="V42">
        <f>HYPERLINK("https://klasma.github.io/Logging_0115/klagomål/A 34458-2023 FSC-klagomål.docx", "A 34458-2023")</f>
        <v/>
      </c>
      <c r="W42">
        <f>HYPERLINK("https://klasma.github.io/Logging_0115/klagomålsmail/A 34458-2023 FSC-klagomål mail.docx", "A 34458-2023")</f>
        <v/>
      </c>
      <c r="X42">
        <f>HYPERLINK("https://klasma.github.io/Logging_0115/tillsyn/A 34458-2023 tillsynsbegäran.docx", "A 34458-2023")</f>
        <v/>
      </c>
      <c r="Y42">
        <f>HYPERLINK("https://klasma.github.io/Logging_0115/tillsynsmail/A 34458-2023 tillsynsbegäran mail.docx", "A 34458-2023")</f>
        <v/>
      </c>
    </row>
    <row r="43" ht="15" customHeight="1">
      <c r="A43" t="inlineStr">
        <is>
          <t>A 23009-2024</t>
        </is>
      </c>
      <c r="B43" s="1" t="n">
        <v>45450</v>
      </c>
      <c r="C43" s="1" t="n">
        <v>46197</v>
      </c>
      <c r="D43" t="inlineStr">
        <is>
          <t>STOCKHOLMS LÄN</t>
        </is>
      </c>
      <c r="E43" t="inlineStr">
        <is>
          <t>VALLENTUNA</t>
        </is>
      </c>
      <c r="G43" t="n">
        <v>1.4</v>
      </c>
      <c r="H43" t="n">
        <v>0</v>
      </c>
      <c r="I43" t="n">
        <v>1</v>
      </c>
      <c r="J43" t="n">
        <v>0</v>
      </c>
      <c r="K43" t="n">
        <v>0</v>
      </c>
      <c r="L43" t="n">
        <v>0</v>
      </c>
      <c r="M43" t="n">
        <v>0</v>
      </c>
      <c r="N43" t="n">
        <v>0</v>
      </c>
      <c r="O43" t="n">
        <v>0</v>
      </c>
      <c r="P43" t="n">
        <v>0</v>
      </c>
      <c r="Q43" t="n">
        <v>1</v>
      </c>
      <c r="R43" s="2" t="inlineStr">
        <is>
          <t>Tibast</t>
        </is>
      </c>
      <c r="S43">
        <f>HYPERLINK("https://klasma.github.io/Logging_0115/artfynd/A 23009-2024 artfynd.xlsx", "A 23009-2024")</f>
        <v/>
      </c>
      <c r="T43">
        <f>HYPERLINK("https://klasma.github.io/Logging_0115/kartor/A 23009-2024 karta.png", "A 23009-2024")</f>
        <v/>
      </c>
      <c r="V43">
        <f>HYPERLINK("https://klasma.github.io/Logging_0115/klagomål/A 23009-2024 FSC-klagomål.docx", "A 23009-2024")</f>
        <v/>
      </c>
      <c r="W43">
        <f>HYPERLINK("https://klasma.github.io/Logging_0115/klagomålsmail/A 23009-2024 FSC-klagomål mail.docx", "A 23009-2024")</f>
        <v/>
      </c>
      <c r="X43">
        <f>HYPERLINK("https://klasma.github.io/Logging_0115/tillsyn/A 23009-2024 tillsynsbegäran.docx", "A 23009-2024")</f>
        <v/>
      </c>
      <c r="Y43">
        <f>HYPERLINK("https://klasma.github.io/Logging_0115/tillsynsmail/A 23009-2024 tillsynsbegäran mail.docx", "A 23009-2024")</f>
        <v/>
      </c>
    </row>
    <row r="44" ht="15" customHeight="1">
      <c r="A44" t="inlineStr">
        <is>
          <t>A 8089-2022</t>
        </is>
      </c>
      <c r="B44" s="1" t="n">
        <v>44609</v>
      </c>
      <c r="C44" s="1" t="n">
        <v>46197</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46197</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46197</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46197</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46197</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46197</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46197</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46197</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v>
      </c>
      <c r="C52" s="1" t="n">
        <v>46197</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46197</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46197</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46197</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49530-2023</t>
        </is>
      </c>
      <c r="B56" s="1" t="n">
        <v>45205</v>
      </c>
      <c r="C56" s="1" t="n">
        <v>46197</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46197</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3078-2023</t>
        </is>
      </c>
      <c r="B58" s="1" t="n">
        <v>44946</v>
      </c>
      <c r="C58" s="1" t="n">
        <v>46197</v>
      </c>
      <c r="D58" t="inlineStr">
        <is>
          <t>STOCKHOLMS LÄN</t>
        </is>
      </c>
      <c r="E58" t="inlineStr">
        <is>
          <t>VALLENTUNA</t>
        </is>
      </c>
      <c r="G58" t="n">
        <v>3.9</v>
      </c>
      <c r="H58" t="n">
        <v>0</v>
      </c>
      <c r="I58" t="n">
        <v>0</v>
      </c>
      <c r="J58" t="n">
        <v>0</v>
      </c>
      <c r="K58" t="n">
        <v>0</v>
      </c>
      <c r="L58" t="n">
        <v>0</v>
      </c>
      <c r="M58" t="n">
        <v>0</v>
      </c>
      <c r="N58" t="n">
        <v>0</v>
      </c>
      <c r="O58" t="n">
        <v>0</v>
      </c>
      <c r="P58" t="n">
        <v>0</v>
      </c>
      <c r="Q58" t="n">
        <v>0</v>
      </c>
      <c r="R58" s="2" t="inlineStr"/>
    </row>
    <row r="59" ht="15" customHeight="1">
      <c r="A59" t="inlineStr">
        <is>
          <t>A 60795-2023</t>
        </is>
      </c>
      <c r="B59" s="1" t="n">
        <v>45260</v>
      </c>
      <c r="C59" s="1" t="n">
        <v>46197</v>
      </c>
      <c r="D59" t="inlineStr">
        <is>
          <t>STOCKHOLMS LÄN</t>
        </is>
      </c>
      <c r="E59" t="inlineStr">
        <is>
          <t>VALLENTUNA</t>
        </is>
      </c>
      <c r="G59" t="n">
        <v>2.2</v>
      </c>
      <c r="H59" t="n">
        <v>0</v>
      </c>
      <c r="I59" t="n">
        <v>0</v>
      </c>
      <c r="J59" t="n">
        <v>0</v>
      </c>
      <c r="K59" t="n">
        <v>0</v>
      </c>
      <c r="L59" t="n">
        <v>0</v>
      </c>
      <c r="M59" t="n">
        <v>0</v>
      </c>
      <c r="N59" t="n">
        <v>0</v>
      </c>
      <c r="O59" t="n">
        <v>0</v>
      </c>
      <c r="P59" t="n">
        <v>0</v>
      </c>
      <c r="Q59" t="n">
        <v>0</v>
      </c>
      <c r="R59" s="2" t="inlineStr"/>
    </row>
    <row r="60" ht="15" customHeight="1">
      <c r="A60" t="inlineStr">
        <is>
          <t>A 14480-2024</t>
        </is>
      </c>
      <c r="B60" s="1" t="n">
        <v>45394</v>
      </c>
      <c r="C60" s="1" t="n">
        <v>46197</v>
      </c>
      <c r="D60" t="inlineStr">
        <is>
          <t>STOCKHOLMS LÄN</t>
        </is>
      </c>
      <c r="E60" t="inlineStr">
        <is>
          <t>VALLENTUNA</t>
        </is>
      </c>
      <c r="G60" t="n">
        <v>1.8</v>
      </c>
      <c r="H60" t="n">
        <v>0</v>
      </c>
      <c r="I60" t="n">
        <v>0</v>
      </c>
      <c r="J60" t="n">
        <v>0</v>
      </c>
      <c r="K60" t="n">
        <v>0</v>
      </c>
      <c r="L60" t="n">
        <v>0</v>
      </c>
      <c r="M60" t="n">
        <v>0</v>
      </c>
      <c r="N60" t="n">
        <v>0</v>
      </c>
      <c r="O60" t="n">
        <v>0</v>
      </c>
      <c r="P60" t="n">
        <v>0</v>
      </c>
      <c r="Q60" t="n">
        <v>0</v>
      </c>
      <c r="R60" s="2" t="inlineStr"/>
    </row>
    <row r="61" ht="15" customHeight="1">
      <c r="A61" t="inlineStr">
        <is>
          <t>A 48068-2021</t>
        </is>
      </c>
      <c r="B61" s="1" t="n">
        <v>44449</v>
      </c>
      <c r="C61" s="1" t="n">
        <v>46197</v>
      </c>
      <c r="D61" t="inlineStr">
        <is>
          <t>STOCKHOLMS LÄN</t>
        </is>
      </c>
      <c r="E61" t="inlineStr">
        <is>
          <t>VALLENTUNA</t>
        </is>
      </c>
      <c r="G61" t="n">
        <v>1.3</v>
      </c>
      <c r="H61" t="n">
        <v>0</v>
      </c>
      <c r="I61" t="n">
        <v>0</v>
      </c>
      <c r="J61" t="n">
        <v>0</v>
      </c>
      <c r="K61" t="n">
        <v>0</v>
      </c>
      <c r="L61" t="n">
        <v>0</v>
      </c>
      <c r="M61" t="n">
        <v>0</v>
      </c>
      <c r="N61" t="n">
        <v>0</v>
      </c>
      <c r="O61" t="n">
        <v>0</v>
      </c>
      <c r="P61" t="n">
        <v>0</v>
      </c>
      <c r="Q61" t="n">
        <v>0</v>
      </c>
      <c r="R61" s="2" t="inlineStr"/>
    </row>
    <row r="62" ht="15" customHeight="1">
      <c r="A62" t="inlineStr">
        <is>
          <t>A 3937-2022</t>
        </is>
      </c>
      <c r="B62" s="1" t="n">
        <v>44587</v>
      </c>
      <c r="C62" s="1" t="n">
        <v>46197</v>
      </c>
      <c r="D62" t="inlineStr">
        <is>
          <t>STOCKHOLMS LÄN</t>
        </is>
      </c>
      <c r="E62" t="inlineStr">
        <is>
          <t>VALLENTUNA</t>
        </is>
      </c>
      <c r="G62" t="n">
        <v>6.6</v>
      </c>
      <c r="H62" t="n">
        <v>0</v>
      </c>
      <c r="I62" t="n">
        <v>0</v>
      </c>
      <c r="J62" t="n">
        <v>0</v>
      </c>
      <c r="K62" t="n">
        <v>0</v>
      </c>
      <c r="L62" t="n">
        <v>0</v>
      </c>
      <c r="M62" t="n">
        <v>0</v>
      </c>
      <c r="N62" t="n">
        <v>0</v>
      </c>
      <c r="O62" t="n">
        <v>0</v>
      </c>
      <c r="P62" t="n">
        <v>0</v>
      </c>
      <c r="Q62" t="n">
        <v>0</v>
      </c>
      <c r="R62" s="2" t="inlineStr"/>
    </row>
    <row r="63" ht="15" customHeight="1">
      <c r="A63" t="inlineStr">
        <is>
          <t>A 60818-2023</t>
        </is>
      </c>
      <c r="B63" s="1" t="n">
        <v>45259</v>
      </c>
      <c r="C63" s="1" t="n">
        <v>46197</v>
      </c>
      <c r="D63" t="inlineStr">
        <is>
          <t>STOCKHOLMS LÄN</t>
        </is>
      </c>
      <c r="E63" t="inlineStr">
        <is>
          <t>VALLENTUNA</t>
        </is>
      </c>
      <c r="G63" t="n">
        <v>9.4</v>
      </c>
      <c r="H63" t="n">
        <v>0</v>
      </c>
      <c r="I63" t="n">
        <v>0</v>
      </c>
      <c r="J63" t="n">
        <v>0</v>
      </c>
      <c r="K63" t="n">
        <v>0</v>
      </c>
      <c r="L63" t="n">
        <v>0</v>
      </c>
      <c r="M63" t="n">
        <v>0</v>
      </c>
      <c r="N63" t="n">
        <v>0</v>
      </c>
      <c r="O63" t="n">
        <v>0</v>
      </c>
      <c r="P63" t="n">
        <v>0</v>
      </c>
      <c r="Q63" t="n">
        <v>0</v>
      </c>
      <c r="R63" s="2" t="inlineStr"/>
    </row>
    <row r="64" ht="15" customHeight="1">
      <c r="A64" t="inlineStr">
        <is>
          <t>A 30902-2025</t>
        </is>
      </c>
      <c r="B64" s="1" t="n">
        <v>45832</v>
      </c>
      <c r="C64" s="1" t="n">
        <v>46197</v>
      </c>
      <c r="D64" t="inlineStr">
        <is>
          <t>STOCKHOLMS LÄN</t>
        </is>
      </c>
      <c r="E64" t="inlineStr">
        <is>
          <t>VALLENTUNA</t>
        </is>
      </c>
      <c r="G64" t="n">
        <v>8.199999999999999</v>
      </c>
      <c r="H64" t="n">
        <v>0</v>
      </c>
      <c r="I64" t="n">
        <v>0</v>
      </c>
      <c r="J64" t="n">
        <v>0</v>
      </c>
      <c r="K64" t="n">
        <v>0</v>
      </c>
      <c r="L64" t="n">
        <v>0</v>
      </c>
      <c r="M64" t="n">
        <v>0</v>
      </c>
      <c r="N64" t="n">
        <v>0</v>
      </c>
      <c r="O64" t="n">
        <v>0</v>
      </c>
      <c r="P64" t="n">
        <v>0</v>
      </c>
      <c r="Q64" t="n">
        <v>0</v>
      </c>
      <c r="R64" s="2" t="inlineStr"/>
    </row>
    <row r="65" ht="15" customHeight="1">
      <c r="A65" t="inlineStr">
        <is>
          <t>A 7264-2022</t>
        </is>
      </c>
      <c r="B65" s="1" t="n">
        <v>44606</v>
      </c>
      <c r="C65" s="1" t="n">
        <v>46197</v>
      </c>
      <c r="D65" t="inlineStr">
        <is>
          <t>STOCKHOLMS LÄN</t>
        </is>
      </c>
      <c r="E65" t="inlineStr">
        <is>
          <t>VALLENTUNA</t>
        </is>
      </c>
      <c r="G65" t="n">
        <v>2.4</v>
      </c>
      <c r="H65" t="n">
        <v>0</v>
      </c>
      <c r="I65" t="n">
        <v>0</v>
      </c>
      <c r="J65" t="n">
        <v>0</v>
      </c>
      <c r="K65" t="n">
        <v>0</v>
      </c>
      <c r="L65" t="n">
        <v>0</v>
      </c>
      <c r="M65" t="n">
        <v>0</v>
      </c>
      <c r="N65" t="n">
        <v>0</v>
      </c>
      <c r="O65" t="n">
        <v>0</v>
      </c>
      <c r="P65" t="n">
        <v>0</v>
      </c>
      <c r="Q65" t="n">
        <v>0</v>
      </c>
      <c r="R65" s="2" t="inlineStr"/>
    </row>
    <row r="66" ht="15" customHeight="1">
      <c r="A66" t="inlineStr">
        <is>
          <t>A 28431-2025</t>
        </is>
      </c>
      <c r="B66" s="1" t="n">
        <v>45819</v>
      </c>
      <c r="C66" s="1" t="n">
        <v>46197</v>
      </c>
      <c r="D66" t="inlineStr">
        <is>
          <t>STOCKHOLMS LÄN</t>
        </is>
      </c>
      <c r="E66" t="inlineStr">
        <is>
          <t>VALLENTUNA</t>
        </is>
      </c>
      <c r="G66" t="n">
        <v>1.5</v>
      </c>
      <c r="H66" t="n">
        <v>0</v>
      </c>
      <c r="I66" t="n">
        <v>0</v>
      </c>
      <c r="J66" t="n">
        <v>0</v>
      </c>
      <c r="K66" t="n">
        <v>0</v>
      </c>
      <c r="L66" t="n">
        <v>0</v>
      </c>
      <c r="M66" t="n">
        <v>0</v>
      </c>
      <c r="N66" t="n">
        <v>0</v>
      </c>
      <c r="O66" t="n">
        <v>0</v>
      </c>
      <c r="P66" t="n">
        <v>0</v>
      </c>
      <c r="Q66" t="n">
        <v>0</v>
      </c>
      <c r="R66" s="2" t="inlineStr"/>
    </row>
    <row r="67" ht="15" customHeight="1">
      <c r="A67" t="inlineStr">
        <is>
          <t>A 19356-2025</t>
        </is>
      </c>
      <c r="B67" s="1" t="n">
        <v>45769</v>
      </c>
      <c r="C67" s="1" t="n">
        <v>46197</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46197</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48014-2025</t>
        </is>
      </c>
      <c r="B69" s="1" t="n">
        <v>45932</v>
      </c>
      <c r="C69" s="1" t="n">
        <v>46197</v>
      </c>
      <c r="D69" t="inlineStr">
        <is>
          <t>STOCKHOLMS LÄN</t>
        </is>
      </c>
      <c r="E69" t="inlineStr">
        <is>
          <t>VALLENTUNA</t>
        </is>
      </c>
      <c r="G69" t="n">
        <v>0.6</v>
      </c>
      <c r="H69" t="n">
        <v>0</v>
      </c>
      <c r="I69" t="n">
        <v>0</v>
      </c>
      <c r="J69" t="n">
        <v>0</v>
      </c>
      <c r="K69" t="n">
        <v>0</v>
      </c>
      <c r="L69" t="n">
        <v>0</v>
      </c>
      <c r="M69" t="n">
        <v>0</v>
      </c>
      <c r="N69" t="n">
        <v>0</v>
      </c>
      <c r="O69" t="n">
        <v>0</v>
      </c>
      <c r="P69" t="n">
        <v>0</v>
      </c>
      <c r="Q69" t="n">
        <v>0</v>
      </c>
      <c r="R69" s="2" t="inlineStr"/>
    </row>
    <row r="70" ht="15" customHeight="1">
      <c r="A70" t="inlineStr">
        <is>
          <t>A 48038-2025</t>
        </is>
      </c>
      <c r="B70" s="1" t="n">
        <v>45932</v>
      </c>
      <c r="C70" s="1" t="n">
        <v>46197</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44346-2021</t>
        </is>
      </c>
      <c r="B71" s="1" t="n">
        <v>44434</v>
      </c>
      <c r="C71" s="1" t="n">
        <v>46197</v>
      </c>
      <c r="D71" t="inlineStr">
        <is>
          <t>STOCKHOLMS LÄN</t>
        </is>
      </c>
      <c r="E71" t="inlineStr">
        <is>
          <t>VALLENTUNA</t>
        </is>
      </c>
      <c r="G71" t="n">
        <v>3</v>
      </c>
      <c r="H71" t="n">
        <v>0</v>
      </c>
      <c r="I71" t="n">
        <v>0</v>
      </c>
      <c r="J71" t="n">
        <v>0</v>
      </c>
      <c r="K71" t="n">
        <v>0</v>
      </c>
      <c r="L71" t="n">
        <v>0</v>
      </c>
      <c r="M71" t="n">
        <v>0</v>
      </c>
      <c r="N71" t="n">
        <v>0</v>
      </c>
      <c r="O71" t="n">
        <v>0</v>
      </c>
      <c r="P71" t="n">
        <v>0</v>
      </c>
      <c r="Q71" t="n">
        <v>0</v>
      </c>
      <c r="R71" s="2" t="inlineStr"/>
    </row>
    <row r="72" ht="15" customHeight="1">
      <c r="A72" t="inlineStr">
        <is>
          <t>A 61442-2024</t>
        </is>
      </c>
      <c r="B72" s="1" t="n">
        <v>45646</v>
      </c>
      <c r="C72" s="1" t="n">
        <v>46197</v>
      </c>
      <c r="D72" t="inlineStr">
        <is>
          <t>STOCKHOLMS LÄN</t>
        </is>
      </c>
      <c r="E72" t="inlineStr">
        <is>
          <t>VALLENTUNA</t>
        </is>
      </c>
      <c r="G72" t="n">
        <v>4.6</v>
      </c>
      <c r="H72" t="n">
        <v>0</v>
      </c>
      <c r="I72" t="n">
        <v>0</v>
      </c>
      <c r="J72" t="n">
        <v>0</v>
      </c>
      <c r="K72" t="n">
        <v>0</v>
      </c>
      <c r="L72" t="n">
        <v>0</v>
      </c>
      <c r="M72" t="n">
        <v>0</v>
      </c>
      <c r="N72" t="n">
        <v>0</v>
      </c>
      <c r="O72" t="n">
        <v>0</v>
      </c>
      <c r="P72" t="n">
        <v>0</v>
      </c>
      <c r="Q72" t="n">
        <v>0</v>
      </c>
      <c r="R72" s="2" t="inlineStr"/>
    </row>
    <row r="73" ht="15" customHeight="1">
      <c r="A73" t="inlineStr">
        <is>
          <t>A 6298-2026</t>
        </is>
      </c>
      <c r="B73" s="1" t="n">
        <v>46055</v>
      </c>
      <c r="C73" s="1" t="n">
        <v>46197</v>
      </c>
      <c r="D73" t="inlineStr">
        <is>
          <t>STOCKHOLMS LÄN</t>
        </is>
      </c>
      <c r="E73" t="inlineStr">
        <is>
          <t>VALLENTUNA</t>
        </is>
      </c>
      <c r="G73" t="n">
        <v>3.3</v>
      </c>
      <c r="H73" t="n">
        <v>0</v>
      </c>
      <c r="I73" t="n">
        <v>0</v>
      </c>
      <c r="J73" t="n">
        <v>0</v>
      </c>
      <c r="K73" t="n">
        <v>0</v>
      </c>
      <c r="L73" t="n">
        <v>0</v>
      </c>
      <c r="M73" t="n">
        <v>0</v>
      </c>
      <c r="N73" t="n">
        <v>0</v>
      </c>
      <c r="O73" t="n">
        <v>0</v>
      </c>
      <c r="P73" t="n">
        <v>0</v>
      </c>
      <c r="Q73" t="n">
        <v>0</v>
      </c>
      <c r="R73" s="2" t="inlineStr"/>
    </row>
    <row r="74" ht="15" customHeight="1">
      <c r="A74" t="inlineStr">
        <is>
          <t>A 19503-2023</t>
        </is>
      </c>
      <c r="B74" s="1" t="n">
        <v>45050</v>
      </c>
      <c r="C74" s="1" t="n">
        <v>46197</v>
      </c>
      <c r="D74" t="inlineStr">
        <is>
          <t>STOCKHOLMS LÄN</t>
        </is>
      </c>
      <c r="E74" t="inlineStr">
        <is>
          <t>VALLENTUNA</t>
        </is>
      </c>
      <c r="G74" t="n">
        <v>0.7</v>
      </c>
      <c r="H74" t="n">
        <v>0</v>
      </c>
      <c r="I74" t="n">
        <v>0</v>
      </c>
      <c r="J74" t="n">
        <v>0</v>
      </c>
      <c r="K74" t="n">
        <v>0</v>
      </c>
      <c r="L74" t="n">
        <v>0</v>
      </c>
      <c r="M74" t="n">
        <v>0</v>
      </c>
      <c r="N74" t="n">
        <v>0</v>
      </c>
      <c r="O74" t="n">
        <v>0</v>
      </c>
      <c r="P74" t="n">
        <v>0</v>
      </c>
      <c r="Q74" t="n">
        <v>0</v>
      </c>
      <c r="R74" s="2" t="inlineStr"/>
    </row>
    <row r="75" ht="15" customHeight="1">
      <c r="A75" t="inlineStr">
        <is>
          <t>A 12400-2026</t>
        </is>
      </c>
      <c r="B75" s="1" t="n">
        <v>46090</v>
      </c>
      <c r="C75" s="1" t="n">
        <v>46197</v>
      </c>
      <c r="D75" t="inlineStr">
        <is>
          <t>STOCKHOLMS LÄN</t>
        </is>
      </c>
      <c r="E75" t="inlineStr">
        <is>
          <t>VALLENTUNA</t>
        </is>
      </c>
      <c r="G75" t="n">
        <v>1.9</v>
      </c>
      <c r="H75" t="n">
        <v>0</v>
      </c>
      <c r="I75" t="n">
        <v>0</v>
      </c>
      <c r="J75" t="n">
        <v>0</v>
      </c>
      <c r="K75" t="n">
        <v>0</v>
      </c>
      <c r="L75" t="n">
        <v>0</v>
      </c>
      <c r="M75" t="n">
        <v>0</v>
      </c>
      <c r="N75" t="n">
        <v>0</v>
      </c>
      <c r="O75" t="n">
        <v>0</v>
      </c>
      <c r="P75" t="n">
        <v>0</v>
      </c>
      <c r="Q75" t="n">
        <v>0</v>
      </c>
      <c r="R75" s="2" t="inlineStr"/>
    </row>
    <row r="76" ht="15" customHeight="1">
      <c r="A76" t="inlineStr">
        <is>
          <t>A 12819-2026</t>
        </is>
      </c>
      <c r="B76" s="1" t="n">
        <v>46092</v>
      </c>
      <c r="C76" s="1" t="n">
        <v>46197</v>
      </c>
      <c r="D76" t="inlineStr">
        <is>
          <t>STOCKHOLMS LÄN</t>
        </is>
      </c>
      <c r="E76" t="inlineStr">
        <is>
          <t>VALLENTUNA</t>
        </is>
      </c>
      <c r="G76" t="n">
        <v>3.5</v>
      </c>
      <c r="H76" t="n">
        <v>0</v>
      </c>
      <c r="I76" t="n">
        <v>0</v>
      </c>
      <c r="J76" t="n">
        <v>0</v>
      </c>
      <c r="K76" t="n">
        <v>0</v>
      </c>
      <c r="L76" t="n">
        <v>0</v>
      </c>
      <c r="M76" t="n">
        <v>0</v>
      </c>
      <c r="N76" t="n">
        <v>0</v>
      </c>
      <c r="O76" t="n">
        <v>0</v>
      </c>
      <c r="P76" t="n">
        <v>0</v>
      </c>
      <c r="Q76" t="n">
        <v>0</v>
      </c>
      <c r="R76" s="2" t="inlineStr"/>
    </row>
    <row r="77" ht="15" customHeight="1">
      <c r="A77" t="inlineStr">
        <is>
          <t>A 12830-2026</t>
        </is>
      </c>
      <c r="B77" s="1" t="n">
        <v>46092</v>
      </c>
      <c r="C77" s="1" t="n">
        <v>46197</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12822-2026</t>
        </is>
      </c>
      <c r="B78" s="1" t="n">
        <v>46092</v>
      </c>
      <c r="C78" s="1" t="n">
        <v>46197</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12828-2026</t>
        </is>
      </c>
      <c r="B79" s="1" t="n">
        <v>46092</v>
      </c>
      <c r="C79" s="1" t="n">
        <v>46197</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61646-2025</t>
        </is>
      </c>
      <c r="B80" s="1" t="n">
        <v>46002</v>
      </c>
      <c r="C80" s="1" t="n">
        <v>46197</v>
      </c>
      <c r="D80" t="inlineStr">
        <is>
          <t>STOCKHOLMS LÄN</t>
        </is>
      </c>
      <c r="E80" t="inlineStr">
        <is>
          <t>VALLENTUNA</t>
        </is>
      </c>
      <c r="G80" t="n">
        <v>3.7</v>
      </c>
      <c r="H80" t="n">
        <v>0</v>
      </c>
      <c r="I80" t="n">
        <v>0</v>
      </c>
      <c r="J80" t="n">
        <v>0</v>
      </c>
      <c r="K80" t="n">
        <v>0</v>
      </c>
      <c r="L80" t="n">
        <v>0</v>
      </c>
      <c r="M80" t="n">
        <v>0</v>
      </c>
      <c r="N80" t="n">
        <v>0</v>
      </c>
      <c r="O80" t="n">
        <v>0</v>
      </c>
      <c r="P80" t="n">
        <v>0</v>
      </c>
      <c r="Q80" t="n">
        <v>0</v>
      </c>
      <c r="R80" s="2" t="inlineStr"/>
    </row>
    <row r="81" ht="15" customHeight="1">
      <c r="A81" t="inlineStr">
        <is>
          <t>A 21445-2023</t>
        </is>
      </c>
      <c r="B81" s="1" t="n">
        <v>45063</v>
      </c>
      <c r="C81" s="1" t="n">
        <v>46197</v>
      </c>
      <c r="D81" t="inlineStr">
        <is>
          <t>STOCKHOLMS LÄN</t>
        </is>
      </c>
      <c r="E81" t="inlineStr">
        <is>
          <t>VALLENTUNA</t>
        </is>
      </c>
      <c r="G81" t="n">
        <v>3.1</v>
      </c>
      <c r="H81" t="n">
        <v>0</v>
      </c>
      <c r="I81" t="n">
        <v>0</v>
      </c>
      <c r="J81" t="n">
        <v>0</v>
      </c>
      <c r="K81" t="n">
        <v>0</v>
      </c>
      <c r="L81" t="n">
        <v>0</v>
      </c>
      <c r="M81" t="n">
        <v>0</v>
      </c>
      <c r="N81" t="n">
        <v>0</v>
      </c>
      <c r="O81" t="n">
        <v>0</v>
      </c>
      <c r="P81" t="n">
        <v>0</v>
      </c>
      <c r="Q81" t="n">
        <v>0</v>
      </c>
      <c r="R81" s="2" t="inlineStr"/>
    </row>
    <row r="82" ht="15" customHeight="1">
      <c r="A82" t="inlineStr">
        <is>
          <t>A 22683-2023</t>
        </is>
      </c>
      <c r="B82" s="1" t="n">
        <v>45071</v>
      </c>
      <c r="C82" s="1" t="n">
        <v>46197</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24943-2024</t>
        </is>
      </c>
      <c r="B83" s="1" t="n">
        <v>45461</v>
      </c>
      <c r="C83" s="1" t="n">
        <v>46197</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46197</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414-2026</t>
        </is>
      </c>
      <c r="B85" s="1" t="n">
        <v>46028</v>
      </c>
      <c r="C85" s="1" t="n">
        <v>46197</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14799-2026</t>
        </is>
      </c>
      <c r="B86" s="1" t="n">
        <v>46102</v>
      </c>
      <c r="C86" s="1" t="n">
        <v>46197</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26390-2023</t>
        </is>
      </c>
      <c r="B87" s="1" t="n">
        <v>45086</v>
      </c>
      <c r="C87" s="1" t="n">
        <v>46197</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17389-2026</t>
        </is>
      </c>
      <c r="B88" s="1" t="n">
        <v>46119</v>
      </c>
      <c r="C88" s="1" t="n">
        <v>46197</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17387-2026</t>
        </is>
      </c>
      <c r="B89" s="1" t="n">
        <v>46119</v>
      </c>
      <c r="C89" s="1" t="n">
        <v>46197</v>
      </c>
      <c r="D89" t="inlineStr">
        <is>
          <t>STOCKHOLMS LÄN</t>
        </is>
      </c>
      <c r="E89" t="inlineStr">
        <is>
          <t>VALLENTUNA</t>
        </is>
      </c>
      <c r="G89" t="n">
        <v>1.2</v>
      </c>
      <c r="H89" t="n">
        <v>0</v>
      </c>
      <c r="I89" t="n">
        <v>0</v>
      </c>
      <c r="J89" t="n">
        <v>0</v>
      </c>
      <c r="K89" t="n">
        <v>0</v>
      </c>
      <c r="L89" t="n">
        <v>0</v>
      </c>
      <c r="M89" t="n">
        <v>0</v>
      </c>
      <c r="N89" t="n">
        <v>0</v>
      </c>
      <c r="O89" t="n">
        <v>0</v>
      </c>
      <c r="P89" t="n">
        <v>0</v>
      </c>
      <c r="Q89" t="n">
        <v>0</v>
      </c>
      <c r="R89" s="2" t="inlineStr"/>
    </row>
    <row r="90" ht="15" customHeight="1">
      <c r="A90" t="inlineStr">
        <is>
          <t>A 24707-2023</t>
        </is>
      </c>
      <c r="B90" s="1" t="n">
        <v>45084</v>
      </c>
      <c r="C90" s="1" t="n">
        <v>46197</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12609-2024</t>
        </is>
      </c>
      <c r="B91" s="1" t="n">
        <v>45382</v>
      </c>
      <c r="C91" s="1" t="n">
        <v>46197</v>
      </c>
      <c r="D91" t="inlineStr">
        <is>
          <t>STOCKHOLMS LÄN</t>
        </is>
      </c>
      <c r="E91" t="inlineStr">
        <is>
          <t>VALLENTUNA</t>
        </is>
      </c>
      <c r="G91" t="n">
        <v>0.9</v>
      </c>
      <c r="H91" t="n">
        <v>0</v>
      </c>
      <c r="I91" t="n">
        <v>0</v>
      </c>
      <c r="J91" t="n">
        <v>0</v>
      </c>
      <c r="K91" t="n">
        <v>0</v>
      </c>
      <c r="L91" t="n">
        <v>0</v>
      </c>
      <c r="M91" t="n">
        <v>0</v>
      </c>
      <c r="N91" t="n">
        <v>0</v>
      </c>
      <c r="O91" t="n">
        <v>0</v>
      </c>
      <c r="P91" t="n">
        <v>0</v>
      </c>
      <c r="Q91" t="n">
        <v>0</v>
      </c>
      <c r="R91" s="2" t="inlineStr"/>
    </row>
    <row r="92" ht="15" customHeight="1">
      <c r="A92" t="inlineStr">
        <is>
          <t>A 47140-2024</t>
        </is>
      </c>
      <c r="B92" s="1" t="n">
        <v>45586</v>
      </c>
      <c r="C92" s="1" t="n">
        <v>46197</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9063-2024</t>
        </is>
      </c>
      <c r="B93" s="1" t="n">
        <v>45357</v>
      </c>
      <c r="C93" s="1" t="n">
        <v>46197</v>
      </c>
      <c r="D93" t="inlineStr">
        <is>
          <t>STOCKHOLMS LÄN</t>
        </is>
      </c>
      <c r="E93" t="inlineStr">
        <is>
          <t>VALLENTUNA</t>
        </is>
      </c>
      <c r="G93" t="n">
        <v>4.1</v>
      </c>
      <c r="H93" t="n">
        <v>0</v>
      </c>
      <c r="I93" t="n">
        <v>0</v>
      </c>
      <c r="J93" t="n">
        <v>0</v>
      </c>
      <c r="K93" t="n">
        <v>0</v>
      </c>
      <c r="L93" t="n">
        <v>0</v>
      </c>
      <c r="M93" t="n">
        <v>0</v>
      </c>
      <c r="N93" t="n">
        <v>0</v>
      </c>
      <c r="O93" t="n">
        <v>0</v>
      </c>
      <c r="P93" t="n">
        <v>0</v>
      </c>
      <c r="Q93" t="n">
        <v>0</v>
      </c>
      <c r="R93" s="2" t="inlineStr"/>
    </row>
    <row r="94" ht="15" customHeight="1">
      <c r="A94" t="inlineStr">
        <is>
          <t>A 4804-2024</t>
        </is>
      </c>
      <c r="B94" s="1" t="n">
        <v>45328</v>
      </c>
      <c r="C94" s="1" t="n">
        <v>46197</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4803-2024</t>
        </is>
      </c>
      <c r="B95" s="1" t="n">
        <v>45328</v>
      </c>
      <c r="C95" s="1" t="n">
        <v>46197</v>
      </c>
      <c r="D95" t="inlineStr">
        <is>
          <t>STOCKHOLMS LÄN</t>
        </is>
      </c>
      <c r="E95" t="inlineStr">
        <is>
          <t>VALLENTUNA</t>
        </is>
      </c>
      <c r="G95" t="n">
        <v>4.6</v>
      </c>
      <c r="H95" t="n">
        <v>0</v>
      </c>
      <c r="I95" t="n">
        <v>0</v>
      </c>
      <c r="J95" t="n">
        <v>0</v>
      </c>
      <c r="K95" t="n">
        <v>0</v>
      </c>
      <c r="L95" t="n">
        <v>0</v>
      </c>
      <c r="M95" t="n">
        <v>0</v>
      </c>
      <c r="N95" t="n">
        <v>0</v>
      </c>
      <c r="O95" t="n">
        <v>0</v>
      </c>
      <c r="P95" t="n">
        <v>0</v>
      </c>
      <c r="Q95" t="n">
        <v>0</v>
      </c>
      <c r="R95" s="2" t="inlineStr"/>
    </row>
    <row r="96" ht="15" customHeight="1">
      <c r="A96" t="inlineStr">
        <is>
          <t>A 25740-2026</t>
        </is>
      </c>
      <c r="B96" s="1" t="n">
        <v>46178</v>
      </c>
      <c r="C96" s="1" t="n">
        <v>46197</v>
      </c>
      <c r="D96" t="inlineStr">
        <is>
          <t>STOCKHOLMS LÄN</t>
        </is>
      </c>
      <c r="E96" t="inlineStr">
        <is>
          <t>VALLENTUNA</t>
        </is>
      </c>
      <c r="G96" t="n">
        <v>2.2</v>
      </c>
      <c r="H96" t="n">
        <v>0</v>
      </c>
      <c r="I96" t="n">
        <v>0</v>
      </c>
      <c r="J96" t="n">
        <v>0</v>
      </c>
      <c r="K96" t="n">
        <v>0</v>
      </c>
      <c r="L96" t="n">
        <v>0</v>
      </c>
      <c r="M96" t="n">
        <v>0</v>
      </c>
      <c r="N96" t="n">
        <v>0</v>
      </c>
      <c r="O96" t="n">
        <v>0</v>
      </c>
      <c r="P96" t="n">
        <v>0</v>
      </c>
      <c r="Q96" t="n">
        <v>0</v>
      </c>
      <c r="R96" s="2" t="inlineStr"/>
    </row>
    <row r="97" ht="15" customHeight="1">
      <c r="A97" t="inlineStr">
        <is>
          <t>A 52542-2023</t>
        </is>
      </c>
      <c r="B97" s="1" t="n">
        <v>45225</v>
      </c>
      <c r="C97" s="1" t="n">
        <v>46197</v>
      </c>
      <c r="D97" t="inlineStr">
        <is>
          <t>STOCKHOLMS LÄN</t>
        </is>
      </c>
      <c r="E97" t="inlineStr">
        <is>
          <t>VALLENTUNA</t>
        </is>
      </c>
      <c r="G97" t="n">
        <v>3.8</v>
      </c>
      <c r="H97" t="n">
        <v>0</v>
      </c>
      <c r="I97" t="n">
        <v>0</v>
      </c>
      <c r="J97" t="n">
        <v>0</v>
      </c>
      <c r="K97" t="n">
        <v>0</v>
      </c>
      <c r="L97" t="n">
        <v>0</v>
      </c>
      <c r="M97" t="n">
        <v>0</v>
      </c>
      <c r="N97" t="n">
        <v>0</v>
      </c>
      <c r="O97" t="n">
        <v>0</v>
      </c>
      <c r="P97" t="n">
        <v>0</v>
      </c>
      <c r="Q97" t="n">
        <v>0</v>
      </c>
      <c r="R97" s="2" t="inlineStr"/>
    </row>
    <row r="98" ht="15" customHeight="1">
      <c r="A98" t="inlineStr">
        <is>
          <t>A 25752-2026</t>
        </is>
      </c>
      <c r="B98" s="1" t="n">
        <v>46178</v>
      </c>
      <c r="C98" s="1" t="n">
        <v>46197</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11950-2025</t>
        </is>
      </c>
      <c r="B99" s="1" t="n">
        <v>45728</v>
      </c>
      <c r="C99" s="1" t="n">
        <v>46197</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14489-2024</t>
        </is>
      </c>
      <c r="B100" s="1" t="n">
        <v>45394</v>
      </c>
      <c r="C100" s="1" t="n">
        <v>46197</v>
      </c>
      <c r="D100" t="inlineStr">
        <is>
          <t>STOCKHOLMS LÄN</t>
        </is>
      </c>
      <c r="E100" t="inlineStr">
        <is>
          <t>VALLENTUNA</t>
        </is>
      </c>
      <c r="G100" t="n">
        <v>2.3</v>
      </c>
      <c r="H100" t="n">
        <v>0</v>
      </c>
      <c r="I100" t="n">
        <v>0</v>
      </c>
      <c r="J100" t="n">
        <v>0</v>
      </c>
      <c r="K100" t="n">
        <v>0</v>
      </c>
      <c r="L100" t="n">
        <v>0</v>
      </c>
      <c r="M100" t="n">
        <v>0</v>
      </c>
      <c r="N100" t="n">
        <v>0</v>
      </c>
      <c r="O100" t="n">
        <v>0</v>
      </c>
      <c r="P100" t="n">
        <v>0</v>
      </c>
      <c r="Q100" t="n">
        <v>0</v>
      </c>
      <c r="R100" s="2" t="inlineStr"/>
    </row>
    <row r="101" ht="15" customHeight="1">
      <c r="A101" t="inlineStr">
        <is>
          <t>A 52562-2023</t>
        </is>
      </c>
      <c r="B101" s="1" t="n">
        <v>45225</v>
      </c>
      <c r="C101" s="1" t="n">
        <v>46197</v>
      </c>
      <c r="D101" t="inlineStr">
        <is>
          <t>STOCKHOLMS LÄN</t>
        </is>
      </c>
      <c r="E101" t="inlineStr">
        <is>
          <t>VALLENTUNA</t>
        </is>
      </c>
      <c r="G101" t="n">
        <v>3.4</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v>
      </c>
      <c r="C102" s="1" t="n">
        <v>46197</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46197</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24740-2026</t>
        </is>
      </c>
      <c r="B104" s="1" t="n">
        <v>46171</v>
      </c>
      <c r="C104" s="1" t="n">
        <v>46197</v>
      </c>
      <c r="D104" t="inlineStr">
        <is>
          <t>STOCKHOLMS LÄN</t>
        </is>
      </c>
      <c r="E104" t="inlineStr">
        <is>
          <t>VALLENTUNA</t>
        </is>
      </c>
      <c r="F104" t="inlineStr">
        <is>
          <t>Övriga Aktiebolag</t>
        </is>
      </c>
      <c r="G104" t="n">
        <v>5.7</v>
      </c>
      <c r="H104" t="n">
        <v>0</v>
      </c>
      <c r="I104" t="n">
        <v>0</v>
      </c>
      <c r="J104" t="n">
        <v>0</v>
      </c>
      <c r="K104" t="n">
        <v>0</v>
      </c>
      <c r="L104" t="n">
        <v>0</v>
      </c>
      <c r="M104" t="n">
        <v>0</v>
      </c>
      <c r="N104" t="n">
        <v>0</v>
      </c>
      <c r="O104" t="n">
        <v>0</v>
      </c>
      <c r="P104" t="n">
        <v>0</v>
      </c>
      <c r="Q104" t="n">
        <v>0</v>
      </c>
      <c r="R104" s="2" t="inlineStr"/>
    </row>
    <row r="105" ht="15" customHeight="1">
      <c r="A105" t="inlineStr">
        <is>
          <t>A 61742-2022</t>
        </is>
      </c>
      <c r="B105" s="1" t="n">
        <v>44917</v>
      </c>
      <c r="C105" s="1" t="n">
        <v>46197</v>
      </c>
      <c r="D105" t="inlineStr">
        <is>
          <t>STOCKHOLMS LÄN</t>
        </is>
      </c>
      <c r="E105" t="inlineStr">
        <is>
          <t>VALLENTUNA</t>
        </is>
      </c>
      <c r="G105" t="n">
        <v>0.5</v>
      </c>
      <c r="H105" t="n">
        <v>0</v>
      </c>
      <c r="I105" t="n">
        <v>0</v>
      </c>
      <c r="J105" t="n">
        <v>0</v>
      </c>
      <c r="K105" t="n">
        <v>0</v>
      </c>
      <c r="L105" t="n">
        <v>0</v>
      </c>
      <c r="M105" t="n">
        <v>0</v>
      </c>
      <c r="N105" t="n">
        <v>0</v>
      </c>
      <c r="O105" t="n">
        <v>0</v>
      </c>
      <c r="P105" t="n">
        <v>0</v>
      </c>
      <c r="Q105" t="n">
        <v>0</v>
      </c>
      <c r="R105" s="2" t="inlineStr"/>
    </row>
    <row r="106" ht="15" customHeight="1">
      <c r="A106" t="inlineStr">
        <is>
          <t>A 3698-2022</t>
        </is>
      </c>
      <c r="B106" s="1" t="n">
        <v>44586</v>
      </c>
      <c r="C106" s="1" t="n">
        <v>46197</v>
      </c>
      <c r="D106" t="inlineStr">
        <is>
          <t>STOCKHOLMS LÄN</t>
        </is>
      </c>
      <c r="E106" t="inlineStr">
        <is>
          <t>VALLENTUNA</t>
        </is>
      </c>
      <c r="G106" t="n">
        <v>2.9</v>
      </c>
      <c r="H106" t="n">
        <v>0</v>
      </c>
      <c r="I106" t="n">
        <v>0</v>
      </c>
      <c r="J106" t="n">
        <v>0</v>
      </c>
      <c r="K106" t="n">
        <v>0</v>
      </c>
      <c r="L106" t="n">
        <v>0</v>
      </c>
      <c r="M106" t="n">
        <v>0</v>
      </c>
      <c r="N106" t="n">
        <v>0</v>
      </c>
      <c r="O106" t="n">
        <v>0</v>
      </c>
      <c r="P106" t="n">
        <v>0</v>
      </c>
      <c r="Q106" t="n">
        <v>0</v>
      </c>
      <c r="R106" s="2" t="inlineStr"/>
    </row>
    <row r="107" ht="15" customHeight="1">
      <c r="A107" t="inlineStr">
        <is>
          <t>A 12234-2022</t>
        </is>
      </c>
      <c r="B107" s="1" t="n">
        <v>44637</v>
      </c>
      <c r="C107" s="1" t="n">
        <v>46197</v>
      </c>
      <c r="D107" t="inlineStr">
        <is>
          <t>STOCKHOLMS LÄN</t>
        </is>
      </c>
      <c r="E107" t="inlineStr">
        <is>
          <t>VALLENTUNA</t>
        </is>
      </c>
      <c r="G107" t="n">
        <v>2.4</v>
      </c>
      <c r="H107" t="n">
        <v>0</v>
      </c>
      <c r="I107" t="n">
        <v>0</v>
      </c>
      <c r="J107" t="n">
        <v>0</v>
      </c>
      <c r="K107" t="n">
        <v>0</v>
      </c>
      <c r="L107" t="n">
        <v>0</v>
      </c>
      <c r="M107" t="n">
        <v>0</v>
      </c>
      <c r="N107" t="n">
        <v>0</v>
      </c>
      <c r="O107" t="n">
        <v>0</v>
      </c>
      <c r="P107" t="n">
        <v>0</v>
      </c>
      <c r="Q107" t="n">
        <v>0</v>
      </c>
      <c r="R107" s="2" t="inlineStr"/>
    </row>
    <row r="108" ht="15" customHeight="1">
      <c r="A108" t="inlineStr">
        <is>
          <t>A 21614-2022</t>
        </is>
      </c>
      <c r="B108" s="1" t="n">
        <v>44706</v>
      </c>
      <c r="C108" s="1" t="n">
        <v>46197</v>
      </c>
      <c r="D108" t="inlineStr">
        <is>
          <t>STOCKHOLMS LÄN</t>
        </is>
      </c>
      <c r="E108" t="inlineStr">
        <is>
          <t>VALLENTUNA</t>
        </is>
      </c>
      <c r="G108" t="n">
        <v>4</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v>
      </c>
      <c r="C109" s="1" t="n">
        <v>46197</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8787-2024</t>
        </is>
      </c>
      <c r="B110" s="1" t="n">
        <v>45356</v>
      </c>
      <c r="C110" s="1" t="n">
        <v>46197</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34441-2023</t>
        </is>
      </c>
      <c r="B111" s="1" t="n">
        <v>45139</v>
      </c>
      <c r="C111" s="1" t="n">
        <v>46197</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34445-2023</t>
        </is>
      </c>
      <c r="B112" s="1" t="n">
        <v>45139</v>
      </c>
      <c r="C112" s="1" t="n">
        <v>46197</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23986-2023</t>
        </is>
      </c>
      <c r="B113" s="1" t="n">
        <v>45078</v>
      </c>
      <c r="C113" s="1" t="n">
        <v>46197</v>
      </c>
      <c r="D113" t="inlineStr">
        <is>
          <t>STOCKHOLMS LÄN</t>
        </is>
      </c>
      <c r="E113" t="inlineStr">
        <is>
          <t>VALLENTUNA</t>
        </is>
      </c>
      <c r="F113" t="inlineStr">
        <is>
          <t>Kyrkan</t>
        </is>
      </c>
      <c r="G113" t="n">
        <v>5.7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46197</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13836-2022</t>
        </is>
      </c>
      <c r="B115" s="1" t="n">
        <v>44649</v>
      </c>
      <c r="C115" s="1" t="n">
        <v>46197</v>
      </c>
      <c r="D115" t="inlineStr">
        <is>
          <t>STOCKHOLMS LÄN</t>
        </is>
      </c>
      <c r="E115" t="inlineStr">
        <is>
          <t>VALLENTUNA</t>
        </is>
      </c>
      <c r="G115" t="n">
        <v>3.5</v>
      </c>
      <c r="H115" t="n">
        <v>0</v>
      </c>
      <c r="I115" t="n">
        <v>0</v>
      </c>
      <c r="J115" t="n">
        <v>0</v>
      </c>
      <c r="K115" t="n">
        <v>0</v>
      </c>
      <c r="L115" t="n">
        <v>0</v>
      </c>
      <c r="M115" t="n">
        <v>0</v>
      </c>
      <c r="N115" t="n">
        <v>0</v>
      </c>
      <c r="O115" t="n">
        <v>0</v>
      </c>
      <c r="P115" t="n">
        <v>0</v>
      </c>
      <c r="Q115" t="n">
        <v>0</v>
      </c>
      <c r="R115" s="2" t="inlineStr"/>
    </row>
    <row r="116" ht="15" customHeight="1">
      <c r="A116" t="inlineStr">
        <is>
          <t>A 29704-2023</t>
        </is>
      </c>
      <c r="B116" s="1" t="n">
        <v>45107</v>
      </c>
      <c r="C116" s="1" t="n">
        <v>46197</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21765-2023</t>
        </is>
      </c>
      <c r="B117" s="1" t="n">
        <v>45064</v>
      </c>
      <c r="C117" s="1" t="n">
        <v>46197</v>
      </c>
      <c r="D117" t="inlineStr">
        <is>
          <t>STOCKHOLMS LÄN</t>
        </is>
      </c>
      <c r="E117" t="inlineStr">
        <is>
          <t>VALLENTUNA</t>
        </is>
      </c>
      <c r="G117" t="n">
        <v>1.1</v>
      </c>
      <c r="H117" t="n">
        <v>0</v>
      </c>
      <c r="I117" t="n">
        <v>0</v>
      </c>
      <c r="J117" t="n">
        <v>0</v>
      </c>
      <c r="K117" t="n">
        <v>0</v>
      </c>
      <c r="L117" t="n">
        <v>0</v>
      </c>
      <c r="M117" t="n">
        <v>0</v>
      </c>
      <c r="N117" t="n">
        <v>0</v>
      </c>
      <c r="O117" t="n">
        <v>0</v>
      </c>
      <c r="P117" t="n">
        <v>0</v>
      </c>
      <c r="Q117" t="n">
        <v>0</v>
      </c>
      <c r="R117" s="2" t="inlineStr"/>
    </row>
    <row r="118" ht="15" customHeight="1">
      <c r="A118" t="inlineStr">
        <is>
          <t>A 45496-2023</t>
        </is>
      </c>
      <c r="B118" s="1" t="n">
        <v>45194</v>
      </c>
      <c r="C118" s="1" t="n">
        <v>46197</v>
      </c>
      <c r="D118" t="inlineStr">
        <is>
          <t>STOCKHOLMS LÄN</t>
        </is>
      </c>
      <c r="E118" t="inlineStr">
        <is>
          <t>VALLENTUNA</t>
        </is>
      </c>
      <c r="G118" t="n">
        <v>1.2</v>
      </c>
      <c r="H118" t="n">
        <v>0</v>
      </c>
      <c r="I118" t="n">
        <v>0</v>
      </c>
      <c r="J118" t="n">
        <v>0</v>
      </c>
      <c r="K118" t="n">
        <v>0</v>
      </c>
      <c r="L118" t="n">
        <v>0</v>
      </c>
      <c r="M118" t="n">
        <v>0</v>
      </c>
      <c r="N118" t="n">
        <v>0</v>
      </c>
      <c r="O118" t="n">
        <v>0</v>
      </c>
      <c r="P118" t="n">
        <v>0</v>
      </c>
      <c r="Q118" t="n">
        <v>0</v>
      </c>
      <c r="R118" s="2" t="inlineStr"/>
    </row>
    <row r="119" ht="15" customHeight="1">
      <c r="A119" t="inlineStr">
        <is>
          <t>A 45499-2023</t>
        </is>
      </c>
      <c r="B119" s="1" t="n">
        <v>45194</v>
      </c>
      <c r="C119" s="1" t="n">
        <v>46197</v>
      </c>
      <c r="D119" t="inlineStr">
        <is>
          <t>STOCKHOLMS LÄN</t>
        </is>
      </c>
      <c r="E119" t="inlineStr">
        <is>
          <t>VALLENTUNA</t>
        </is>
      </c>
      <c r="G119" t="n">
        <v>2.5</v>
      </c>
      <c r="H119" t="n">
        <v>0</v>
      </c>
      <c r="I119" t="n">
        <v>0</v>
      </c>
      <c r="J119" t="n">
        <v>0</v>
      </c>
      <c r="K119" t="n">
        <v>0</v>
      </c>
      <c r="L119" t="n">
        <v>0</v>
      </c>
      <c r="M119" t="n">
        <v>0</v>
      </c>
      <c r="N119" t="n">
        <v>0</v>
      </c>
      <c r="O119" t="n">
        <v>0</v>
      </c>
      <c r="P119" t="n">
        <v>0</v>
      </c>
      <c r="Q119" t="n">
        <v>0</v>
      </c>
      <c r="R119" s="2" t="inlineStr"/>
    </row>
    <row r="120" ht="15" customHeight="1">
      <c r="A120" t="inlineStr">
        <is>
          <t>A 14782-2024</t>
        </is>
      </c>
      <c r="B120" s="1" t="n">
        <v>45397</v>
      </c>
      <c r="C120" s="1" t="n">
        <v>46197</v>
      </c>
      <c r="D120" t="inlineStr">
        <is>
          <t>STOCKHOLMS LÄN</t>
        </is>
      </c>
      <c r="E120" t="inlineStr">
        <is>
          <t>VALLENTUNA</t>
        </is>
      </c>
      <c r="G120" t="n">
        <v>3.1</v>
      </c>
      <c r="H120" t="n">
        <v>0</v>
      </c>
      <c r="I120" t="n">
        <v>0</v>
      </c>
      <c r="J120" t="n">
        <v>0</v>
      </c>
      <c r="K120" t="n">
        <v>0</v>
      </c>
      <c r="L120" t="n">
        <v>0</v>
      </c>
      <c r="M120" t="n">
        <v>0</v>
      </c>
      <c r="N120" t="n">
        <v>0</v>
      </c>
      <c r="O120" t="n">
        <v>0</v>
      </c>
      <c r="P120" t="n">
        <v>0</v>
      </c>
      <c r="Q120" t="n">
        <v>0</v>
      </c>
      <c r="R120" s="2" t="inlineStr"/>
    </row>
    <row r="121" ht="15" customHeight="1">
      <c r="A121" t="inlineStr">
        <is>
          <t>A 1385-2024</t>
        </is>
      </c>
      <c r="B121" s="1" t="n">
        <v>45303</v>
      </c>
      <c r="C121" s="1" t="n">
        <v>46197</v>
      </c>
      <c r="D121" t="inlineStr">
        <is>
          <t>STOCKHOLMS LÄN</t>
        </is>
      </c>
      <c r="E121" t="inlineStr">
        <is>
          <t>VALLENTUNA</t>
        </is>
      </c>
      <c r="G121" t="n">
        <v>2.6</v>
      </c>
      <c r="H121" t="n">
        <v>0</v>
      </c>
      <c r="I121" t="n">
        <v>0</v>
      </c>
      <c r="J121" t="n">
        <v>0</v>
      </c>
      <c r="K121" t="n">
        <v>0</v>
      </c>
      <c r="L121" t="n">
        <v>0</v>
      </c>
      <c r="M121" t="n">
        <v>0</v>
      </c>
      <c r="N121" t="n">
        <v>0</v>
      </c>
      <c r="O121" t="n">
        <v>0</v>
      </c>
      <c r="P121" t="n">
        <v>0</v>
      </c>
      <c r="Q121" t="n">
        <v>0</v>
      </c>
      <c r="R121" s="2" t="inlineStr"/>
    </row>
    <row r="122" ht="15" customHeight="1">
      <c r="A122" t="inlineStr">
        <is>
          <t>A 14775-2024</t>
        </is>
      </c>
      <c r="B122" s="1" t="n">
        <v>45397</v>
      </c>
      <c r="C122" s="1" t="n">
        <v>46197</v>
      </c>
      <c r="D122" t="inlineStr">
        <is>
          <t>STOCKHOLMS LÄN</t>
        </is>
      </c>
      <c r="E122" t="inlineStr">
        <is>
          <t>VALLENTUNA</t>
        </is>
      </c>
      <c r="G122" t="n">
        <v>1.7</v>
      </c>
      <c r="H122" t="n">
        <v>0</v>
      </c>
      <c r="I122" t="n">
        <v>0</v>
      </c>
      <c r="J122" t="n">
        <v>0</v>
      </c>
      <c r="K122" t="n">
        <v>0</v>
      </c>
      <c r="L122" t="n">
        <v>0</v>
      </c>
      <c r="M122" t="n">
        <v>0</v>
      </c>
      <c r="N122" t="n">
        <v>0</v>
      </c>
      <c r="O122" t="n">
        <v>0</v>
      </c>
      <c r="P122" t="n">
        <v>0</v>
      </c>
      <c r="Q122" t="n">
        <v>0</v>
      </c>
      <c r="R122" s="2" t="inlineStr"/>
    </row>
    <row r="123" ht="15" customHeight="1">
      <c r="A123" t="inlineStr">
        <is>
          <t>A 17411-2023</t>
        </is>
      </c>
      <c r="B123" s="1" t="n">
        <v>45035</v>
      </c>
      <c r="C123" s="1" t="n">
        <v>46197</v>
      </c>
      <c r="D123" t="inlineStr">
        <is>
          <t>STOCKHOLMS LÄN</t>
        </is>
      </c>
      <c r="E123" t="inlineStr">
        <is>
          <t>VALLENTUNA</t>
        </is>
      </c>
      <c r="G123" t="n">
        <v>0.7</v>
      </c>
      <c r="H123" t="n">
        <v>0</v>
      </c>
      <c r="I123" t="n">
        <v>0</v>
      </c>
      <c r="J123" t="n">
        <v>0</v>
      </c>
      <c r="K123" t="n">
        <v>0</v>
      </c>
      <c r="L123" t="n">
        <v>0</v>
      </c>
      <c r="M123" t="n">
        <v>0</v>
      </c>
      <c r="N123" t="n">
        <v>0</v>
      </c>
      <c r="O123" t="n">
        <v>0</v>
      </c>
      <c r="P123" t="n">
        <v>0</v>
      </c>
      <c r="Q123" t="n">
        <v>0</v>
      </c>
      <c r="R123" s="2" t="inlineStr"/>
    </row>
    <row r="124" ht="15" customHeight="1">
      <c r="A124" t="inlineStr">
        <is>
          <t>A 38102-2024</t>
        </is>
      </c>
      <c r="B124" s="1" t="n">
        <v>45545</v>
      </c>
      <c r="C124" s="1" t="n">
        <v>46197</v>
      </c>
      <c r="D124" t="inlineStr">
        <is>
          <t>STOCKHOLMS LÄN</t>
        </is>
      </c>
      <c r="E124" t="inlineStr">
        <is>
          <t>VALLENTUNA</t>
        </is>
      </c>
      <c r="G124" t="n">
        <v>3.2</v>
      </c>
      <c r="H124" t="n">
        <v>0</v>
      </c>
      <c r="I124" t="n">
        <v>0</v>
      </c>
      <c r="J124" t="n">
        <v>0</v>
      </c>
      <c r="K124" t="n">
        <v>0</v>
      </c>
      <c r="L124" t="n">
        <v>0</v>
      </c>
      <c r="M124" t="n">
        <v>0</v>
      </c>
      <c r="N124" t="n">
        <v>0</v>
      </c>
      <c r="O124" t="n">
        <v>0</v>
      </c>
      <c r="P124" t="n">
        <v>0</v>
      </c>
      <c r="Q124" t="n">
        <v>0</v>
      </c>
      <c r="R124" s="2" t="inlineStr"/>
    </row>
    <row r="125" ht="15" customHeight="1">
      <c r="A125" t="inlineStr">
        <is>
          <t>A 17340-2025</t>
        </is>
      </c>
      <c r="B125" s="1" t="n">
        <v>45756</v>
      </c>
      <c r="C125" s="1" t="n">
        <v>46197</v>
      </c>
      <c r="D125" t="inlineStr">
        <is>
          <t>STOCKHOLMS LÄN</t>
        </is>
      </c>
      <c r="E125" t="inlineStr">
        <is>
          <t>VALLENTUNA</t>
        </is>
      </c>
      <c r="F125" t="inlineStr">
        <is>
          <t>Övriga Aktiebolag</t>
        </is>
      </c>
      <c r="G125" t="n">
        <v>2.6</v>
      </c>
      <c r="H125" t="n">
        <v>0</v>
      </c>
      <c r="I125" t="n">
        <v>0</v>
      </c>
      <c r="J125" t="n">
        <v>0</v>
      </c>
      <c r="K125" t="n">
        <v>0</v>
      </c>
      <c r="L125" t="n">
        <v>0</v>
      </c>
      <c r="M125" t="n">
        <v>0</v>
      </c>
      <c r="N125" t="n">
        <v>0</v>
      </c>
      <c r="O125" t="n">
        <v>0</v>
      </c>
      <c r="P125" t="n">
        <v>0</v>
      </c>
      <c r="Q125" t="n">
        <v>0</v>
      </c>
      <c r="R125" s="2" t="inlineStr"/>
    </row>
    <row r="126" ht="15" customHeight="1">
      <c r="A126" t="inlineStr">
        <is>
          <t>A 20791-2025</t>
        </is>
      </c>
      <c r="B126" s="1" t="n">
        <v>45776</v>
      </c>
      <c r="C126" s="1" t="n">
        <v>46197</v>
      </c>
      <c r="D126" t="inlineStr">
        <is>
          <t>STOCKHOLMS LÄN</t>
        </is>
      </c>
      <c r="E126" t="inlineStr">
        <is>
          <t>VALLENTUNA</t>
        </is>
      </c>
      <c r="G126" t="n">
        <v>1.5</v>
      </c>
      <c r="H126" t="n">
        <v>0</v>
      </c>
      <c r="I126" t="n">
        <v>0</v>
      </c>
      <c r="J126" t="n">
        <v>0</v>
      </c>
      <c r="K126" t="n">
        <v>0</v>
      </c>
      <c r="L126" t="n">
        <v>0</v>
      </c>
      <c r="M126" t="n">
        <v>0</v>
      </c>
      <c r="N126" t="n">
        <v>0</v>
      </c>
      <c r="O126" t="n">
        <v>0</v>
      </c>
      <c r="P126" t="n">
        <v>0</v>
      </c>
      <c r="Q126" t="n">
        <v>0</v>
      </c>
      <c r="R126" s="2" t="inlineStr"/>
    </row>
    <row r="127" ht="15" customHeight="1">
      <c r="A127" t="inlineStr">
        <is>
          <t>A 10073-2024</t>
        </is>
      </c>
      <c r="B127" s="1" t="n">
        <v>45364</v>
      </c>
      <c r="C127" s="1" t="n">
        <v>46197</v>
      </c>
      <c r="D127" t="inlineStr">
        <is>
          <t>STOCKHOLMS LÄN</t>
        </is>
      </c>
      <c r="E127" t="inlineStr">
        <is>
          <t>VALLENTUNA</t>
        </is>
      </c>
      <c r="G127" t="n">
        <v>1.1</v>
      </c>
      <c r="H127" t="n">
        <v>0</v>
      </c>
      <c r="I127" t="n">
        <v>0</v>
      </c>
      <c r="J127" t="n">
        <v>0</v>
      </c>
      <c r="K127" t="n">
        <v>0</v>
      </c>
      <c r="L127" t="n">
        <v>0</v>
      </c>
      <c r="M127" t="n">
        <v>0</v>
      </c>
      <c r="N127" t="n">
        <v>0</v>
      </c>
      <c r="O127" t="n">
        <v>0</v>
      </c>
      <c r="P127" t="n">
        <v>0</v>
      </c>
      <c r="Q127" t="n">
        <v>0</v>
      </c>
      <c r="R127" s="2" t="inlineStr"/>
    </row>
    <row r="128" ht="15" customHeight="1">
      <c r="A128" t="inlineStr">
        <is>
          <t>A 12621-2024</t>
        </is>
      </c>
      <c r="B128" s="1" t="n">
        <v>45383</v>
      </c>
      <c r="C128" s="1" t="n">
        <v>46197</v>
      </c>
      <c r="D128" t="inlineStr">
        <is>
          <t>STOCKHOLMS LÄN</t>
        </is>
      </c>
      <c r="E128" t="inlineStr">
        <is>
          <t>VALLENTUNA</t>
        </is>
      </c>
      <c r="G128" t="n">
        <v>4.4</v>
      </c>
      <c r="H128" t="n">
        <v>0</v>
      </c>
      <c r="I128" t="n">
        <v>0</v>
      </c>
      <c r="J128" t="n">
        <v>0</v>
      </c>
      <c r="K128" t="n">
        <v>0</v>
      </c>
      <c r="L128" t="n">
        <v>0</v>
      </c>
      <c r="M128" t="n">
        <v>0</v>
      </c>
      <c r="N128" t="n">
        <v>0</v>
      </c>
      <c r="O128" t="n">
        <v>0</v>
      </c>
      <c r="P128" t="n">
        <v>0</v>
      </c>
      <c r="Q128" t="n">
        <v>0</v>
      </c>
      <c r="R128" s="2" t="inlineStr"/>
    </row>
    <row r="129" ht="15" customHeight="1">
      <c r="A129" t="inlineStr">
        <is>
          <t>A 46381-2023</t>
        </is>
      </c>
      <c r="B129" s="1" t="n">
        <v>45193</v>
      </c>
      <c r="C129" s="1" t="n">
        <v>46197</v>
      </c>
      <c r="D129" t="inlineStr">
        <is>
          <t>STOCKHOLMS LÄN</t>
        </is>
      </c>
      <c r="E129" t="inlineStr">
        <is>
          <t>VALLENTUNA</t>
        </is>
      </c>
      <c r="G129" t="n">
        <v>2.9</v>
      </c>
      <c r="H129" t="n">
        <v>0</v>
      </c>
      <c r="I129" t="n">
        <v>0</v>
      </c>
      <c r="J129" t="n">
        <v>0</v>
      </c>
      <c r="K129" t="n">
        <v>0</v>
      </c>
      <c r="L129" t="n">
        <v>0</v>
      </c>
      <c r="M129" t="n">
        <v>0</v>
      </c>
      <c r="N129" t="n">
        <v>0</v>
      </c>
      <c r="O129" t="n">
        <v>0</v>
      </c>
      <c r="P129" t="n">
        <v>0</v>
      </c>
      <c r="Q129" t="n">
        <v>0</v>
      </c>
      <c r="R129" s="2" t="inlineStr"/>
    </row>
    <row r="130">
      <c r="A130" t="inlineStr">
        <is>
          <t>A 61027-2023</t>
        </is>
      </c>
      <c r="B130" s="1" t="n">
        <v>45261</v>
      </c>
      <c r="C130" s="1" t="n">
        <v>46197</v>
      </c>
      <c r="D130" t="inlineStr">
        <is>
          <t>STOCKHOLMS LÄN</t>
        </is>
      </c>
      <c r="E130" t="inlineStr">
        <is>
          <t>VALLENTUNA</t>
        </is>
      </c>
      <c r="G130" t="n">
        <v>7.1</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2026-06-24T00:46:21Z</dcterms:created>
  <dcterms:modified xmlns:dcterms="http://purl.org/dc/terms/" xmlns:xsi="http://www.w3.org/2001/XMLSchema-instance" xsi:type="dcterms:W3CDTF">2026-06-24T00:46:22Z</dcterms:modified>
</cp:coreProperties>
</file>