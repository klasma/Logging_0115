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45758</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45758</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45758</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45758</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45758</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45758</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45758</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45758</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45758</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45758</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45758</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45758</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45758</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45758</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45758</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45758</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45758</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45758</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45758</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45758</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45758</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45758</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45758</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45758</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45758</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45758</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45758</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45758</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45758</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45758</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45758</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45758</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45758</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45758</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45758</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45758</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45758</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45758</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45758</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45758</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45758</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45758</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45758</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45758</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45758</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45758</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45758</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45758</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45758</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45758</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45758</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17348-2025</t>
        </is>
      </c>
      <c r="B59" s="1" t="n">
        <v>45756</v>
      </c>
      <c r="C59" s="1" t="n">
        <v>45758</v>
      </c>
      <c r="D59" t="inlineStr">
        <is>
          <t>STOCKHOLMS LÄN</t>
        </is>
      </c>
      <c r="E59" t="inlineStr">
        <is>
          <t>VALLENTUNA</t>
        </is>
      </c>
      <c r="F59" t="inlineStr">
        <is>
          <t>Övriga Aktiebolag</t>
        </is>
      </c>
      <c r="G59" t="n">
        <v>2.2</v>
      </c>
      <c r="H59" t="n">
        <v>0</v>
      </c>
      <c r="I59" t="n">
        <v>1</v>
      </c>
      <c r="J59" t="n">
        <v>0</v>
      </c>
      <c r="K59" t="n">
        <v>0</v>
      </c>
      <c r="L59" t="n">
        <v>0</v>
      </c>
      <c r="M59" t="n">
        <v>0</v>
      </c>
      <c r="N59" t="n">
        <v>0</v>
      </c>
      <c r="O59" t="n">
        <v>0</v>
      </c>
      <c r="P59" t="n">
        <v>0</v>
      </c>
      <c r="Q59" t="n">
        <v>1</v>
      </c>
      <c r="R59" s="2" t="inlineStr">
        <is>
          <t>Björksplintborre</t>
        </is>
      </c>
      <c r="S59">
        <f>HYPERLINK("https://klasma.github.io/Logging_010115/artfynd/A 17348-2025 artfynd.xlsx", "A 17348-2025")</f>
        <v/>
      </c>
      <c r="T59">
        <f>HYPERLINK("https://klasma.github.io/Logging_010115/kartor/A 17348-2025 karta.png", "A 17348-2025")</f>
        <v/>
      </c>
      <c r="V59">
        <f>HYPERLINK("https://klasma.github.io/Logging_010115/klagomål/A 17348-2025 FSC-klagomål.docx", "A 17348-2025")</f>
        <v/>
      </c>
      <c r="W59">
        <f>HYPERLINK("https://klasma.github.io/Logging_010115/klagomålsmail/A 17348-2025 FSC-klagomål mail.docx", "A 17348-2025")</f>
        <v/>
      </c>
      <c r="X59">
        <f>HYPERLINK("https://klasma.github.io/Logging_010115/tillsyn/A 17348-2025 tillsynsbegäran.docx", "A 17348-2025")</f>
        <v/>
      </c>
      <c r="Y59">
        <f>HYPERLINK("https://klasma.github.io/Logging_010115/tillsynsmail/A 17348-2025 tillsynsbegäran mail.docx", "A 17348-2025")</f>
        <v/>
      </c>
    </row>
    <row r="60" ht="15" customHeight="1">
      <c r="A60" t="inlineStr">
        <is>
          <t>A 17341-2025</t>
        </is>
      </c>
      <c r="B60" s="1" t="n">
        <v>45756</v>
      </c>
      <c r="C60" s="1" t="n">
        <v>45758</v>
      </c>
      <c r="D60" t="inlineStr">
        <is>
          <t>STOCKHOLMS LÄN</t>
        </is>
      </c>
      <c r="E60" t="inlineStr">
        <is>
          <t>VALLENTUNA</t>
        </is>
      </c>
      <c r="F60" t="inlineStr">
        <is>
          <t>Övriga Aktiebolag</t>
        </is>
      </c>
      <c r="G60" t="n">
        <v>5.2</v>
      </c>
      <c r="H60" t="n">
        <v>0</v>
      </c>
      <c r="I60" t="n">
        <v>1</v>
      </c>
      <c r="J60" t="n">
        <v>0</v>
      </c>
      <c r="K60" t="n">
        <v>0</v>
      </c>
      <c r="L60" t="n">
        <v>0</v>
      </c>
      <c r="M60" t="n">
        <v>0</v>
      </c>
      <c r="N60" t="n">
        <v>0</v>
      </c>
      <c r="O60" t="n">
        <v>0</v>
      </c>
      <c r="P60" t="n">
        <v>0</v>
      </c>
      <c r="Q60" t="n">
        <v>1</v>
      </c>
      <c r="R60" s="2" t="inlineStr">
        <is>
          <t>Björksplintborre</t>
        </is>
      </c>
      <c r="S60">
        <f>HYPERLINK("https://klasma.github.io/Logging_010115/artfynd/A 17341-2025 artfynd.xlsx", "A 17341-2025")</f>
        <v/>
      </c>
      <c r="T60">
        <f>HYPERLINK("https://klasma.github.io/Logging_010115/kartor/A 17341-2025 karta.png", "A 17341-2025")</f>
        <v/>
      </c>
      <c r="V60">
        <f>HYPERLINK("https://klasma.github.io/Logging_010115/klagomål/A 17341-2025 FSC-klagomål.docx", "A 17341-2025")</f>
        <v/>
      </c>
      <c r="W60">
        <f>HYPERLINK("https://klasma.github.io/Logging_010115/klagomålsmail/A 17341-2025 FSC-klagomål mail.docx", "A 17341-2025")</f>
        <v/>
      </c>
      <c r="X60">
        <f>HYPERLINK("https://klasma.github.io/Logging_010115/tillsyn/A 17341-2025 tillsynsbegäran.docx", "A 17341-2025")</f>
        <v/>
      </c>
      <c r="Y60">
        <f>HYPERLINK("https://klasma.github.io/Logging_010115/tillsynsmail/A 17341-2025 tillsynsbegäran mail.docx", "A 17341-2025")</f>
        <v/>
      </c>
    </row>
    <row r="61" ht="15" customHeight="1">
      <c r="A61" t="inlineStr">
        <is>
          <t>A 19198-2019</t>
        </is>
      </c>
      <c r="B61" s="1" t="n">
        <v>43564</v>
      </c>
      <c r="C61" s="1" t="n">
        <v>45758</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45758</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45758</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45758</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45758</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45758</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45758</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45758</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45758</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45758</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45758</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45758</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45758</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45758</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45758</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45758</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45758</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45758</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45758</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45758</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45758</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45758</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45758</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45758</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45758</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45758</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45758</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45758</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45758</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45758</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45758</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45758</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45758</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45758</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45758</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45758</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45758</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45758</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45758</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45758</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45758</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45758</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45758</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45758</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45758</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45758</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45758</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45758</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45758</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45758</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45758</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45758</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45758</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45758</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45758</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45758</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45758</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45758</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45758</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45758</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45758</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45758</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45758</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45758</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45758</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45758</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45758</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45758</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45758</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45758</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45758</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45758</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45758</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45758</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45758</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45758</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45758</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45758</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45758</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45758</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45758</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45758</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45758</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45758</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45758</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45758</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45758</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45758</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45758</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45758</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45758</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45758</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45758</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45758</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45758</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45758</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45758</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45758</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45758</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45758</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45758</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45758</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45758</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45758</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45758</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45758</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45758</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45758</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45758</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45758</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45758</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45758</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45758</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45758</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45758</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45758</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45758</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45758</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45758</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45758</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45758</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45758</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45758</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45758</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45758</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45758</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45758</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45758</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45758</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45758</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45758</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45758</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45758</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45758</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45758</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45758</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45758</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45758</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45758</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45758</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45758</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45758</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45758</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45758</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45758</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45758</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45758</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45758</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45758</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45758</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45758</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45758</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45758</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45758</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45758</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45758</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45758</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45758</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45758</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45758</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45758</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45758</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45758</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45758</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45758</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45758</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45758</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45758</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45758</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45758</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45758</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45758</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45758</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45758</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45758</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45758</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45758</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45758</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45758</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45758</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45758</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45758</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45758</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45758</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45758</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45758</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45758</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45758</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45758</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45758</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45758</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45758</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45758</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45758</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45758</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45758</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45758</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45758</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45758</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45758</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45758</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45758</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45758</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45758</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45758</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45758</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45758</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45758</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45758</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45758</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45758</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45758</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45758</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45758</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45758</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45758</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45758</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45758</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45758</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45758</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45758</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45758</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45758</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45758</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45758</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45758</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45758</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45758</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45758</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c r="A290" t="inlineStr">
        <is>
          <t>A 17342-2025</t>
        </is>
      </c>
      <c r="B290" s="1" t="n">
        <v>45756</v>
      </c>
      <c r="C290" s="1" t="n">
        <v>45758</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2025-04-11T16:41:01Z</dcterms:created>
  <dcterms:modified xmlns:dcterms="http://purl.org/dc/terms/" xmlns:xsi="http://www.w3.org/2001/XMLSchema-instance" xsi:type="dcterms:W3CDTF">2025-04-11T16:41:01Z</dcterms:modified>
</cp:coreProperties>
</file>