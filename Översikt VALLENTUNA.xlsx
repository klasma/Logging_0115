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46130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46130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9807-2026</t>
        </is>
      </c>
      <c r="B18" s="1" t="n">
        <v>46072</v>
      </c>
      <c r="C18" s="1" t="n">
        <v>46130</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46130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46130</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46130</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46130</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46130</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46130</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46130</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46130</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46130</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46130</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17348-2025</t>
        </is>
      </c>
      <c r="B31" s="1" t="n">
        <v>45756</v>
      </c>
      <c r="C31" s="1" t="n">
        <v>46130</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22936-2025</t>
        </is>
      </c>
      <c r="B32" s="1" t="n">
        <v>45790.45738425926</v>
      </c>
      <c r="C32" s="1" t="n">
        <v>46130</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22830-2024</t>
        </is>
      </c>
      <c r="B33" s="1" t="n">
        <v>45448.56583333333</v>
      </c>
      <c r="C33" s="1" t="n">
        <v>46130</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46130</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7890-2023</t>
        </is>
      </c>
      <c r="B35" s="1" t="n">
        <v>44973</v>
      </c>
      <c r="C35" s="1" t="n">
        <v>46130</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63543-2025</t>
        </is>
      </c>
      <c r="B36" s="1" t="n">
        <v>46013.59207175926</v>
      </c>
      <c r="C36" s="1" t="n">
        <v>46130</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46130</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12401-2026</t>
        </is>
      </c>
      <c r="B38" s="1" t="n">
        <v>46090</v>
      </c>
      <c r="C38" s="1" t="n">
        <v>46130</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21-2022</t>
        </is>
      </c>
      <c r="B39" s="1" t="n">
        <v>44560</v>
      </c>
      <c r="C39" s="1" t="n">
        <v>46130</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46130</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34458-2023</t>
        </is>
      </c>
      <c r="B41" s="1" t="n">
        <v>45139</v>
      </c>
      <c r="C41" s="1" t="n">
        <v>46130</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34460-2023</t>
        </is>
      </c>
      <c r="B42" s="1" t="n">
        <v>45139</v>
      </c>
      <c r="C42" s="1" t="n">
        <v>46130</v>
      </c>
      <c r="D42" t="inlineStr">
        <is>
          <t>STOCKHOLMS LÄN</t>
        </is>
      </c>
      <c r="E42" t="inlineStr">
        <is>
          <t>VALLENTUNA</t>
        </is>
      </c>
      <c r="G42" t="n">
        <v>1.7</v>
      </c>
      <c r="H42" t="n">
        <v>0</v>
      </c>
      <c r="I42" t="n">
        <v>0</v>
      </c>
      <c r="J42" t="n">
        <v>1</v>
      </c>
      <c r="K42" t="n">
        <v>0</v>
      </c>
      <c r="L42" t="n">
        <v>0</v>
      </c>
      <c r="M42" t="n">
        <v>0</v>
      </c>
      <c r="N42" t="n">
        <v>0</v>
      </c>
      <c r="O42" t="n">
        <v>1</v>
      </c>
      <c r="P42" t="n">
        <v>0</v>
      </c>
      <c r="Q42" t="n">
        <v>1</v>
      </c>
      <c r="R42" s="2" t="inlineStr">
        <is>
          <t>Orange taggsvamp</t>
        </is>
      </c>
      <c r="S42">
        <f>HYPERLINK("https://klasma.github.io/Logging_0115/artfynd/A 34460-2023 artfynd.xlsx", "A 34460-2023")</f>
        <v/>
      </c>
      <c r="T42">
        <f>HYPERLINK("https://klasma.github.io/Logging_0115/kartor/A 34460-2023 karta.png", "A 34460-2023")</f>
        <v/>
      </c>
      <c r="V42">
        <f>HYPERLINK("https://klasma.github.io/Logging_0115/klagomål/A 34460-2023 FSC-klagomål.docx", "A 34460-2023")</f>
        <v/>
      </c>
      <c r="W42">
        <f>HYPERLINK("https://klasma.github.io/Logging_0115/klagomålsmail/A 34460-2023 FSC-klagomål mail.docx", "A 34460-2023")</f>
        <v/>
      </c>
      <c r="X42">
        <f>HYPERLINK("https://klasma.github.io/Logging_0115/tillsyn/A 34460-2023 tillsynsbegäran.docx", "A 34460-2023")</f>
        <v/>
      </c>
      <c r="Y42">
        <f>HYPERLINK("https://klasma.github.io/Logging_0115/tillsynsmail/A 34460-2023 tillsynsbegäran mail.docx", "A 34460-2023")</f>
        <v/>
      </c>
    </row>
    <row r="43" ht="15" customHeight="1">
      <c r="A43" t="inlineStr">
        <is>
          <t>A 20612-2021</t>
        </is>
      </c>
      <c r="B43" s="1" t="n">
        <v>44315</v>
      </c>
      <c r="C43" s="1" t="n">
        <v>46130</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46130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46130</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46130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46130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46130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46130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46130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46130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46130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46130</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46130</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46130</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46130</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46130</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46130</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46130</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46130</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46130</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46130</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46130</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46130</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46130</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46130</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46130</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46130</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46130</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25984-2025</t>
        </is>
      </c>
      <c r="B70" s="1" t="n">
        <v>45804.64016203704</v>
      </c>
      <c r="C70" s="1" t="n">
        <v>46130</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48068-2021</t>
        </is>
      </c>
      <c r="B71" s="1" t="n">
        <v>44449.42270833333</v>
      </c>
      <c r="C71" s="1" t="n">
        <v>46130</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27868-2025</t>
        </is>
      </c>
      <c r="B72" s="1" t="n">
        <v>45817</v>
      </c>
      <c r="C72" s="1" t="n">
        <v>46130</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3937-2022</t>
        </is>
      </c>
      <c r="B73" s="1" t="n">
        <v>44587</v>
      </c>
      <c r="C73" s="1" t="n">
        <v>46130</v>
      </c>
      <c r="D73" t="inlineStr">
        <is>
          <t>STOCKHOLMS LÄN</t>
        </is>
      </c>
      <c r="E73" t="inlineStr">
        <is>
          <t>VALLENTUNA</t>
        </is>
      </c>
      <c r="G73" t="n">
        <v>6.6</v>
      </c>
      <c r="H73" t="n">
        <v>0</v>
      </c>
      <c r="I73" t="n">
        <v>0</v>
      </c>
      <c r="J73" t="n">
        <v>0</v>
      </c>
      <c r="K73" t="n">
        <v>0</v>
      </c>
      <c r="L73" t="n">
        <v>0</v>
      </c>
      <c r="M73" t="n">
        <v>0</v>
      </c>
      <c r="N73" t="n">
        <v>0</v>
      </c>
      <c r="O73" t="n">
        <v>0</v>
      </c>
      <c r="P73" t="n">
        <v>0</v>
      </c>
      <c r="Q73" t="n">
        <v>0</v>
      </c>
      <c r="R73" s="2" t="inlineStr"/>
    </row>
    <row r="74" ht="15" customHeight="1">
      <c r="A74" t="inlineStr">
        <is>
          <t>A 54466-2025</t>
        </is>
      </c>
      <c r="B74" s="1" t="n">
        <v>45965.56984953704</v>
      </c>
      <c r="C74" s="1" t="n">
        <v>46130</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54460-2025</t>
        </is>
      </c>
      <c r="B75" s="1" t="n">
        <v>45965.56219907408</v>
      </c>
      <c r="C75" s="1" t="n">
        <v>46130</v>
      </c>
      <c r="D75" t="inlineStr">
        <is>
          <t>STOCKHOLMS LÄN</t>
        </is>
      </c>
      <c r="E75" t="inlineStr">
        <is>
          <t>VALLENTUNA</t>
        </is>
      </c>
      <c r="G75" t="n">
        <v>22.9</v>
      </c>
      <c r="H75" t="n">
        <v>0</v>
      </c>
      <c r="I75" t="n">
        <v>0</v>
      </c>
      <c r="J75" t="n">
        <v>0</v>
      </c>
      <c r="K75" t="n">
        <v>0</v>
      </c>
      <c r="L75" t="n">
        <v>0</v>
      </c>
      <c r="M75" t="n">
        <v>0</v>
      </c>
      <c r="N75" t="n">
        <v>0</v>
      </c>
      <c r="O75" t="n">
        <v>0</v>
      </c>
      <c r="P75" t="n">
        <v>0</v>
      </c>
      <c r="Q75" t="n">
        <v>0</v>
      </c>
      <c r="R75" s="2" t="inlineStr"/>
    </row>
    <row r="76" ht="15" customHeight="1">
      <c r="A76" t="inlineStr">
        <is>
          <t>A 60818-2023</t>
        </is>
      </c>
      <c r="B76" s="1" t="n">
        <v>45259</v>
      </c>
      <c r="C76" s="1" t="n">
        <v>46130</v>
      </c>
      <c r="D76" t="inlineStr">
        <is>
          <t>STOCKHOLMS LÄN</t>
        </is>
      </c>
      <c r="E76" t="inlineStr">
        <is>
          <t>VALLENTUNA</t>
        </is>
      </c>
      <c r="G76" t="n">
        <v>9.4</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46130</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7264-2022</t>
        </is>
      </c>
      <c r="B78" s="1" t="n">
        <v>44606</v>
      </c>
      <c r="C78" s="1" t="n">
        <v>46130</v>
      </c>
      <c r="D78" t="inlineStr">
        <is>
          <t>STOCKHOLMS LÄN</t>
        </is>
      </c>
      <c r="E78" t="inlineStr">
        <is>
          <t>VALLENTUNA</t>
        </is>
      </c>
      <c r="G78" t="n">
        <v>2.4</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46130</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46130</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30902-2025</t>
        </is>
      </c>
      <c r="B81" s="1" t="n">
        <v>45832.36104166666</v>
      </c>
      <c r="C81" s="1" t="n">
        <v>46130</v>
      </c>
      <c r="D81" t="inlineStr">
        <is>
          <t>STOCKHOLMS LÄN</t>
        </is>
      </c>
      <c r="E81" t="inlineStr">
        <is>
          <t>VALLENTUNA</t>
        </is>
      </c>
      <c r="G81" t="n">
        <v>8.199999999999999</v>
      </c>
      <c r="H81" t="n">
        <v>0</v>
      </c>
      <c r="I81" t="n">
        <v>0</v>
      </c>
      <c r="J81" t="n">
        <v>0</v>
      </c>
      <c r="K81" t="n">
        <v>0</v>
      </c>
      <c r="L81" t="n">
        <v>0</v>
      </c>
      <c r="M81" t="n">
        <v>0</v>
      </c>
      <c r="N81" t="n">
        <v>0</v>
      </c>
      <c r="O81" t="n">
        <v>0</v>
      </c>
      <c r="P81" t="n">
        <v>0</v>
      </c>
      <c r="Q81" t="n">
        <v>0</v>
      </c>
      <c r="R81" s="2" t="inlineStr"/>
    </row>
    <row r="82" ht="15" customHeight="1">
      <c r="A82" t="inlineStr">
        <is>
          <t>A 19356-2025</t>
        </is>
      </c>
      <c r="B82" s="1" t="n">
        <v>45769.62061342593</v>
      </c>
      <c r="C82" s="1" t="n">
        <v>46130</v>
      </c>
      <c r="D82" t="inlineStr">
        <is>
          <t>STOCKHOLMS LÄN</t>
        </is>
      </c>
      <c r="E82" t="inlineStr">
        <is>
          <t>VALLENTUNA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46130</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46130</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24068-2024</t>
        </is>
      </c>
      <c r="B85" s="1" t="n">
        <v>45456</v>
      </c>
      <c r="C85" s="1" t="n">
        <v>46130</v>
      </c>
      <c r="D85" t="inlineStr">
        <is>
          <t>STOCKHOLMS LÄN</t>
        </is>
      </c>
      <c r="E85" t="inlineStr">
        <is>
          <t>VALLENTUNA</t>
        </is>
      </c>
      <c r="G85" t="n">
        <v>7.4</v>
      </c>
      <c r="H85" t="n">
        <v>0</v>
      </c>
      <c r="I85" t="n">
        <v>0</v>
      </c>
      <c r="J85" t="n">
        <v>0</v>
      </c>
      <c r="K85" t="n">
        <v>0</v>
      </c>
      <c r="L85" t="n">
        <v>0</v>
      </c>
      <c r="M85" t="n">
        <v>0</v>
      </c>
      <c r="N85" t="n">
        <v>0</v>
      </c>
      <c r="O85" t="n">
        <v>0</v>
      </c>
      <c r="P85" t="n">
        <v>0</v>
      </c>
      <c r="Q85" t="n">
        <v>0</v>
      </c>
      <c r="R85" s="2" t="inlineStr"/>
    </row>
    <row r="86" ht="15" customHeight="1">
      <c r="A86" t="inlineStr">
        <is>
          <t>A 28431-2025</t>
        </is>
      </c>
      <c r="B86" s="1" t="n">
        <v>45819.38072916667</v>
      </c>
      <c r="C86" s="1" t="n">
        <v>46130</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61442-2024</t>
        </is>
      </c>
      <c r="B87" s="1" t="n">
        <v>45646.47003472222</v>
      </c>
      <c r="C87" s="1" t="n">
        <v>46130</v>
      </c>
      <c r="D87" t="inlineStr">
        <is>
          <t>STOCKHOLMS LÄN</t>
        </is>
      </c>
      <c r="E87" t="inlineStr">
        <is>
          <t>VALLENTUNA</t>
        </is>
      </c>
      <c r="G87" t="n">
        <v>4.6</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46130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19503-2023</t>
        </is>
      </c>
      <c r="B89" s="1" t="n">
        <v>45050.47333333334</v>
      </c>
      <c r="C89" s="1" t="n">
        <v>46130</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27870-2025</t>
        </is>
      </c>
      <c r="B90" s="1" t="n">
        <v>45817</v>
      </c>
      <c r="C90" s="1" t="n">
        <v>46130</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61646-2025</t>
        </is>
      </c>
      <c r="B91" s="1" t="n">
        <v>46002</v>
      </c>
      <c r="C91" s="1" t="n">
        <v>46130</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21445-2023</t>
        </is>
      </c>
      <c r="B92" s="1" t="n">
        <v>45063</v>
      </c>
      <c r="C92" s="1" t="n">
        <v>46130</v>
      </c>
      <c r="D92" t="inlineStr">
        <is>
          <t>STOCKHOLMS LÄN</t>
        </is>
      </c>
      <c r="E92" t="inlineStr">
        <is>
          <t>VALLENTUNA</t>
        </is>
      </c>
      <c r="G92" t="n">
        <v>3.1</v>
      </c>
      <c r="H92" t="n">
        <v>0</v>
      </c>
      <c r="I92" t="n">
        <v>0</v>
      </c>
      <c r="J92" t="n">
        <v>0</v>
      </c>
      <c r="K92" t="n">
        <v>0</v>
      </c>
      <c r="L92" t="n">
        <v>0</v>
      </c>
      <c r="M92" t="n">
        <v>0</v>
      </c>
      <c r="N92" t="n">
        <v>0</v>
      </c>
      <c r="O92" t="n">
        <v>0</v>
      </c>
      <c r="P92" t="n">
        <v>0</v>
      </c>
      <c r="Q92" t="n">
        <v>0</v>
      </c>
      <c r="R92" s="2" t="inlineStr"/>
    </row>
    <row r="93" ht="15" customHeight="1">
      <c r="A93" t="inlineStr">
        <is>
          <t>A 22683-2023</t>
        </is>
      </c>
      <c r="B93" s="1" t="n">
        <v>45071</v>
      </c>
      <c r="C93" s="1" t="n">
        <v>46130</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24943-2024</t>
        </is>
      </c>
      <c r="B94" s="1" t="n">
        <v>45461.62585648148</v>
      </c>
      <c r="C94" s="1" t="n">
        <v>46130</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46130</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414-2026</t>
        </is>
      </c>
      <c r="B96" s="1" t="n">
        <v>46028.76050925926</v>
      </c>
      <c r="C96" s="1" t="n">
        <v>46130</v>
      </c>
      <c r="D96" t="inlineStr">
        <is>
          <t>STOCKHOLMS LÄN</t>
        </is>
      </c>
      <c r="E96" t="inlineStr">
        <is>
          <t>VALLENTUNA</t>
        </is>
      </c>
      <c r="G96" t="n">
        <v>2.6</v>
      </c>
      <c r="H96" t="n">
        <v>0</v>
      </c>
      <c r="I96" t="n">
        <v>0</v>
      </c>
      <c r="J96" t="n">
        <v>0</v>
      </c>
      <c r="K96" t="n">
        <v>0</v>
      </c>
      <c r="L96" t="n">
        <v>0</v>
      </c>
      <c r="M96" t="n">
        <v>0</v>
      </c>
      <c r="N96" t="n">
        <v>0</v>
      </c>
      <c r="O96" t="n">
        <v>0</v>
      </c>
      <c r="P96" t="n">
        <v>0</v>
      </c>
      <c r="Q96" t="n">
        <v>0</v>
      </c>
      <c r="R96" s="2" t="inlineStr"/>
    </row>
    <row r="97" ht="15" customHeight="1">
      <c r="A97" t="inlineStr">
        <is>
          <t>A 26390-2023</t>
        </is>
      </c>
      <c r="B97" s="1" t="n">
        <v>45086</v>
      </c>
      <c r="C97" s="1" t="n">
        <v>46130</v>
      </c>
      <c r="D97" t="inlineStr">
        <is>
          <t>STOCKHOLMS LÄN</t>
        </is>
      </c>
      <c r="E97" t="inlineStr">
        <is>
          <t>VALLENTUNA</t>
        </is>
      </c>
      <c r="G97" t="n">
        <v>1.6</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46130</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12396-2026</t>
        </is>
      </c>
      <c r="B99" s="1" t="n">
        <v>46090.38930555555</v>
      </c>
      <c r="C99" s="1" t="n">
        <v>46130</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12400-2026</t>
        </is>
      </c>
      <c r="B100" s="1" t="n">
        <v>46090.39423611111</v>
      </c>
      <c r="C100" s="1" t="n">
        <v>46130</v>
      </c>
      <c r="D100" t="inlineStr">
        <is>
          <t>STOCKHOLMS LÄN</t>
        </is>
      </c>
      <c r="E100" t="inlineStr">
        <is>
          <t>VALLENTUNA</t>
        </is>
      </c>
      <c r="G100" t="n">
        <v>1.9</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46130</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46130</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12819-2026</t>
        </is>
      </c>
      <c r="B103" s="1" t="n">
        <v>46092.40896990741</v>
      </c>
      <c r="C103" s="1" t="n">
        <v>46130</v>
      </c>
      <c r="D103" t="inlineStr">
        <is>
          <t>STOCKHOLMS LÄN</t>
        </is>
      </c>
      <c r="E103" t="inlineStr">
        <is>
          <t>VALLENTUNA</t>
        </is>
      </c>
      <c r="G103" t="n">
        <v>3.5</v>
      </c>
      <c r="H103" t="n">
        <v>0</v>
      </c>
      <c r="I103" t="n">
        <v>0</v>
      </c>
      <c r="J103" t="n">
        <v>0</v>
      </c>
      <c r="K103" t="n">
        <v>0</v>
      </c>
      <c r="L103" t="n">
        <v>0</v>
      </c>
      <c r="M103" t="n">
        <v>0</v>
      </c>
      <c r="N103" t="n">
        <v>0</v>
      </c>
      <c r="O103" t="n">
        <v>0</v>
      </c>
      <c r="P103" t="n">
        <v>0</v>
      </c>
      <c r="Q103" t="n">
        <v>0</v>
      </c>
      <c r="R103" s="2" t="inlineStr"/>
    </row>
    <row r="104" ht="15" customHeight="1">
      <c r="A104" t="inlineStr">
        <is>
          <t>A 12822-2026</t>
        </is>
      </c>
      <c r="B104" s="1" t="n">
        <v>46092.41358796296</v>
      </c>
      <c r="C104" s="1" t="n">
        <v>46130</v>
      </c>
      <c r="D104" t="inlineStr">
        <is>
          <t>STOCKHOLMS LÄN</t>
        </is>
      </c>
      <c r="E104" t="inlineStr">
        <is>
          <t>VALLENTUNA</t>
        </is>
      </c>
      <c r="G104" t="n">
        <v>2.7</v>
      </c>
      <c r="H104" t="n">
        <v>0</v>
      </c>
      <c r="I104" t="n">
        <v>0</v>
      </c>
      <c r="J104" t="n">
        <v>0</v>
      </c>
      <c r="K104" t="n">
        <v>0</v>
      </c>
      <c r="L104" t="n">
        <v>0</v>
      </c>
      <c r="M104" t="n">
        <v>0</v>
      </c>
      <c r="N104" t="n">
        <v>0</v>
      </c>
      <c r="O104" t="n">
        <v>0</v>
      </c>
      <c r="P104" t="n">
        <v>0</v>
      </c>
      <c r="Q104" t="n">
        <v>0</v>
      </c>
      <c r="R104" s="2" t="inlineStr"/>
    </row>
    <row r="105" ht="15" customHeight="1">
      <c r="A105" t="inlineStr">
        <is>
          <t>A 12828-2026</t>
        </is>
      </c>
      <c r="B105" s="1" t="n">
        <v>46092.41760416667</v>
      </c>
      <c r="C105" s="1" t="n">
        <v>46130</v>
      </c>
      <c r="D105" t="inlineStr">
        <is>
          <t>STOCKHOLMS LÄN</t>
        </is>
      </c>
      <c r="E105" t="inlineStr">
        <is>
          <t>VALLENTUNA</t>
        </is>
      </c>
      <c r="G105" t="n">
        <v>1</v>
      </c>
      <c r="H105" t="n">
        <v>0</v>
      </c>
      <c r="I105" t="n">
        <v>0</v>
      </c>
      <c r="J105" t="n">
        <v>0</v>
      </c>
      <c r="K105" t="n">
        <v>0</v>
      </c>
      <c r="L105" t="n">
        <v>0</v>
      </c>
      <c r="M105" t="n">
        <v>0</v>
      </c>
      <c r="N105" t="n">
        <v>0</v>
      </c>
      <c r="O105" t="n">
        <v>0</v>
      </c>
      <c r="P105" t="n">
        <v>0</v>
      </c>
      <c r="Q105" t="n">
        <v>0</v>
      </c>
      <c r="R105" s="2" t="inlineStr"/>
    </row>
    <row r="106" ht="15" customHeight="1">
      <c r="A106" t="inlineStr">
        <is>
          <t>A 12830-2026</t>
        </is>
      </c>
      <c r="B106" s="1" t="n">
        <v>46092.42290509259</v>
      </c>
      <c r="C106" s="1" t="n">
        <v>46130</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6298-2026</t>
        </is>
      </c>
      <c r="B107" s="1" t="n">
        <v>46055.5656712963</v>
      </c>
      <c r="C107" s="1" t="n">
        <v>46130</v>
      </c>
      <c r="D107" t="inlineStr">
        <is>
          <t>STOCKHOLMS LÄN</t>
        </is>
      </c>
      <c r="E107" t="inlineStr">
        <is>
          <t>VALLENTUNA</t>
        </is>
      </c>
      <c r="G107" t="n">
        <v>3.3</v>
      </c>
      <c r="H107" t="n">
        <v>0</v>
      </c>
      <c r="I107" t="n">
        <v>0</v>
      </c>
      <c r="J107" t="n">
        <v>0</v>
      </c>
      <c r="K107" t="n">
        <v>0</v>
      </c>
      <c r="L107" t="n">
        <v>0</v>
      </c>
      <c r="M107" t="n">
        <v>0</v>
      </c>
      <c r="N107" t="n">
        <v>0</v>
      </c>
      <c r="O107" t="n">
        <v>0</v>
      </c>
      <c r="P107" t="n">
        <v>0</v>
      </c>
      <c r="Q107" t="n">
        <v>0</v>
      </c>
      <c r="R107" s="2" t="inlineStr"/>
    </row>
    <row r="108" ht="15" customHeight="1">
      <c r="A108" t="inlineStr">
        <is>
          <t>A 8565-2025</t>
        </is>
      </c>
      <c r="B108" s="1" t="n">
        <v>45709</v>
      </c>
      <c r="C108" s="1" t="n">
        <v>46130</v>
      </c>
      <c r="D108" t="inlineStr">
        <is>
          <t>STOCKHOLMS LÄN</t>
        </is>
      </c>
      <c r="E108" t="inlineStr">
        <is>
          <t>VALLENTUNA</t>
        </is>
      </c>
      <c r="F108" t="inlineStr">
        <is>
          <t>Kommuner</t>
        </is>
      </c>
      <c r="G108" t="n">
        <v>4.2</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46130</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4803-2024</t>
        </is>
      </c>
      <c r="B110" s="1" t="n">
        <v>45328</v>
      </c>
      <c r="C110" s="1" t="n">
        <v>46130</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46130</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46130</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46130</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46130</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17389-2026</t>
        </is>
      </c>
      <c r="B115" s="1" t="n">
        <v>46119.80603009259</v>
      </c>
      <c r="C115" s="1" t="n">
        <v>46130</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17387-2026</t>
        </is>
      </c>
      <c r="B116" s="1" t="n">
        <v>46119.79578703704</v>
      </c>
      <c r="C116" s="1" t="n">
        <v>46130</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17388-2026</t>
        </is>
      </c>
      <c r="B117" s="1" t="n">
        <v>46119.79952546296</v>
      </c>
      <c r="C117" s="1" t="n">
        <v>46130</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52562-2023</t>
        </is>
      </c>
      <c r="B118" s="1" t="n">
        <v>45225</v>
      </c>
      <c r="C118" s="1" t="n">
        <v>46130</v>
      </c>
      <c r="D118" t="inlineStr">
        <is>
          <t>STOCKHOLMS LÄN</t>
        </is>
      </c>
      <c r="E118" t="inlineStr">
        <is>
          <t>VALLENTUNA</t>
        </is>
      </c>
      <c r="G118" t="n">
        <v>3.4</v>
      </c>
      <c r="H118" t="n">
        <v>0</v>
      </c>
      <c r="I118" t="n">
        <v>0</v>
      </c>
      <c r="J118" t="n">
        <v>0</v>
      </c>
      <c r="K118" t="n">
        <v>0</v>
      </c>
      <c r="L118" t="n">
        <v>0</v>
      </c>
      <c r="M118" t="n">
        <v>0</v>
      </c>
      <c r="N118" t="n">
        <v>0</v>
      </c>
      <c r="O118" t="n">
        <v>0</v>
      </c>
      <c r="P118" t="n">
        <v>0</v>
      </c>
      <c r="Q118" t="n">
        <v>0</v>
      </c>
      <c r="R118" s="2" t="inlineStr"/>
    </row>
    <row r="119" ht="15" customHeight="1">
      <c r="A119" t="inlineStr">
        <is>
          <t>A 4804-2024</t>
        </is>
      </c>
      <c r="B119" s="1" t="n">
        <v>45328</v>
      </c>
      <c r="C119" s="1" t="n">
        <v>46130</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46130</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2318-2024</t>
        </is>
      </c>
      <c r="B121" s="1" t="n">
        <v>45310</v>
      </c>
      <c r="C121" s="1" t="n">
        <v>46130</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61742-2022</t>
        </is>
      </c>
      <c r="B122" s="1" t="n">
        <v>44917</v>
      </c>
      <c r="C122" s="1" t="n">
        <v>46130</v>
      </c>
      <c r="D122" t="inlineStr">
        <is>
          <t>STOCKHOLMS LÄN</t>
        </is>
      </c>
      <c r="E122" t="inlineStr">
        <is>
          <t>VALLENTUNA</t>
        </is>
      </c>
      <c r="G122" t="n">
        <v>0.5</v>
      </c>
      <c r="H122" t="n">
        <v>0</v>
      </c>
      <c r="I122" t="n">
        <v>0</v>
      </c>
      <c r="J122" t="n">
        <v>0</v>
      </c>
      <c r="K122" t="n">
        <v>0</v>
      </c>
      <c r="L122" t="n">
        <v>0</v>
      </c>
      <c r="M122" t="n">
        <v>0</v>
      </c>
      <c r="N122" t="n">
        <v>0</v>
      </c>
      <c r="O122" t="n">
        <v>0</v>
      </c>
      <c r="P122" t="n">
        <v>0</v>
      </c>
      <c r="Q122" t="n">
        <v>0</v>
      </c>
      <c r="R122" s="2" t="inlineStr"/>
    </row>
    <row r="123" ht="15" customHeight="1">
      <c r="A123" t="inlineStr">
        <is>
          <t>A 3698-2022</t>
        </is>
      </c>
      <c r="B123" s="1" t="n">
        <v>44586</v>
      </c>
      <c r="C123" s="1" t="n">
        <v>46130</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46130</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46130</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21614-2022</t>
        </is>
      </c>
      <c r="B126" s="1" t="n">
        <v>44706</v>
      </c>
      <c r="C126" s="1" t="n">
        <v>46130</v>
      </c>
      <c r="D126" t="inlineStr">
        <is>
          <t>STOCKHOLMS LÄN</t>
        </is>
      </c>
      <c r="E126" t="inlineStr">
        <is>
          <t>VALLENTUNA</t>
        </is>
      </c>
      <c r="G126" t="n">
        <v>4</v>
      </c>
      <c r="H126" t="n">
        <v>0</v>
      </c>
      <c r="I126" t="n">
        <v>0</v>
      </c>
      <c r="J126" t="n">
        <v>0</v>
      </c>
      <c r="K126" t="n">
        <v>0</v>
      </c>
      <c r="L126" t="n">
        <v>0</v>
      </c>
      <c r="M126" t="n">
        <v>0</v>
      </c>
      <c r="N126" t="n">
        <v>0</v>
      </c>
      <c r="O126" t="n">
        <v>0</v>
      </c>
      <c r="P126" t="n">
        <v>0</v>
      </c>
      <c r="Q126" t="n">
        <v>0</v>
      </c>
      <c r="R126" s="2" t="inlineStr"/>
    </row>
    <row r="127" ht="15" customHeight="1">
      <c r="A127" t="inlineStr">
        <is>
          <t>A 12585-2023</t>
        </is>
      </c>
      <c r="B127" s="1" t="n">
        <v>45000.41373842592</v>
      </c>
      <c r="C127" s="1" t="n">
        <v>46130</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8787-2024</t>
        </is>
      </c>
      <c r="B128" s="1" t="n">
        <v>45356</v>
      </c>
      <c r="C128" s="1" t="n">
        <v>46130</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34441-2023</t>
        </is>
      </c>
      <c r="B129" s="1" t="n">
        <v>45139</v>
      </c>
      <c r="C129" s="1" t="n">
        <v>46130</v>
      </c>
      <c r="D129" t="inlineStr">
        <is>
          <t>STOCKHOLMS LÄN</t>
        </is>
      </c>
      <c r="E129" t="inlineStr">
        <is>
          <t>VALLENTUNA</t>
        </is>
      </c>
      <c r="G129" t="n">
        <v>1.6</v>
      </c>
      <c r="H129" t="n">
        <v>0</v>
      </c>
      <c r="I129" t="n">
        <v>0</v>
      </c>
      <c r="J129" t="n">
        <v>0</v>
      </c>
      <c r="K129" t="n">
        <v>0</v>
      </c>
      <c r="L129" t="n">
        <v>0</v>
      </c>
      <c r="M129" t="n">
        <v>0</v>
      </c>
      <c r="N129" t="n">
        <v>0</v>
      </c>
      <c r="O129" t="n">
        <v>0</v>
      </c>
      <c r="P129" t="n">
        <v>0</v>
      </c>
      <c r="Q129" t="n">
        <v>0</v>
      </c>
      <c r="R129" s="2" t="inlineStr"/>
    </row>
    <row r="130" ht="15" customHeight="1">
      <c r="A130" t="inlineStr">
        <is>
          <t>A 34445-2023</t>
        </is>
      </c>
      <c r="B130" s="1" t="n">
        <v>45139</v>
      </c>
      <c r="C130" s="1" t="n">
        <v>46130</v>
      </c>
      <c r="D130" t="inlineStr">
        <is>
          <t>STOCKHOLMS LÄN</t>
        </is>
      </c>
      <c r="E130" t="inlineStr">
        <is>
          <t>VALLENTUNA</t>
        </is>
      </c>
      <c r="G130" t="n">
        <v>0.9</v>
      </c>
      <c r="H130" t="n">
        <v>0</v>
      </c>
      <c r="I130" t="n">
        <v>0</v>
      </c>
      <c r="J130" t="n">
        <v>0</v>
      </c>
      <c r="K130" t="n">
        <v>0</v>
      </c>
      <c r="L130" t="n">
        <v>0</v>
      </c>
      <c r="M130" t="n">
        <v>0</v>
      </c>
      <c r="N130" t="n">
        <v>0</v>
      </c>
      <c r="O130" t="n">
        <v>0</v>
      </c>
      <c r="P130" t="n">
        <v>0</v>
      </c>
      <c r="Q130" t="n">
        <v>0</v>
      </c>
      <c r="R130" s="2" t="inlineStr"/>
    </row>
    <row r="131" ht="15" customHeight="1">
      <c r="A131" t="inlineStr">
        <is>
          <t>A 23986-2023</t>
        </is>
      </c>
      <c r="B131" s="1" t="n">
        <v>45078</v>
      </c>
      <c r="C131" s="1" t="n">
        <v>46130</v>
      </c>
      <c r="D131" t="inlineStr">
        <is>
          <t>STOCKHOLMS LÄN</t>
        </is>
      </c>
      <c r="E131" t="inlineStr">
        <is>
          <t>VALLENTUNA</t>
        </is>
      </c>
      <c r="F131" t="inlineStr">
        <is>
          <t>Kyrkan</t>
        </is>
      </c>
      <c r="G131" t="n">
        <v>5.7</v>
      </c>
      <c r="H131" t="n">
        <v>0</v>
      </c>
      <c r="I131" t="n">
        <v>0</v>
      </c>
      <c r="J131" t="n">
        <v>0</v>
      </c>
      <c r="K131" t="n">
        <v>0</v>
      </c>
      <c r="L131" t="n">
        <v>0</v>
      </c>
      <c r="M131" t="n">
        <v>0</v>
      </c>
      <c r="N131" t="n">
        <v>0</v>
      </c>
      <c r="O131" t="n">
        <v>0</v>
      </c>
      <c r="P131" t="n">
        <v>0</v>
      </c>
      <c r="Q131" t="n">
        <v>0</v>
      </c>
      <c r="R131" s="2" t="inlineStr"/>
    </row>
    <row r="132" ht="15" customHeight="1">
      <c r="A132" t="inlineStr">
        <is>
          <t>A 15300-2023</t>
        </is>
      </c>
      <c r="B132" s="1" t="n">
        <v>45019</v>
      </c>
      <c r="C132" s="1" t="n">
        <v>46130</v>
      </c>
      <c r="D132" t="inlineStr">
        <is>
          <t>STOCKHOLMS LÄN</t>
        </is>
      </c>
      <c r="E132" t="inlineStr">
        <is>
          <t>VALLENTUNA</t>
        </is>
      </c>
      <c r="G132" t="n">
        <v>1.7</v>
      </c>
      <c r="H132" t="n">
        <v>0</v>
      </c>
      <c r="I132" t="n">
        <v>0</v>
      </c>
      <c r="J132" t="n">
        <v>0</v>
      </c>
      <c r="K132" t="n">
        <v>0</v>
      </c>
      <c r="L132" t="n">
        <v>0</v>
      </c>
      <c r="M132" t="n">
        <v>0</v>
      </c>
      <c r="N132" t="n">
        <v>0</v>
      </c>
      <c r="O132" t="n">
        <v>0</v>
      </c>
      <c r="P132" t="n">
        <v>0</v>
      </c>
      <c r="Q132" t="n">
        <v>0</v>
      </c>
      <c r="R132" s="2" t="inlineStr"/>
    </row>
    <row r="133" ht="15" customHeight="1">
      <c r="A133" t="inlineStr">
        <is>
          <t>A 8077-2022</t>
        </is>
      </c>
      <c r="B133" s="1" t="n">
        <v>44609</v>
      </c>
      <c r="C133" s="1" t="n">
        <v>46130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13836-2022</t>
        </is>
      </c>
      <c r="B134" s="1" t="n">
        <v>44649</v>
      </c>
      <c r="C134" s="1" t="n">
        <v>46130</v>
      </c>
      <c r="D134" t="inlineStr">
        <is>
          <t>STOCKHOLMS LÄN</t>
        </is>
      </c>
      <c r="E134" t="inlineStr">
        <is>
          <t>VALLENTUNA</t>
        </is>
      </c>
      <c r="G134" t="n">
        <v>3.5</v>
      </c>
      <c r="H134" t="n">
        <v>0</v>
      </c>
      <c r="I134" t="n">
        <v>0</v>
      </c>
      <c r="J134" t="n">
        <v>0</v>
      </c>
      <c r="K134" t="n">
        <v>0</v>
      </c>
      <c r="L134" t="n">
        <v>0</v>
      </c>
      <c r="M134" t="n">
        <v>0</v>
      </c>
      <c r="N134" t="n">
        <v>0</v>
      </c>
      <c r="O134" t="n">
        <v>0</v>
      </c>
      <c r="P134" t="n">
        <v>0</v>
      </c>
      <c r="Q134" t="n">
        <v>0</v>
      </c>
      <c r="R134" s="2" t="inlineStr"/>
    </row>
    <row r="135" ht="15" customHeight="1">
      <c r="A135" t="inlineStr">
        <is>
          <t>A 29704-2023</t>
        </is>
      </c>
      <c r="B135" s="1" t="n">
        <v>45107</v>
      </c>
      <c r="C135" s="1" t="n">
        <v>46130</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21765-2023</t>
        </is>
      </c>
      <c r="B136" s="1" t="n">
        <v>45064</v>
      </c>
      <c r="C136" s="1" t="n">
        <v>46130</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45496-2023</t>
        </is>
      </c>
      <c r="B137" s="1" t="n">
        <v>45194</v>
      </c>
      <c r="C137" s="1" t="n">
        <v>46130</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46130</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14782-2024</t>
        </is>
      </c>
      <c r="B139" s="1" t="n">
        <v>45397.74266203704</v>
      </c>
      <c r="C139" s="1" t="n">
        <v>46130</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1385-2024</t>
        </is>
      </c>
      <c r="B140" s="1" t="n">
        <v>45303</v>
      </c>
      <c r="C140" s="1" t="n">
        <v>46130</v>
      </c>
      <c r="D140" t="inlineStr">
        <is>
          <t>STOCKHOLMS LÄN</t>
        </is>
      </c>
      <c r="E140" t="inlineStr">
        <is>
          <t>VALLENTUNA</t>
        </is>
      </c>
      <c r="G140" t="n">
        <v>2.6</v>
      </c>
      <c r="H140" t="n">
        <v>0</v>
      </c>
      <c r="I140" t="n">
        <v>0</v>
      </c>
      <c r="J140" t="n">
        <v>0</v>
      </c>
      <c r="K140" t="n">
        <v>0</v>
      </c>
      <c r="L140" t="n">
        <v>0</v>
      </c>
      <c r="M140" t="n">
        <v>0</v>
      </c>
      <c r="N140" t="n">
        <v>0</v>
      </c>
      <c r="O140" t="n">
        <v>0</v>
      </c>
      <c r="P140" t="n">
        <v>0</v>
      </c>
      <c r="Q140" t="n">
        <v>0</v>
      </c>
      <c r="R140" s="2" t="inlineStr"/>
    </row>
    <row r="141" ht="15" customHeight="1">
      <c r="A141" t="inlineStr">
        <is>
          <t>A 14775-2024</t>
        </is>
      </c>
      <c r="B141" s="1" t="n">
        <v>45397.73675925926</v>
      </c>
      <c r="C141" s="1" t="n">
        <v>46130</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735-2024</t>
        </is>
      </c>
      <c r="B142" s="1" t="n">
        <v>45300</v>
      </c>
      <c r="C142" s="1" t="n">
        <v>46130</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45035.82512731481</v>
      </c>
      <c r="C143" s="1" t="n">
        <v>46130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45019.41045138889</v>
      </c>
      <c r="C144" s="1" t="n">
        <v>46130</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38102-2024</t>
        </is>
      </c>
      <c r="B145" s="1" t="n">
        <v>45545.36349537037</v>
      </c>
      <c r="C145" s="1" t="n">
        <v>46130</v>
      </c>
      <c r="D145" t="inlineStr">
        <is>
          <t>STOCKHOLMS LÄN</t>
        </is>
      </c>
      <c r="E145" t="inlineStr">
        <is>
          <t>VALLENTUNA</t>
        </is>
      </c>
      <c r="G145" t="n">
        <v>3.2</v>
      </c>
      <c r="H145" t="n">
        <v>0</v>
      </c>
      <c r="I145" t="n">
        <v>0</v>
      </c>
      <c r="J145" t="n">
        <v>0</v>
      </c>
      <c r="K145" t="n">
        <v>0</v>
      </c>
      <c r="L145" t="n">
        <v>0</v>
      </c>
      <c r="M145" t="n">
        <v>0</v>
      </c>
      <c r="N145" t="n">
        <v>0</v>
      </c>
      <c r="O145" t="n">
        <v>0</v>
      </c>
      <c r="P145" t="n">
        <v>0</v>
      </c>
      <c r="Q145" t="n">
        <v>0</v>
      </c>
      <c r="R145" s="2" t="inlineStr"/>
    </row>
    <row r="146" ht="15" customHeight="1">
      <c r="A146" t="inlineStr">
        <is>
          <t>A 17340-2025</t>
        </is>
      </c>
      <c r="B146" s="1" t="n">
        <v>45756</v>
      </c>
      <c r="C146" s="1" t="n">
        <v>46130</v>
      </c>
      <c r="D146" t="inlineStr">
        <is>
          <t>STOCKHOLMS LÄN</t>
        </is>
      </c>
      <c r="E146" t="inlineStr">
        <is>
          <t>VALLENTUNA</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20791-2025</t>
        </is>
      </c>
      <c r="B147" s="1" t="n">
        <v>45776.62738425926</v>
      </c>
      <c r="C147" s="1" t="n">
        <v>46130</v>
      </c>
      <c r="D147" t="inlineStr">
        <is>
          <t>STOCKHOLMS LÄN</t>
        </is>
      </c>
      <c r="E147" t="inlineStr">
        <is>
          <t>VALLENTUNA</t>
        </is>
      </c>
      <c r="G147" t="n">
        <v>1.5</v>
      </c>
      <c r="H147" t="n">
        <v>0</v>
      </c>
      <c r="I147" t="n">
        <v>0</v>
      </c>
      <c r="J147" t="n">
        <v>0</v>
      </c>
      <c r="K147" t="n">
        <v>0</v>
      </c>
      <c r="L147" t="n">
        <v>0</v>
      </c>
      <c r="M147" t="n">
        <v>0</v>
      </c>
      <c r="N147" t="n">
        <v>0</v>
      </c>
      <c r="O147" t="n">
        <v>0</v>
      </c>
      <c r="P147" t="n">
        <v>0</v>
      </c>
      <c r="Q147" t="n">
        <v>0</v>
      </c>
      <c r="R147" s="2" t="inlineStr"/>
    </row>
    <row r="148" ht="15" customHeight="1">
      <c r="A148" t="inlineStr">
        <is>
          <t>A 10073-2024</t>
        </is>
      </c>
      <c r="B148" s="1" t="n">
        <v>45364.40821759259</v>
      </c>
      <c r="C148" s="1" t="n">
        <v>46130</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34452-2021</t>
        </is>
      </c>
      <c r="B149" s="1" t="n">
        <v>44381</v>
      </c>
      <c r="C149" s="1" t="n">
        <v>46130</v>
      </c>
      <c r="D149" t="inlineStr">
        <is>
          <t>STOCKHOLMS LÄN</t>
        </is>
      </c>
      <c r="E149" t="inlineStr">
        <is>
          <t>VALLENTUNA</t>
        </is>
      </c>
      <c r="G149" t="n">
        <v>14.7</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46130</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2026-04-18T10:26:45Z</dcterms:created>
  <dcterms:modified xmlns:dcterms="http://purl.org/dc/terms/" xmlns:xsi="http://www.w3.org/2001/XMLSchema-instance" xsi:type="dcterms:W3CDTF">2026-04-18T10:26:45Z</dcterms:modified>
</cp:coreProperties>
</file>