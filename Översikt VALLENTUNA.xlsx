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46293</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46293</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46293</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55825-2023</t>
        </is>
      </c>
      <c r="B5" t="inlineStr">
        <is>
          <t>avverkningsanmälan</t>
        </is>
      </c>
      <c r="C5" t="inlineStr">
        <is>
          <t>Föryngringsavverkning</t>
        </is>
      </c>
      <c r="D5" s="1" t="n">
        <v>45239</v>
      </c>
      <c r="E5" s="1" t="n">
        <v>46293</v>
      </c>
      <c r="F5" t="inlineStr">
        <is>
          <t>STOCKHOLMS LÄN</t>
        </is>
      </c>
      <c r="G5" t="inlineStr">
        <is>
          <t>VALLENTUNA</t>
        </is>
      </c>
      <c r="I5" t="n">
        <v>4.9</v>
      </c>
      <c r="J5" t="n">
        <v>7</v>
      </c>
      <c r="K5" t="n">
        <v>6</v>
      </c>
      <c r="L5" t="n">
        <v>3</v>
      </c>
      <c r="M5" t="n">
        <v>2</v>
      </c>
      <c r="N5" t="n">
        <v>0</v>
      </c>
      <c r="O5" t="n">
        <v>0</v>
      </c>
      <c r="P5" t="n">
        <v>0</v>
      </c>
      <c r="Q5" t="n">
        <v>5</v>
      </c>
      <c r="R5" t="n">
        <v>2</v>
      </c>
      <c r="S5" t="n">
        <v>16</v>
      </c>
      <c r="T5" t="n">
        <v>46</v>
      </c>
      <c r="U5" t="n">
        <v>43</v>
      </c>
      <c r="V5" s="2" t="inlineStr">
        <is>
          <t>Garnlav
Knärot
Talltita
Ullticka
Vedskivlav
Björksplintborre
Blodticka
Flagellkvastmossa
Jättesvampmal
Mindre märgborre
Vedticka
Mattlummer
Spillkråka
Tjäder
Fläcknycklar
Revlummer</t>
        </is>
      </c>
      <c r="W5">
        <f>HYPERLINK("https://klasma.github.io/Logging_0115/artfynd/A 55825-2023 artfynd.xlsx", "A 55825-2023")</f>
        <v/>
      </c>
      <c r="X5">
        <f>HYPERLINK("https://klasma.github.io/Logging_0115/kartor/A 55825-2023 karta.png", "A 55825-2023")</f>
        <v/>
      </c>
      <c r="Y5">
        <f>HYPERLINK("https://klasma.github.io/Logging_0115/kartor_geotiff/A 55825-2023 georefererad karta.tif", "A 55825-2023")</f>
        <v/>
      </c>
      <c r="Z5">
        <f>HYPERLINK("https://klasma.github.io/Logging_0115/knärot/A 55825-2023 karta knärot.png", "A 55825-2023")</f>
        <v/>
      </c>
      <c r="AA5">
        <f>HYPERLINK("https://klasma.github.io/Logging_0115/klagomål/A 55825-2023 FSC-klagomål.docx", "A 55825-2023")</f>
        <v/>
      </c>
      <c r="AB5">
        <f>HYPERLINK("https://klasma.github.io/Logging_0115/klagomålsmail/A 55825-2023 FSC-klagomål mail.docx", "A 55825-2023")</f>
        <v/>
      </c>
      <c r="AC5">
        <f>HYPERLINK("https://klasma.github.io/Logging_0115/tillsyn/A 55825-2023 tillsynsbegäran.docx", "A 55825-2023")</f>
        <v/>
      </c>
      <c r="AD5">
        <f>HYPERLINK("https://klasma.github.io/Logging_0115/tillsynsmail/A 55825-2023 tillsynsbegäran mail.docx", "A 55825-2023")</f>
        <v/>
      </c>
      <c r="AE5">
        <f>HYPERLINK("https://klasma.github.io/Logging_0115/fåglar/A 55825-2023 prioriterade fågelarter.docx", "A 55825-2023")</f>
        <v/>
      </c>
    </row>
    <row r="6" ht="15" customHeight="1">
      <c r="A6" t="inlineStr">
        <is>
          <t>A 42922-2023</t>
        </is>
      </c>
      <c r="B6" t="inlineStr">
        <is>
          <t>avverkningsanmälan</t>
        </is>
      </c>
      <c r="C6" t="inlineStr">
        <is>
          <t>Föryngringsavverkning</t>
        </is>
      </c>
      <c r="D6" s="1" t="n">
        <v>45182</v>
      </c>
      <c r="E6" s="1" t="n">
        <v>46293</v>
      </c>
      <c r="F6" t="inlineStr">
        <is>
          <t>STOCKHOLMS LÄN</t>
        </is>
      </c>
      <c r="G6" t="inlineStr">
        <is>
          <t>VALLENTUNA</t>
        </is>
      </c>
      <c r="I6" t="n">
        <v>4.2</v>
      </c>
      <c r="J6" t="n">
        <v>4</v>
      </c>
      <c r="K6" t="n">
        <v>7</v>
      </c>
      <c r="L6" t="n">
        <v>5</v>
      </c>
      <c r="M6" t="n">
        <v>1</v>
      </c>
      <c r="N6" t="n">
        <v>0</v>
      </c>
      <c r="O6" t="n">
        <v>0</v>
      </c>
      <c r="P6" t="n">
        <v>0</v>
      </c>
      <c r="Q6" t="n">
        <v>6</v>
      </c>
      <c r="R6" t="n">
        <v>1</v>
      </c>
      <c r="S6" t="n">
        <v>16</v>
      </c>
      <c r="T6" t="n">
        <v>47</v>
      </c>
      <c r="U6" t="n">
        <v>47</v>
      </c>
      <c r="V6" s="2" t="inlineStr">
        <is>
          <t>Ostticka
Fjällig taggsvamp s.str.
Motaggsvamp
Orange taggsvamp
Talltita
Tjockfotad fingersvamp
Björksplintborre
Granbarkgnagare
Grönpyrola
Mindre märgborre
Rödgul trumpetsvamp
Vedticka
Vågbandad barkbock
Blåsippa
Spillkråka
Kungsfågel</t>
        </is>
      </c>
      <c r="W6">
        <f>HYPERLINK("https://klasma.github.io/Logging_0115/artfynd/A 42922-2023 artfynd.xlsx", "A 42922-2023")</f>
        <v/>
      </c>
      <c r="X6">
        <f>HYPERLINK("https://klasma.github.io/Logging_0115/kartor/A 42922-2023 karta.png", "A 42922-2023")</f>
        <v/>
      </c>
      <c r="Y6">
        <f>HYPERLINK("https://klasma.github.io/Logging_0115/kartor_geotiff/A 42922-2023 georefererad karta.tif", "A 42922-2023")</f>
        <v/>
      </c>
      <c r="AA6">
        <f>HYPERLINK("https://klasma.github.io/Logging_0115/klagomål/A 42922-2023 FSC-klagomål.docx", "A 42922-2023")</f>
        <v/>
      </c>
      <c r="AB6">
        <f>HYPERLINK("https://klasma.github.io/Logging_0115/klagomålsmail/A 42922-2023 FSC-klagomål mail.docx", "A 42922-2023")</f>
        <v/>
      </c>
      <c r="AC6">
        <f>HYPERLINK("https://klasma.github.io/Logging_0115/tillsyn/A 42922-2023 tillsynsbegäran.docx", "A 42922-2023")</f>
        <v/>
      </c>
      <c r="AD6">
        <f>HYPERLINK("https://klasma.github.io/Logging_0115/tillsynsmail/A 42922-2023 tillsynsbegäran mail.docx", "A 42922-2023")</f>
        <v/>
      </c>
      <c r="AE6">
        <f>HYPERLINK("https://klasma.github.io/Logging_0115/fåglar/A 42922-2023 prioriterade fågelarter.docx", "A 42922-2023")</f>
        <v/>
      </c>
    </row>
    <row r="7" ht="15" customHeight="1">
      <c r="A7" t="inlineStr">
        <is>
          <t>A 50718-2023</t>
        </is>
      </c>
      <c r="B7" t="inlineStr">
        <is>
          <t>avverkningsanmälan</t>
        </is>
      </c>
      <c r="C7" t="inlineStr">
        <is>
          <t>Föryngringsavverkning</t>
        </is>
      </c>
      <c r="D7" s="1" t="n">
        <v>45217</v>
      </c>
      <c r="E7" s="1" t="n">
        <v>46293</v>
      </c>
      <c r="F7" t="inlineStr">
        <is>
          <t>STOCKHOLMS LÄN</t>
        </is>
      </c>
      <c r="G7" t="inlineStr">
        <is>
          <t>VALLENTUNA</t>
        </is>
      </c>
      <c r="I7" t="n">
        <v>3.6</v>
      </c>
      <c r="J7" t="n">
        <v>4</v>
      </c>
      <c r="K7" t="n">
        <v>9</v>
      </c>
      <c r="L7" t="n">
        <v>4</v>
      </c>
      <c r="M7" t="n">
        <v>0</v>
      </c>
      <c r="N7" t="n">
        <v>0</v>
      </c>
      <c r="O7" t="n">
        <v>0</v>
      </c>
      <c r="P7" t="n">
        <v>0</v>
      </c>
      <c r="Q7" t="n">
        <v>4</v>
      </c>
      <c r="R7" t="n">
        <v>0</v>
      </c>
      <c r="S7" t="n">
        <v>16</v>
      </c>
      <c r="T7" t="n">
        <v>43</v>
      </c>
      <c r="U7" t="n">
        <v>43</v>
      </c>
      <c r="V7" s="2" t="inlineStr">
        <is>
          <t>Rosenticka
Tallticka
Ullticka
Vedtrappmossa
Brandticka
Bronshjon
Grovticka
Grön sköldmossa
Grönpyrola
Gulnål
Rödgul trumpetsvamp
Trådticka
Vedticka
Blåsippa
Spillkråka
Revlummer</t>
        </is>
      </c>
      <c r="W7">
        <f>HYPERLINK("https://klasma.github.io/Logging_0115/artfynd/A 50718-2023 artfynd.xlsx", "A 50718-2023")</f>
        <v/>
      </c>
      <c r="X7">
        <f>HYPERLINK("https://klasma.github.io/Logging_0115/kartor/A 50718-2023 karta.png", "A 50718-2023")</f>
        <v/>
      </c>
      <c r="Y7">
        <f>HYPERLINK("https://klasma.github.io/Logging_0115/kartor_geotiff/A 50718-2023 georefererad karta.tif", "A 50718-2023")</f>
        <v/>
      </c>
      <c r="AA7">
        <f>HYPERLINK("https://klasma.github.io/Logging_0115/klagomål/A 50718-2023 FSC-klagomål.docx", "A 50718-2023")</f>
        <v/>
      </c>
      <c r="AB7">
        <f>HYPERLINK("https://klasma.github.io/Logging_0115/klagomålsmail/A 50718-2023 FSC-klagomål mail.docx", "A 50718-2023")</f>
        <v/>
      </c>
      <c r="AC7">
        <f>HYPERLINK("https://klasma.github.io/Logging_0115/tillsyn/A 50718-2023 tillsynsbegäran.docx", "A 50718-2023")</f>
        <v/>
      </c>
      <c r="AD7">
        <f>HYPERLINK("https://klasma.github.io/Logging_0115/tillsynsmail/A 50718-2023 tillsynsbegäran mail.docx", "A 50718-2023")</f>
        <v/>
      </c>
      <c r="AE7">
        <f>HYPERLINK("https://klasma.github.io/Logging_0115/fåglar/A 50718-2023 prioriterade fågelarter.docx", "A 50718-2023")</f>
        <v/>
      </c>
    </row>
    <row r="8" ht="15" customHeight="1">
      <c r="A8" t="inlineStr">
        <is>
          <t>A 17342-2025</t>
        </is>
      </c>
      <c r="B8" t="inlineStr">
        <is>
          <t>avverkningsanmälan</t>
        </is>
      </c>
      <c r="C8" t="inlineStr">
        <is>
          <t>Föryngringsavverkning</t>
        </is>
      </c>
      <c r="D8" s="1" t="n">
        <v>45756</v>
      </c>
      <c r="E8" s="1" t="n">
        <v>46293</v>
      </c>
      <c r="F8" t="inlineStr">
        <is>
          <t>STOCKHOLMS LÄN</t>
        </is>
      </c>
      <c r="G8" t="inlineStr">
        <is>
          <t>VALLENTUNA</t>
        </is>
      </c>
      <c r="H8" t="inlineStr">
        <is>
          <t>Övriga Aktiebolag</t>
        </is>
      </c>
      <c r="I8" t="n">
        <v>3.9</v>
      </c>
      <c r="J8" t="n">
        <v>4</v>
      </c>
      <c r="K8" t="n">
        <v>2</v>
      </c>
      <c r="L8" t="n">
        <v>1</v>
      </c>
      <c r="M8" t="n">
        <v>0</v>
      </c>
      <c r="N8" t="n">
        <v>0</v>
      </c>
      <c r="O8" t="n">
        <v>0</v>
      </c>
      <c r="P8" t="n">
        <v>0</v>
      </c>
      <c r="Q8" t="n">
        <v>1</v>
      </c>
      <c r="R8" t="n">
        <v>0</v>
      </c>
      <c r="S8" t="n">
        <v>10</v>
      </c>
      <c r="T8" t="n">
        <v>13</v>
      </c>
      <c r="U8" t="n">
        <v>12</v>
      </c>
      <c r="V8" s="2" t="inlineStr">
        <is>
          <t>Motaggsvamp
Mindre märgborre
Vågbandad barkbock
Blåsippa
Kransmossa
Liljekonvalj
Spillkråka
Timmerticka
Grönsiska
Revlummer</t>
        </is>
      </c>
      <c r="W8">
        <f>HYPERLINK("https://klasma.github.io/Logging_0115/artfynd/A 17342-2025 artfynd.xlsx", "A 17342-2025")</f>
        <v/>
      </c>
      <c r="X8">
        <f>HYPERLINK("https://klasma.github.io/Logging_0115/kartor/A 17342-2025 karta.png", "A 17342-2025")</f>
        <v/>
      </c>
      <c r="Y8">
        <f>HYPERLINK("https://klasma.github.io/Logging_0115/kartor_geotiff/A 17342-2025 georefererad karta.tif", "A 17342-2025")</f>
        <v/>
      </c>
      <c r="AA8">
        <f>HYPERLINK("https://klasma.github.io/Logging_0115/klagomål/A 17342-2025 FSC-klagomål.docx", "A 17342-2025")</f>
        <v/>
      </c>
      <c r="AB8">
        <f>HYPERLINK("https://klasma.github.io/Logging_0115/klagomålsmail/A 17342-2025 FSC-klagomål mail.docx", "A 17342-2025")</f>
        <v/>
      </c>
      <c r="AC8">
        <f>HYPERLINK("https://klasma.github.io/Logging_0115/tillsyn/A 17342-2025 tillsynsbegäran.docx", "A 17342-2025")</f>
        <v/>
      </c>
      <c r="AD8">
        <f>HYPERLINK("https://klasma.github.io/Logging_0115/tillsynsmail/A 17342-2025 tillsynsbegäran mail.docx", "A 17342-2025")</f>
        <v/>
      </c>
      <c r="AE8">
        <f>HYPERLINK("https://klasma.github.io/Logging_0115/fåglar/A 17342-2025 prioriterade fågelarter.docx", "A 17342-2025")</f>
        <v/>
      </c>
    </row>
    <row r="9" ht="15" customHeight="1">
      <c r="A9" t="inlineStr">
        <is>
          <t>A 61763-2025</t>
        </is>
      </c>
      <c r="B9" t="inlineStr">
        <is>
          <t>avverkningsanmälan</t>
        </is>
      </c>
      <c r="C9" t="inlineStr">
        <is>
          <t>Föryngringsavverkning</t>
        </is>
      </c>
      <c r="D9" s="1" t="n">
        <v>46002</v>
      </c>
      <c r="E9" s="1" t="n">
        <v>46293</v>
      </c>
      <c r="F9" t="inlineStr">
        <is>
          <t>STOCKHOLMS LÄN</t>
        </is>
      </c>
      <c r="G9" t="inlineStr">
        <is>
          <t>VALLENTUNA</t>
        </is>
      </c>
      <c r="I9" t="n">
        <v>6.9</v>
      </c>
      <c r="J9" t="n">
        <v>2</v>
      </c>
      <c r="K9" t="n">
        <v>5</v>
      </c>
      <c r="L9" t="n">
        <v>2</v>
      </c>
      <c r="M9" t="n">
        <v>1</v>
      </c>
      <c r="N9" t="n">
        <v>0</v>
      </c>
      <c r="O9" t="n">
        <v>0</v>
      </c>
      <c r="P9" t="n">
        <v>0</v>
      </c>
      <c r="Q9" t="n">
        <v>3</v>
      </c>
      <c r="R9" t="n">
        <v>1</v>
      </c>
      <c r="S9" t="n">
        <v>9</v>
      </c>
      <c r="T9" t="n">
        <v>9</v>
      </c>
      <c r="U9" t="n">
        <v>9</v>
      </c>
      <c r="V9" s="2" t="inlineStr">
        <is>
          <t>Gränsticka
Dunmossa
Talltita
Björksplintborre
Blomkålssvamp
Mörk husmossa
Stubbspretmossa
Vågbandad barkbock
Kungsfågel</t>
        </is>
      </c>
      <c r="W9">
        <f>HYPERLINK("https://klasma.github.io/Logging_0115/artfynd/A 61763-2025 artfynd.xlsx", "A 61763-2025")</f>
        <v/>
      </c>
      <c r="X9">
        <f>HYPERLINK("https://klasma.github.io/Logging_0115/kartor/A 61763-2025 karta.png", "A 61763-2025")</f>
        <v/>
      </c>
      <c r="Y9">
        <f>HYPERLINK("https://klasma.github.io/Logging_0115/kartor_geotiff/A 61763-2025 georefererad karta.tif", "A 61763-2025")</f>
        <v/>
      </c>
      <c r="AA9">
        <f>HYPERLINK("https://klasma.github.io/Logging_0115/klagomål/A 61763-2025 FSC-klagomål.docx", "A 61763-2025")</f>
        <v/>
      </c>
      <c r="AB9">
        <f>HYPERLINK("https://klasma.github.io/Logging_0115/klagomålsmail/A 61763-2025 FSC-klagomål mail.docx", "A 61763-2025")</f>
        <v/>
      </c>
      <c r="AC9">
        <f>HYPERLINK("https://klasma.github.io/Logging_0115/tillsyn/A 61763-2025 tillsynsbegäran.docx", "A 61763-2025")</f>
        <v/>
      </c>
      <c r="AD9">
        <f>HYPERLINK("https://klasma.github.io/Logging_0115/tillsynsmail/A 61763-2025 tillsynsbegäran mail.docx", "A 61763-2025")</f>
        <v/>
      </c>
      <c r="AE9">
        <f>HYPERLINK("https://klasma.github.io/Logging_0115/fåglar/A 61763-2025 prioriterade fågelarter.docx", "A 61763-2025")</f>
        <v/>
      </c>
    </row>
    <row r="10" ht="15" customHeight="1">
      <c r="A10" t="inlineStr">
        <is>
          <t>A 50435-2024</t>
        </is>
      </c>
      <c r="B10" t="inlineStr">
        <is>
          <t>avverkningsanmälan</t>
        </is>
      </c>
      <c r="C10" t="inlineStr">
        <is>
          <t>Föryngringsavverkning</t>
        </is>
      </c>
      <c r="D10" s="1" t="n">
        <v>45601</v>
      </c>
      <c r="E10" s="1" t="n">
        <v>46293</v>
      </c>
      <c r="F10" t="inlineStr">
        <is>
          <t>STOCKHOLMS LÄN</t>
        </is>
      </c>
      <c r="G10" t="inlineStr">
        <is>
          <t>VALLENTUNA</t>
        </is>
      </c>
      <c r="H10" t="inlineStr">
        <is>
          <t>Allmännings- och besparingsskogar</t>
        </is>
      </c>
      <c r="I10" t="n">
        <v>2.3</v>
      </c>
      <c r="J10" t="n">
        <v>5</v>
      </c>
      <c r="K10" t="n">
        <v>5</v>
      </c>
      <c r="L10" t="n">
        <v>2</v>
      </c>
      <c r="M10" t="n">
        <v>0</v>
      </c>
      <c r="N10" t="n">
        <v>0</v>
      </c>
      <c r="O10" t="n">
        <v>0</v>
      </c>
      <c r="P10" t="n">
        <v>0</v>
      </c>
      <c r="Q10" t="n">
        <v>2</v>
      </c>
      <c r="R10" t="n">
        <v>0</v>
      </c>
      <c r="S10" t="n">
        <v>9</v>
      </c>
      <c r="T10" t="n">
        <v>16</v>
      </c>
      <c r="U10" t="n">
        <v>15</v>
      </c>
      <c r="V10" s="2" t="inlineStr">
        <is>
          <t>Grönsångare
Talltita
Aprikosfingersvamp
Mindre märgborre
Mönjevaxing
Nästrot
Tibast
Blåsippa
Tjäder</t>
        </is>
      </c>
      <c r="W10">
        <f>HYPERLINK("https://klasma.github.io/Logging_0115/artfynd/A 50435-2024 artfynd.xlsx", "A 50435-2024")</f>
        <v/>
      </c>
      <c r="X10">
        <f>HYPERLINK("https://klasma.github.io/Logging_0115/kartor/A 50435-2024 karta.png", "A 50435-2024")</f>
        <v/>
      </c>
      <c r="Y10">
        <f>HYPERLINK("https://klasma.github.io/Logging_0115/kartor_geotiff/A 50435-2024 georefererad karta.tif", "A 50435-2024")</f>
        <v/>
      </c>
      <c r="AA10">
        <f>HYPERLINK("https://klasma.github.io/Logging_0115/klagomål/A 50435-2024 FSC-klagomål.docx", "A 50435-2024")</f>
        <v/>
      </c>
      <c r="AB10">
        <f>HYPERLINK("https://klasma.github.io/Logging_0115/klagomålsmail/A 50435-2024 FSC-klagomål mail.docx", "A 50435-2024")</f>
        <v/>
      </c>
      <c r="AC10">
        <f>HYPERLINK("https://klasma.github.io/Logging_0115/tillsyn/A 50435-2024 tillsynsbegäran.docx", "A 50435-2024")</f>
        <v/>
      </c>
      <c r="AD10">
        <f>HYPERLINK("https://klasma.github.io/Logging_0115/tillsynsmail/A 50435-2024 tillsynsbegäran mail.docx", "A 50435-2024")</f>
        <v/>
      </c>
      <c r="AE10">
        <f>HYPERLINK("https://klasma.github.io/Logging_0115/fåglar/A 50435-2024 prioriterade fågelarter.docx", "A 50435-2024")</f>
        <v/>
      </c>
    </row>
    <row r="11" ht="15" customHeight="1">
      <c r="A11" t="inlineStr">
        <is>
          <t>A 70608-2021</t>
        </is>
      </c>
      <c r="B11" t="inlineStr">
        <is>
          <t>avverkningsanmälan</t>
        </is>
      </c>
      <c r="C11" t="inlineStr">
        <is>
          <t>Föryngringsavverkning</t>
        </is>
      </c>
      <c r="D11" s="1" t="n">
        <v>44536</v>
      </c>
      <c r="E11" s="1" t="n">
        <v>46293</v>
      </c>
      <c r="F11" t="inlineStr">
        <is>
          <t>STOCKHOLMS LÄN</t>
        </is>
      </c>
      <c r="G11" t="inlineStr">
        <is>
          <t>VALLENTUNA</t>
        </is>
      </c>
      <c r="I11" t="n">
        <v>10.4</v>
      </c>
      <c r="J11" t="n">
        <v>1</v>
      </c>
      <c r="K11" t="n">
        <v>5</v>
      </c>
      <c r="L11" t="n">
        <v>2</v>
      </c>
      <c r="M11" t="n">
        <v>0</v>
      </c>
      <c r="N11" t="n">
        <v>0</v>
      </c>
      <c r="O11" t="n">
        <v>0</v>
      </c>
      <c r="P11" t="n">
        <v>0</v>
      </c>
      <c r="Q11" t="n">
        <v>2</v>
      </c>
      <c r="R11" t="n">
        <v>0</v>
      </c>
      <c r="S11" t="n">
        <v>7</v>
      </c>
      <c r="T11" t="n">
        <v>10</v>
      </c>
      <c r="U11" t="n">
        <v>10</v>
      </c>
      <c r="V11" s="2" t="inlineStr">
        <is>
          <t>Talltita
Ullticka
Blåmossa
Bronshjon
Mindre märgborre
Tibast
Vågbandad barkbock</t>
        </is>
      </c>
      <c r="W11">
        <f>HYPERLINK("https://klasma.github.io/Logging_0115/artfynd/A 70608-2021 artfynd.xlsx", "A 70608-2021")</f>
        <v/>
      </c>
      <c r="X11">
        <f>HYPERLINK("https://klasma.github.io/Logging_0115/kartor/A 70608-2021 karta.png", "A 70608-2021")</f>
        <v/>
      </c>
      <c r="Y11">
        <f>HYPERLINK("https://klasma.github.io/Logging_0115/kartor_geotiff/A 70608-2021 georefererad karta.tif", "A 70608-2021")</f>
        <v/>
      </c>
      <c r="AA11">
        <f>HYPERLINK("https://klasma.github.io/Logging_0115/klagomål/A 70608-2021 FSC-klagomål.docx", "A 70608-2021")</f>
        <v/>
      </c>
      <c r="AB11">
        <f>HYPERLINK("https://klasma.github.io/Logging_0115/klagomålsmail/A 70608-2021 FSC-klagomål mail.docx", "A 70608-2021")</f>
        <v/>
      </c>
      <c r="AC11">
        <f>HYPERLINK("https://klasma.github.io/Logging_0115/tillsyn/A 70608-2021 tillsynsbegäran.docx", "A 70608-2021")</f>
        <v/>
      </c>
      <c r="AD11">
        <f>HYPERLINK("https://klasma.github.io/Logging_0115/tillsynsmail/A 70608-2021 tillsynsbegäran mail.docx", "A 70608-2021")</f>
        <v/>
      </c>
      <c r="AE11">
        <f>HYPERLINK("https://klasma.github.io/Logging_0115/fåglar/A 70608-2021 prioriterade fågelarter.docx", "A 70608-2021")</f>
        <v/>
      </c>
    </row>
    <row r="12" ht="15" customHeight="1">
      <c r="A12" t="inlineStr">
        <is>
          <t>A 25512-2022</t>
        </is>
      </c>
      <c r="B12" t="inlineStr">
        <is>
          <t>avverkningsanmälan</t>
        </is>
      </c>
      <c r="C12" t="inlineStr">
        <is>
          <t>Föryngringsavverkning</t>
        </is>
      </c>
      <c r="D12" s="1" t="n">
        <v>44732</v>
      </c>
      <c r="E12" s="1" t="n">
        <v>46293</v>
      </c>
      <c r="F12" t="inlineStr">
        <is>
          <t>STOCKHOLMS LÄN</t>
        </is>
      </c>
      <c r="G12" t="inlineStr">
        <is>
          <t>VALLENTUNA</t>
        </is>
      </c>
      <c r="I12" t="n">
        <v>13.8</v>
      </c>
      <c r="J12" t="n">
        <v>0</v>
      </c>
      <c r="K12" t="n">
        <v>3</v>
      </c>
      <c r="L12" t="n">
        <v>3</v>
      </c>
      <c r="M12" t="n">
        <v>1</v>
      </c>
      <c r="N12" t="n">
        <v>0</v>
      </c>
      <c r="O12" t="n">
        <v>0</v>
      </c>
      <c r="P12" t="n">
        <v>0</v>
      </c>
      <c r="Q12" t="n">
        <v>4</v>
      </c>
      <c r="R12" t="n">
        <v>1</v>
      </c>
      <c r="S12" t="n">
        <v>7</v>
      </c>
      <c r="T12" t="n">
        <v>11</v>
      </c>
      <c r="U12" t="n">
        <v>11</v>
      </c>
      <c r="V12" s="2" t="inlineStr">
        <is>
          <t>Gränsticka
Fjällig taggsvamp s.str.
Orange taggsvamp
Skarp dropptaggsvamp
Gullgröppa
Rödgul trumpetsvamp
Vedticka</t>
        </is>
      </c>
      <c r="W12">
        <f>HYPERLINK("https://klasma.github.io/Logging_0115/artfynd/A 25512-2022 artfynd.xlsx", "A 25512-2022")</f>
        <v/>
      </c>
      <c r="X12">
        <f>HYPERLINK("https://klasma.github.io/Logging_0115/kartor/A 25512-2022 karta.png", "A 25512-2022")</f>
        <v/>
      </c>
      <c r="Y12">
        <f>HYPERLINK("https://klasma.github.io/Logging_0115/kartor_geotiff/A 25512-2022 georefererad karta.tif", "A 25512-2022")</f>
        <v/>
      </c>
      <c r="AA12">
        <f>HYPERLINK("https://klasma.github.io/Logging_0115/klagomål/A 25512-2022 FSC-klagomål.docx", "A 25512-2022")</f>
        <v/>
      </c>
      <c r="AB12">
        <f>HYPERLINK("https://klasma.github.io/Logging_0115/klagomålsmail/A 25512-2022 FSC-klagomål mail.docx", "A 25512-2022")</f>
        <v/>
      </c>
      <c r="AC12">
        <f>HYPERLINK("https://klasma.github.io/Logging_0115/tillsyn/A 25512-2022 tillsynsbegäran.docx", "A 25512-2022")</f>
        <v/>
      </c>
      <c r="AD12">
        <f>HYPERLINK("https://klasma.github.io/Logging_0115/tillsynsmail/A 25512-2022 tillsynsbegäran mail.docx", "A 25512-2022")</f>
        <v/>
      </c>
    </row>
    <row r="13" ht="15" customHeight="1">
      <c r="A13" t="inlineStr">
        <is>
          <t>A 8500-2022</t>
        </is>
      </c>
      <c r="B13" t="inlineStr">
        <is>
          <t>avverkningsanmälan</t>
        </is>
      </c>
      <c r="C13" t="inlineStr">
        <is>
          <t>Föryngringsavverkning</t>
        </is>
      </c>
      <c r="D13" s="1" t="n">
        <v>44613</v>
      </c>
      <c r="E13" s="1" t="n">
        <v>46293</v>
      </c>
      <c r="F13" t="inlineStr">
        <is>
          <t>STOCKHOLMS LÄN</t>
        </is>
      </c>
      <c r="G13" t="inlineStr">
        <is>
          <t>VALLENTUNA</t>
        </is>
      </c>
      <c r="I13" t="n">
        <v>5</v>
      </c>
      <c r="J13" t="n">
        <v>2</v>
      </c>
      <c r="K13" t="n">
        <v>4</v>
      </c>
      <c r="L13" t="n">
        <v>0</v>
      </c>
      <c r="M13" t="n">
        <v>1</v>
      </c>
      <c r="N13" t="n">
        <v>0</v>
      </c>
      <c r="O13" t="n">
        <v>0</v>
      </c>
      <c r="P13" t="n">
        <v>0</v>
      </c>
      <c r="Q13" t="n">
        <v>1</v>
      </c>
      <c r="R13" t="n">
        <v>1</v>
      </c>
      <c r="S13" t="n">
        <v>6</v>
      </c>
      <c r="T13" t="n">
        <v>6</v>
      </c>
      <c r="U13" t="n">
        <v>5</v>
      </c>
      <c r="V13" s="2" t="inlineStr">
        <is>
          <t>Knärot
Björksplintborre
Blåmossa
Bronshjon
Vedticka
Spillkråka</t>
        </is>
      </c>
      <c r="W13">
        <f>HYPERLINK("https://klasma.github.io/Logging_0115/artfynd/A 8500-2022 artfynd.xlsx", "A 8500-2022")</f>
        <v/>
      </c>
      <c r="X13">
        <f>HYPERLINK("https://klasma.github.io/Logging_0115/kartor/A 8500-2022 karta.png", "A 8500-2022")</f>
        <v/>
      </c>
      <c r="Y13">
        <f>HYPERLINK("https://klasma.github.io/Logging_0115/kartor_geotiff/A 8500-2022 georefererad karta.tif", "A 8500-2022")</f>
        <v/>
      </c>
      <c r="Z13">
        <f>HYPERLINK("https://klasma.github.io/Logging_0115/knärot/A 8500-2022 karta knärot.png", "A 8500-2022")</f>
        <v/>
      </c>
      <c r="AA13">
        <f>HYPERLINK("https://klasma.github.io/Logging_0115/klagomål/A 8500-2022 FSC-klagomål.docx", "A 8500-2022")</f>
        <v/>
      </c>
      <c r="AB13">
        <f>HYPERLINK("https://klasma.github.io/Logging_0115/klagomålsmail/A 8500-2022 FSC-klagomål mail.docx", "A 8500-2022")</f>
        <v/>
      </c>
      <c r="AC13">
        <f>HYPERLINK("https://klasma.github.io/Logging_0115/tillsyn/A 8500-2022 tillsynsbegäran.docx", "A 8500-2022")</f>
        <v/>
      </c>
      <c r="AD13">
        <f>HYPERLINK("https://klasma.github.io/Logging_0115/tillsynsmail/A 8500-2022 tillsynsbegäran mail.docx", "A 8500-2022")</f>
        <v/>
      </c>
      <c r="AE13">
        <f>HYPERLINK("https://klasma.github.io/Logging_0115/fåglar/A 8500-2022 prioriterade fågelarter.docx", "A 8500-2022")</f>
        <v/>
      </c>
    </row>
    <row r="14" ht="15" customHeight="1">
      <c r="A14" t="inlineStr">
        <is>
          <t>A 62402-2022</t>
        </is>
      </c>
      <c r="B14" t="inlineStr">
        <is>
          <t>avverkningsanmälan</t>
        </is>
      </c>
      <c r="C14" t="inlineStr">
        <is>
          <t>Föryngringsavverkning</t>
        </is>
      </c>
      <c r="D14" s="1" t="n">
        <v>44923</v>
      </c>
      <c r="E14" s="1" t="n">
        <v>46293</v>
      </c>
      <c r="F14" t="inlineStr">
        <is>
          <t>STOCKHOLMS LÄN</t>
        </is>
      </c>
      <c r="G14" t="inlineStr">
        <is>
          <t>VALLENTUNA</t>
        </is>
      </c>
      <c r="I14" t="n">
        <v>3.8</v>
      </c>
      <c r="J14" t="n">
        <v>0</v>
      </c>
      <c r="K14" t="n">
        <v>2</v>
      </c>
      <c r="L14" t="n">
        <v>4</v>
      </c>
      <c r="M14" t="n">
        <v>0</v>
      </c>
      <c r="N14" t="n">
        <v>0</v>
      </c>
      <c r="O14" t="n">
        <v>0</v>
      </c>
      <c r="P14" t="n">
        <v>0</v>
      </c>
      <c r="Q14" t="n">
        <v>4</v>
      </c>
      <c r="R14" t="n">
        <v>0</v>
      </c>
      <c r="S14" t="n">
        <v>6</v>
      </c>
      <c r="T14" t="n">
        <v>6</v>
      </c>
      <c r="U14" t="n">
        <v>6</v>
      </c>
      <c r="V14" s="2" t="inlineStr">
        <is>
          <t>Denisespindling
Kryddspindling
Motaggsvamp
Orange taggsvamp
Anisspindling
Brandticka</t>
        </is>
      </c>
      <c r="W14">
        <f>HYPERLINK("https://klasma.github.io/Logging_0115/artfynd/A 62402-2022 artfynd.xlsx", "A 62402-2022")</f>
        <v/>
      </c>
      <c r="X14">
        <f>HYPERLINK("https://klasma.github.io/Logging_0115/kartor/A 62402-2022 karta.png", "A 62402-2022")</f>
        <v/>
      </c>
      <c r="Y14">
        <f>HYPERLINK("https://klasma.github.io/Logging_0115/kartor_geotiff/A 62402-2022 georefererad karta.tif", "A 62402-2022")</f>
        <v/>
      </c>
      <c r="AA14">
        <f>HYPERLINK("https://klasma.github.io/Logging_0115/klagomål/A 62402-2022 FSC-klagomål.docx", "A 62402-2022")</f>
        <v/>
      </c>
      <c r="AB14">
        <f>HYPERLINK("https://klasma.github.io/Logging_0115/klagomålsmail/A 62402-2022 FSC-klagomål mail.docx", "A 62402-2022")</f>
        <v/>
      </c>
      <c r="AC14">
        <f>HYPERLINK("https://klasma.github.io/Logging_0115/tillsyn/A 62402-2022 tillsynsbegäran.docx", "A 62402-2022")</f>
        <v/>
      </c>
      <c r="AD14">
        <f>HYPERLINK("https://klasma.github.io/Logging_0115/tillsynsmail/A 62402-2022 tillsynsbegäran mail.docx", "A 62402-2022")</f>
        <v/>
      </c>
    </row>
    <row r="15" ht="15" customHeight="1">
      <c r="A15" t="inlineStr">
        <is>
          <t>S 3063-2024</t>
        </is>
      </c>
      <c r="B15" t="inlineStr">
        <is>
          <t>samrådsanmälan</t>
        </is>
      </c>
      <c r="C15" t="inlineStr">
        <is>
          <t>Annan skogsbruksåtgärd</t>
        </is>
      </c>
      <c r="D15" s="1" t="n">
        <v>45517</v>
      </c>
      <c r="E15" s="1" t="n">
        <v>46293</v>
      </c>
      <c r="F15" t="inlineStr">
        <is>
          <t>STOCKHOLMS LÄN</t>
        </is>
      </c>
      <c r="G15" t="inlineStr">
        <is>
          <t>VALLENTUNA</t>
        </is>
      </c>
      <c r="H15" t="inlineStr">
        <is>
          <t>Övriga Aktiebolag</t>
        </is>
      </c>
      <c r="I15" t="n">
        <v>20.1</v>
      </c>
      <c r="J15" t="n">
        <v>0</v>
      </c>
      <c r="K15" t="n">
        <v>3</v>
      </c>
      <c r="L15" t="n">
        <v>3</v>
      </c>
      <c r="M15" t="n">
        <v>0</v>
      </c>
      <c r="N15" t="n">
        <v>0</v>
      </c>
      <c r="O15" t="n">
        <v>0</v>
      </c>
      <c r="P15" t="n">
        <v>0</v>
      </c>
      <c r="Q15" t="n">
        <v>3</v>
      </c>
      <c r="R15" t="n">
        <v>0</v>
      </c>
      <c r="S15" t="n">
        <v>6</v>
      </c>
      <c r="T15" t="n">
        <v>12</v>
      </c>
      <c r="U15" t="n">
        <v>0</v>
      </c>
      <c r="V15" s="2" t="inlineStr">
        <is>
          <t>Lunglav
Ullticka
Vårärt
Barkticka
Mindre märgborre
Stuplav</t>
        </is>
      </c>
      <c r="W15">
        <f>HYPERLINK("https://klasma.github.io/Logging_0115/artfynd/S 3063-2024 artfynd.xlsx", "S 3063-2024")</f>
        <v/>
      </c>
      <c r="X15">
        <f>HYPERLINK("https://klasma.github.io/Logging_0115/kartor/S 3063-2024 karta.png", "S 3063-2024")</f>
        <v/>
      </c>
      <c r="Y15">
        <f>HYPERLINK("https://klasma.github.io/Logging_0115/kartor_geotiff/S 3063-2024 georefererad karta.tif", "S 3063-2024")</f>
        <v/>
      </c>
      <c r="AA15">
        <f>HYPERLINK("https://klasma.github.io/Logging_0115/klagomål/S 3063-2024 FSC-klagomål.docx", "S 3063-2024")</f>
        <v/>
      </c>
      <c r="AB15">
        <f>HYPERLINK("https://klasma.github.io/Logging_0115/klagomålsmail/S 3063-2024 FSC-klagomål mail.docx", "S 3063-2024")</f>
        <v/>
      </c>
      <c r="AC15">
        <f>HYPERLINK("https://klasma.github.io/Logging_0115/tillsyn/S 3063-2024 tillsynsbegäran.docx", "S 3063-2024")</f>
        <v/>
      </c>
      <c r="AD15">
        <f>HYPERLINK("https://klasma.github.io/Logging_0115/tillsynsmail/S 3063-2024 tillsynsbegäran mail.docx", "S 3063-2024")</f>
        <v/>
      </c>
    </row>
    <row r="16" ht="15" customHeight="1">
      <c r="A16" t="inlineStr">
        <is>
          <t>A 14508-2024</t>
        </is>
      </c>
      <c r="B16" t="inlineStr">
        <is>
          <t>avverkningsanmälan</t>
        </is>
      </c>
      <c r="C16" t="inlineStr">
        <is>
          <t>Föryngringsavverkning</t>
        </is>
      </c>
      <c r="D16" s="1" t="n">
        <v>45394</v>
      </c>
      <c r="E16" s="1" t="n">
        <v>46293</v>
      </c>
      <c r="F16" t="inlineStr">
        <is>
          <t>STOCKHOLMS LÄN</t>
        </is>
      </c>
      <c r="G16" t="inlineStr">
        <is>
          <t>VALLENTUNA</t>
        </is>
      </c>
      <c r="I16" t="n">
        <v>1.7</v>
      </c>
      <c r="J16" t="n">
        <v>2</v>
      </c>
      <c r="K16" t="n">
        <v>0</v>
      </c>
      <c r="L16" t="n">
        <v>2</v>
      </c>
      <c r="M16" t="n">
        <v>1</v>
      </c>
      <c r="N16" t="n">
        <v>0</v>
      </c>
      <c r="O16" t="n">
        <v>0</v>
      </c>
      <c r="P16" t="n">
        <v>0</v>
      </c>
      <c r="Q16" t="n">
        <v>3</v>
      </c>
      <c r="R16" t="n">
        <v>1</v>
      </c>
      <c r="S16" t="n">
        <v>3</v>
      </c>
      <c r="T16" t="n">
        <v>3</v>
      </c>
      <c r="U16" t="n">
        <v>2</v>
      </c>
      <c r="V16" s="2" t="inlineStr">
        <is>
          <t>Hussvala
Berggräsfjäril
Mindre hackspett</t>
        </is>
      </c>
      <c r="W16">
        <f>HYPERLINK("https://klasma.github.io/Logging_0115/artfynd/A 14508-2024 artfynd.xlsx", "A 14508-2024")</f>
        <v/>
      </c>
      <c r="X16">
        <f>HYPERLINK("https://klasma.github.io/Logging_0115/kartor/A 14508-2024 karta.png", "A 14508-2024")</f>
        <v/>
      </c>
      <c r="Y16">
        <f>HYPERLINK("https://klasma.github.io/Logging_0115/kartor_geotiff/A 14508-2024 georefererad karta.tif", "A 14508-2024")</f>
        <v/>
      </c>
      <c r="AA16">
        <f>HYPERLINK("https://klasma.github.io/Logging_0115/klagomål/A 14508-2024 FSC-klagomål.docx", "A 14508-2024")</f>
        <v/>
      </c>
      <c r="AB16">
        <f>HYPERLINK("https://klasma.github.io/Logging_0115/klagomålsmail/A 14508-2024 FSC-klagomål mail.docx", "A 14508-2024")</f>
        <v/>
      </c>
      <c r="AC16">
        <f>HYPERLINK("https://klasma.github.io/Logging_0115/tillsyn/A 14508-2024 tillsynsbegäran.docx", "A 14508-2024")</f>
        <v/>
      </c>
      <c r="AD16">
        <f>HYPERLINK("https://klasma.github.io/Logging_0115/tillsynsmail/A 14508-2024 tillsynsbegäran mail.docx", "A 14508-2024")</f>
        <v/>
      </c>
      <c r="AE16">
        <f>HYPERLINK("https://klasma.github.io/Logging_0115/fåglar/A 14508-2024 prioriterade fågelarter.docx", "A 14508-2024")</f>
        <v/>
      </c>
    </row>
    <row r="17" ht="15" customHeight="1">
      <c r="A17" t="inlineStr">
        <is>
          <t>A 48717-2024</t>
        </is>
      </c>
      <c r="B17" t="inlineStr">
        <is>
          <t>avverkningsanmälan</t>
        </is>
      </c>
      <c r="C17" t="inlineStr">
        <is>
          <t>Föryngringsavverkning</t>
        </is>
      </c>
      <c r="D17" s="1" t="n">
        <v>45593</v>
      </c>
      <c r="E17" s="1" t="n">
        <v>46293</v>
      </c>
      <c r="F17" t="inlineStr">
        <is>
          <t>STOCKHOLMS LÄN</t>
        </is>
      </c>
      <c r="G17" t="inlineStr">
        <is>
          <t>VALLENTUNA</t>
        </is>
      </c>
      <c r="I17" t="n">
        <v>6.2</v>
      </c>
      <c r="J17" t="n">
        <v>2</v>
      </c>
      <c r="K17" t="n">
        <v>0</v>
      </c>
      <c r="L17" t="n">
        <v>1</v>
      </c>
      <c r="M17" t="n">
        <v>0</v>
      </c>
      <c r="N17" t="n">
        <v>0</v>
      </c>
      <c r="O17" t="n">
        <v>0</v>
      </c>
      <c r="P17" t="n">
        <v>0</v>
      </c>
      <c r="Q17" t="n">
        <v>1</v>
      </c>
      <c r="R17" t="n">
        <v>0</v>
      </c>
      <c r="S17" t="n">
        <v>3</v>
      </c>
      <c r="T17" t="n">
        <v>4</v>
      </c>
      <c r="U17" t="n">
        <v>2</v>
      </c>
      <c r="V17" s="2" t="inlineStr">
        <is>
          <t>Ullticka
Tjäder
Kungsfågel</t>
        </is>
      </c>
      <c r="W17">
        <f>HYPERLINK("https://klasma.github.io/Logging_0115/artfynd/A 48717-2024 artfynd.xlsx", "A 48717-2024")</f>
        <v/>
      </c>
      <c r="X17">
        <f>HYPERLINK("https://klasma.github.io/Logging_0115/kartor/A 48717-2024 karta.png", "A 48717-2024")</f>
        <v/>
      </c>
      <c r="Y17">
        <f>HYPERLINK("https://klasma.github.io/Logging_0115/kartor_geotiff/A 48717-2024 georefererad karta.tif", "A 48717-2024")</f>
        <v/>
      </c>
      <c r="AA17">
        <f>HYPERLINK("https://klasma.github.io/Logging_0115/klagomål/A 48717-2024 FSC-klagomål.docx", "A 48717-2024")</f>
        <v/>
      </c>
      <c r="AB17">
        <f>HYPERLINK("https://klasma.github.io/Logging_0115/klagomålsmail/A 48717-2024 FSC-klagomål mail.docx", "A 48717-2024")</f>
        <v/>
      </c>
      <c r="AC17">
        <f>HYPERLINK("https://klasma.github.io/Logging_0115/tillsyn/A 48717-2024 tillsynsbegäran.docx", "A 48717-2024")</f>
        <v/>
      </c>
      <c r="AD17">
        <f>HYPERLINK("https://klasma.github.io/Logging_0115/tillsynsmail/A 48717-2024 tillsynsbegäran mail.docx", "A 48717-2024")</f>
        <v/>
      </c>
      <c r="AE17">
        <f>HYPERLINK("https://klasma.github.io/Logging_0115/fåglar/A 48717-2024 prioriterade fågelarter.docx", "A 48717-2024")</f>
        <v/>
      </c>
    </row>
    <row r="18" ht="15" customHeight="1">
      <c r="A18" t="inlineStr">
        <is>
          <t>A 9807-2026</t>
        </is>
      </c>
      <c r="B18" t="inlineStr">
        <is>
          <t>avverkningsanmälan</t>
        </is>
      </c>
      <c r="C18" t="inlineStr">
        <is>
          <t>Avverkning för annat ändamål</t>
        </is>
      </c>
      <c r="D18" s="1" t="n">
        <v>46072</v>
      </c>
      <c r="E18" s="1" t="n">
        <v>46293</v>
      </c>
      <c r="F18" t="inlineStr">
        <is>
          <t>STOCKHOLMS LÄN</t>
        </is>
      </c>
      <c r="G18" t="inlineStr">
        <is>
          <t>VALLENTUNA</t>
        </is>
      </c>
      <c r="I18" t="n">
        <v>2.1</v>
      </c>
      <c r="J18" t="n">
        <v>3</v>
      </c>
      <c r="K18" t="n">
        <v>0</v>
      </c>
      <c r="L18" t="n">
        <v>1</v>
      </c>
      <c r="M18" t="n">
        <v>0</v>
      </c>
      <c r="N18" t="n">
        <v>0</v>
      </c>
      <c r="O18" t="n">
        <v>0</v>
      </c>
      <c r="P18" t="n">
        <v>0</v>
      </c>
      <c r="Q18" t="n">
        <v>1</v>
      </c>
      <c r="R18" t="n">
        <v>0</v>
      </c>
      <c r="S18" t="n">
        <v>3</v>
      </c>
      <c r="T18" t="n">
        <v>8</v>
      </c>
      <c r="U18" t="n">
        <v>0</v>
      </c>
      <c r="V18" s="2" t="inlineStr">
        <is>
          <t>Järnsparv
Grönsiska
Kungsfågel</t>
        </is>
      </c>
      <c r="W18">
        <f>HYPERLINK("https://klasma.github.io/Logging_0115/artfynd/A 9807-2026 artfynd.xlsx", "A 9807-2026")</f>
        <v/>
      </c>
      <c r="X18">
        <f>HYPERLINK("https://klasma.github.io/Logging_0115/kartor/A 9807-2026 karta.png", "A 9807-2026")</f>
        <v/>
      </c>
      <c r="Y18">
        <f>HYPERLINK("https://klasma.github.io/Logging_0115/kartor_geotiff/A 9807-2026 georefererad karta.tif", "A 9807-2026")</f>
        <v/>
      </c>
      <c r="AA18">
        <f>HYPERLINK("https://klasma.github.io/Logging_0115/klagomål/A 9807-2026 FSC-klagomål.docx", "A 9807-2026")</f>
        <v/>
      </c>
      <c r="AB18">
        <f>HYPERLINK("https://klasma.github.io/Logging_0115/klagomålsmail/A 9807-2026 FSC-klagomål mail.docx", "A 9807-2026")</f>
        <v/>
      </c>
      <c r="AC18">
        <f>HYPERLINK("https://klasma.github.io/Logging_0115/tillsyn/A 9807-2026 tillsynsbegäran.docx", "A 9807-2026")</f>
        <v/>
      </c>
      <c r="AD18">
        <f>HYPERLINK("https://klasma.github.io/Logging_0115/tillsynsmail/A 9807-2026 tillsynsbegäran mail.docx", "A 9807-2026")</f>
        <v/>
      </c>
      <c r="AE18">
        <f>HYPERLINK("https://klasma.github.io/Logging_0115/fåglar/A 9807-2026 prioriterade fågelarter.docx", "A 9807-2026")</f>
        <v/>
      </c>
    </row>
    <row r="19" ht="15" customHeight="1">
      <c r="A19" t="inlineStr">
        <is>
          <t>A 63543-2025</t>
        </is>
      </c>
      <c r="B19" t="inlineStr">
        <is>
          <t>avverkningsanmälan</t>
        </is>
      </c>
      <c r="C19" t="inlineStr">
        <is>
          <t>Föryngringsavverkning</t>
        </is>
      </c>
      <c r="D19" s="1" t="n">
        <v>46013</v>
      </c>
      <c r="E19" s="1" t="n">
        <v>46293</v>
      </c>
      <c r="F19" t="inlineStr">
        <is>
          <t>STOCKHOLMS LÄN</t>
        </is>
      </c>
      <c r="G19" t="inlineStr">
        <is>
          <t>VALLENTUNA</t>
        </is>
      </c>
      <c r="I19" t="n">
        <v>3.4</v>
      </c>
      <c r="J19" t="n">
        <v>0</v>
      </c>
      <c r="K19" t="n">
        <v>1</v>
      </c>
      <c r="L19" t="n">
        <v>2</v>
      </c>
      <c r="M19" t="n">
        <v>0</v>
      </c>
      <c r="N19" t="n">
        <v>0</v>
      </c>
      <c r="O19" t="n">
        <v>0</v>
      </c>
      <c r="P19" t="n">
        <v>0</v>
      </c>
      <c r="Q19" t="n">
        <v>2</v>
      </c>
      <c r="R19" t="n">
        <v>0</v>
      </c>
      <c r="S19" t="n">
        <v>3</v>
      </c>
      <c r="T19" t="n">
        <v>3</v>
      </c>
      <c r="U19" t="n">
        <v>0</v>
      </c>
      <c r="V19" s="2" t="inlineStr">
        <is>
          <t>Tallticka
Vedskivlav
Björksplintborre</t>
        </is>
      </c>
      <c r="W19">
        <f>HYPERLINK("https://klasma.github.io/Logging_0115/artfynd/A 63543-2025 artfynd.xlsx", "A 63543-2025")</f>
        <v/>
      </c>
      <c r="X19">
        <f>HYPERLINK("https://klasma.github.io/Logging_0115/kartor/A 63543-2025 karta.png", "A 63543-2025")</f>
        <v/>
      </c>
      <c r="Y19">
        <f>HYPERLINK("https://klasma.github.io/Logging_0115/kartor_geotiff/A 63543-2025 georefererad karta.tif", "A 63543-2025")</f>
        <v/>
      </c>
      <c r="AA19">
        <f>HYPERLINK("https://klasma.github.io/Logging_0115/klagomål/A 63543-2025 FSC-klagomål.docx", "A 63543-2025")</f>
        <v/>
      </c>
      <c r="AB19">
        <f>HYPERLINK("https://klasma.github.io/Logging_0115/klagomålsmail/A 63543-2025 FSC-klagomål mail.docx", "A 63543-2025")</f>
        <v/>
      </c>
      <c r="AC19">
        <f>HYPERLINK("https://klasma.github.io/Logging_0115/tillsyn/A 63543-2025 tillsynsbegäran.docx", "A 63543-2025")</f>
        <v/>
      </c>
      <c r="AD19">
        <f>HYPERLINK("https://klasma.github.io/Logging_0115/tillsynsmail/A 63543-2025 tillsynsbegäran mail.docx", "A 63543-2025")</f>
        <v/>
      </c>
    </row>
    <row r="20" ht="15" customHeight="1">
      <c r="A20" t="inlineStr">
        <is>
          <t>A 37456-2023</t>
        </is>
      </c>
      <c r="B20" t="inlineStr">
        <is>
          <t>avverkningsanmälan</t>
        </is>
      </c>
      <c r="C20" t="inlineStr">
        <is>
          <t>Föryngringsavverkning</t>
        </is>
      </c>
      <c r="D20" s="1" t="n">
        <v>45156</v>
      </c>
      <c r="E20" s="1" t="n">
        <v>46293</v>
      </c>
      <c r="F20" t="inlineStr">
        <is>
          <t>STOCKHOLMS LÄN</t>
        </is>
      </c>
      <c r="G20" t="inlineStr">
        <is>
          <t>VALLENTUNA</t>
        </is>
      </c>
      <c r="H20" t="inlineStr">
        <is>
          <t>Övriga Aktiebolag</t>
        </is>
      </c>
      <c r="I20" t="n">
        <v>3.3</v>
      </c>
      <c r="J20" t="n">
        <v>1</v>
      </c>
      <c r="K20" t="n">
        <v>0</v>
      </c>
      <c r="L20" t="n">
        <v>2</v>
      </c>
      <c r="M20" t="n">
        <v>0</v>
      </c>
      <c r="N20" t="n">
        <v>0</v>
      </c>
      <c r="O20" t="n">
        <v>0</v>
      </c>
      <c r="P20" t="n">
        <v>0</v>
      </c>
      <c r="Q20" t="n">
        <v>2</v>
      </c>
      <c r="R20" t="n">
        <v>0</v>
      </c>
      <c r="S20" t="n">
        <v>3</v>
      </c>
      <c r="T20" t="n">
        <v>4</v>
      </c>
      <c r="U20" t="n">
        <v>4</v>
      </c>
      <c r="V20" s="2" t="inlineStr">
        <is>
          <t>Skarp dropptaggsvamp
Tjockfotad fingersvamp
Blåsippa</t>
        </is>
      </c>
      <c r="W20">
        <f>HYPERLINK("https://klasma.github.io/Logging_0115/artfynd/A 37456-2023 artfynd.xlsx", "A 37456-2023")</f>
        <v/>
      </c>
      <c r="X20">
        <f>HYPERLINK("https://klasma.github.io/Logging_0115/kartor/A 37456-2023 karta.png", "A 37456-2023")</f>
        <v/>
      </c>
      <c r="Y20">
        <f>HYPERLINK("https://klasma.github.io/Logging_0115/kartor_geotiff/A 37456-2023 georefererad karta.tif", "A 37456-2023")</f>
        <v/>
      </c>
      <c r="AA20">
        <f>HYPERLINK("https://klasma.github.io/Logging_0115/klagomål/A 37456-2023 FSC-klagomål.docx", "A 37456-2023")</f>
        <v/>
      </c>
      <c r="AB20">
        <f>HYPERLINK("https://klasma.github.io/Logging_0115/klagomålsmail/A 37456-2023 FSC-klagomål mail.docx", "A 37456-2023")</f>
        <v/>
      </c>
      <c r="AC20">
        <f>HYPERLINK("https://klasma.github.io/Logging_0115/tillsyn/A 37456-2023 tillsynsbegäran.docx", "A 37456-2023")</f>
        <v/>
      </c>
      <c r="AD20">
        <f>HYPERLINK("https://klasma.github.io/Logging_0115/tillsynsmail/A 37456-2023 tillsynsbegäran mail.docx", "A 37456-2023")</f>
        <v/>
      </c>
    </row>
    <row r="21" ht="15" customHeight="1">
      <c r="A21" t="inlineStr">
        <is>
          <t>A 9745-2022</t>
        </is>
      </c>
      <c r="B21" t="inlineStr">
        <is>
          <t>avverkningsanmälan</t>
        </is>
      </c>
      <c r="C21" t="inlineStr">
        <is>
          <t>Föryngringsavverkning</t>
        </is>
      </c>
      <c r="D21" s="1" t="n">
        <v>44618</v>
      </c>
      <c r="E21" s="1" t="n">
        <v>46293</v>
      </c>
      <c r="F21" t="inlineStr">
        <is>
          <t>STOCKHOLMS LÄN</t>
        </is>
      </c>
      <c r="G21" t="inlineStr">
        <is>
          <t>VALLENTUNA</t>
        </is>
      </c>
      <c r="I21" t="n">
        <v>5.9</v>
      </c>
      <c r="J21" t="n">
        <v>1</v>
      </c>
      <c r="K21" t="n">
        <v>2</v>
      </c>
      <c r="L21" t="n">
        <v>0</v>
      </c>
      <c r="M21" t="n">
        <v>0</v>
      </c>
      <c r="N21" t="n">
        <v>0</v>
      </c>
      <c r="O21" t="n">
        <v>0</v>
      </c>
      <c r="P21" t="n">
        <v>0</v>
      </c>
      <c r="Q21" t="n">
        <v>0</v>
      </c>
      <c r="R21" t="n">
        <v>0</v>
      </c>
      <c r="S21" t="n">
        <v>3</v>
      </c>
      <c r="T21" t="n">
        <v>4</v>
      </c>
      <c r="U21" t="n">
        <v>4</v>
      </c>
      <c r="V21" s="2" t="inlineStr">
        <is>
          <t>Björksplintborre
Vedticka
Spillkråka</t>
        </is>
      </c>
      <c r="W21">
        <f>HYPERLINK("https://klasma.github.io/Logging_0115/artfynd/A 9745-2022 artfynd.xlsx", "A 9745-2022")</f>
        <v/>
      </c>
      <c r="X21">
        <f>HYPERLINK("https://klasma.github.io/Logging_0115/kartor/A 9745-2022 karta.png", "A 9745-2022")</f>
        <v/>
      </c>
      <c r="Y21">
        <f>HYPERLINK("https://klasma.github.io/Logging_0115/kartor_geotiff/A 9745-2022 georefererad karta.tif", "A 9745-2022")</f>
        <v/>
      </c>
      <c r="AA21">
        <f>HYPERLINK("https://klasma.github.io/Logging_0115/klagomål/A 9745-2022 FSC-klagomål.docx", "A 9745-2022")</f>
        <v/>
      </c>
      <c r="AB21">
        <f>HYPERLINK("https://klasma.github.io/Logging_0115/klagomålsmail/A 9745-2022 FSC-klagomål mail.docx", "A 9745-2022")</f>
        <v/>
      </c>
      <c r="AC21">
        <f>HYPERLINK("https://klasma.github.io/Logging_0115/tillsyn/A 9745-2022 tillsynsbegäran.docx", "A 9745-2022")</f>
        <v/>
      </c>
      <c r="AD21">
        <f>HYPERLINK("https://klasma.github.io/Logging_0115/tillsynsmail/A 9745-2022 tillsynsbegäran mail.docx", "A 9745-2022")</f>
        <v/>
      </c>
      <c r="AE21">
        <f>HYPERLINK("https://klasma.github.io/Logging_0115/fåglar/A 9745-2022 prioriterade fågelarter.docx", "A 9745-2022")</f>
        <v/>
      </c>
    </row>
    <row r="22" ht="15" customHeight="1">
      <c r="A22" t="inlineStr">
        <is>
          <t>A 60-2022</t>
        </is>
      </c>
      <c r="B22" t="inlineStr">
        <is>
          <t>avverkningsanmälan</t>
        </is>
      </c>
      <c r="C22" t="inlineStr">
        <is>
          <t>Föryngringsavverkning</t>
        </is>
      </c>
      <c r="D22" s="1" t="n">
        <v>44560</v>
      </c>
      <c r="E22" s="1" t="n">
        <v>46293</v>
      </c>
      <c r="F22" t="inlineStr">
        <is>
          <t>STOCKHOLMS LÄN</t>
        </is>
      </c>
      <c r="G22" t="inlineStr">
        <is>
          <t>VALLENTUNA</t>
        </is>
      </c>
      <c r="H22" t="inlineStr">
        <is>
          <t>Övriga Aktiebolag</t>
        </is>
      </c>
      <c r="I22" t="n">
        <v>14.3</v>
      </c>
      <c r="J22" t="n">
        <v>0</v>
      </c>
      <c r="K22" t="n">
        <v>1</v>
      </c>
      <c r="L22" t="n">
        <v>1</v>
      </c>
      <c r="M22" t="n">
        <v>0</v>
      </c>
      <c r="N22" t="n">
        <v>0</v>
      </c>
      <c r="O22" t="n">
        <v>0</v>
      </c>
      <c r="P22" t="n">
        <v>0</v>
      </c>
      <c r="Q22" t="n">
        <v>1</v>
      </c>
      <c r="R22" t="n">
        <v>0</v>
      </c>
      <c r="S22" t="n">
        <v>2</v>
      </c>
      <c r="T22" t="n">
        <v>2</v>
      </c>
      <c r="U22" t="n">
        <v>0</v>
      </c>
      <c r="V22" s="2" t="inlineStr">
        <is>
          <t>Vårärt
Vätteros</t>
        </is>
      </c>
      <c r="W22">
        <f>HYPERLINK("https://klasma.github.io/Logging_0115/artfynd/A 60-2022 artfynd.xlsx", "A 60-2022")</f>
        <v/>
      </c>
      <c r="X22">
        <f>HYPERLINK("https://klasma.github.io/Logging_0115/kartor/A 60-2022 karta.png", "A 60-2022")</f>
        <v/>
      </c>
      <c r="Y22">
        <f>HYPERLINK("https://klasma.github.io/Logging_0115/kartor_geotiff/A 60-2022 georefererad karta.tif", "A 60-2022")</f>
        <v/>
      </c>
      <c r="AA22">
        <f>HYPERLINK("https://klasma.github.io/Logging_0115/klagomål/A 60-2022 FSC-klagomål.docx", "A 60-2022")</f>
        <v/>
      </c>
      <c r="AB22">
        <f>HYPERLINK("https://klasma.github.io/Logging_0115/klagomålsmail/A 60-2022 FSC-klagomål mail.docx", "A 60-2022")</f>
        <v/>
      </c>
      <c r="AC22">
        <f>HYPERLINK("https://klasma.github.io/Logging_0115/tillsyn/A 60-2022 tillsynsbegäran.docx", "A 60-2022")</f>
        <v/>
      </c>
      <c r="AD22">
        <f>HYPERLINK("https://klasma.github.io/Logging_0115/tillsynsmail/A 60-2022 tillsynsbegäran mail.docx", "A 60-2022")</f>
        <v/>
      </c>
    </row>
    <row r="23" ht="15" customHeight="1">
      <c r="A23" t="inlineStr">
        <is>
          <t>A 9445-2022</t>
        </is>
      </c>
      <c r="B23" t="inlineStr">
        <is>
          <t>avverkningsanmälan</t>
        </is>
      </c>
      <c r="C23" t="inlineStr">
        <is>
          <t>Föryngringsavverkning</t>
        </is>
      </c>
      <c r="D23" s="1" t="n">
        <v>44616</v>
      </c>
      <c r="E23" s="1" t="n">
        <v>46293</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t="n">
        <v>2</v>
      </c>
      <c r="V23" s="2" t="inlineStr">
        <is>
          <t>Grönpyrola
Blåsippa</t>
        </is>
      </c>
      <c r="W23">
        <f>HYPERLINK("https://klasma.github.io/Logging_0115/artfynd/A 9445-2022 artfynd.xlsx", "A 9445-2022")</f>
        <v/>
      </c>
      <c r="X23">
        <f>HYPERLINK("https://klasma.github.io/Logging_0115/kartor/A 9445-2022 karta.png", "A 9445-2022")</f>
        <v/>
      </c>
      <c r="Y23">
        <f>HYPERLINK("https://klasma.github.io/Logging_0115/kartor_geotiff/A 9445-2022 georefererad karta.tif", "A 9445-2022")</f>
        <v/>
      </c>
      <c r="AA23">
        <f>HYPERLINK("https://klasma.github.io/Logging_0115/klagomål/A 9445-2022 FSC-klagomål.docx", "A 9445-2022")</f>
        <v/>
      </c>
      <c r="AB23">
        <f>HYPERLINK("https://klasma.github.io/Logging_0115/klagomålsmail/A 9445-2022 FSC-klagomål mail.docx", "A 9445-2022")</f>
        <v/>
      </c>
      <c r="AC23">
        <f>HYPERLINK("https://klasma.github.io/Logging_0115/tillsyn/A 9445-2022 tillsynsbegäran.docx", "A 9445-2022")</f>
        <v/>
      </c>
      <c r="AD23">
        <f>HYPERLINK("https://klasma.github.io/Logging_0115/tillsynsmail/A 9445-2022 tillsynsbegäran mail.docx", "A 9445-2022")</f>
        <v/>
      </c>
    </row>
    <row r="24" ht="15" customHeight="1">
      <c r="A24" t="inlineStr">
        <is>
          <t>A 63539-2025</t>
        </is>
      </c>
      <c r="B24" t="inlineStr">
        <is>
          <t>avverkningsanmälan</t>
        </is>
      </c>
      <c r="C24" t="inlineStr">
        <is>
          <t>Föryngringsavverkning</t>
        </is>
      </c>
      <c r="D24" s="1" t="n">
        <v>46013</v>
      </c>
      <c r="E24" s="1" t="n">
        <v>46293</v>
      </c>
      <c r="F24" t="inlineStr">
        <is>
          <t>STOCKHOLMS LÄN</t>
        </is>
      </c>
      <c r="G24" t="inlineStr">
        <is>
          <t>VALLENTUNA</t>
        </is>
      </c>
      <c r="I24" t="n">
        <v>1.1</v>
      </c>
      <c r="J24" t="n">
        <v>0</v>
      </c>
      <c r="K24" t="n">
        <v>0</v>
      </c>
      <c r="L24" t="n">
        <v>2</v>
      </c>
      <c r="M24" t="n">
        <v>0</v>
      </c>
      <c r="N24" t="n">
        <v>0</v>
      </c>
      <c r="O24" t="n">
        <v>0</v>
      </c>
      <c r="P24" t="n">
        <v>0</v>
      </c>
      <c r="Q24" t="n">
        <v>2</v>
      </c>
      <c r="R24" t="n">
        <v>0</v>
      </c>
      <c r="S24" t="n">
        <v>2</v>
      </c>
      <c r="T24" t="n">
        <v>2</v>
      </c>
      <c r="U24" t="n">
        <v>0</v>
      </c>
      <c r="V24" s="2" t="inlineStr">
        <is>
          <t>Tallticka
Vårärt</t>
        </is>
      </c>
      <c r="W24">
        <f>HYPERLINK("https://klasma.github.io/Logging_0115/artfynd/A 63539-2025 artfynd.xlsx", "A 63539-2025")</f>
        <v/>
      </c>
      <c r="X24">
        <f>HYPERLINK("https://klasma.github.io/Logging_0115/kartor/A 63539-2025 karta.png", "A 63539-2025")</f>
        <v/>
      </c>
      <c r="Y24">
        <f>HYPERLINK("https://klasma.github.io/Logging_0115/kartor_geotiff/A 63539-2025 georefererad karta.tif", "A 63539-2025")</f>
        <v/>
      </c>
      <c r="AA24">
        <f>HYPERLINK("https://klasma.github.io/Logging_0115/klagomål/A 63539-2025 FSC-klagomål.docx", "A 63539-2025")</f>
        <v/>
      </c>
      <c r="AB24">
        <f>HYPERLINK("https://klasma.github.io/Logging_0115/klagomålsmail/A 63539-2025 FSC-klagomål mail.docx", "A 63539-2025")</f>
        <v/>
      </c>
      <c r="AC24">
        <f>HYPERLINK("https://klasma.github.io/Logging_0115/tillsyn/A 63539-2025 tillsynsbegäran.docx", "A 63539-2025")</f>
        <v/>
      </c>
      <c r="AD24">
        <f>HYPERLINK("https://klasma.github.io/Logging_0115/tillsynsmail/A 63539-2025 tillsynsbegäran mail.docx", "A 63539-2025")</f>
        <v/>
      </c>
    </row>
    <row r="25" ht="15" customHeight="1">
      <c r="A25" t="inlineStr">
        <is>
          <t>A 27935-2026</t>
        </is>
      </c>
      <c r="B25" t="inlineStr">
        <is>
          <t>avverkningsanmälan</t>
        </is>
      </c>
      <c r="C25" t="inlineStr">
        <is>
          <t>Avverkning för annat ändamål</t>
        </is>
      </c>
      <c r="D25" s="1" t="n">
        <v>46191</v>
      </c>
      <c r="E25" s="1" t="n">
        <v>46293</v>
      </c>
      <c r="F25" t="inlineStr">
        <is>
          <t>STOCKHOLMS LÄN</t>
        </is>
      </c>
      <c r="G25" t="inlineStr">
        <is>
          <t>VALLENTUNA</t>
        </is>
      </c>
      <c r="I25" t="n">
        <v>5</v>
      </c>
      <c r="J25" t="n">
        <v>2</v>
      </c>
      <c r="K25" t="n">
        <v>0</v>
      </c>
      <c r="L25" t="n">
        <v>0</v>
      </c>
      <c r="M25" t="n">
        <v>0</v>
      </c>
      <c r="N25" t="n">
        <v>0</v>
      </c>
      <c r="O25" t="n">
        <v>0</v>
      </c>
      <c r="P25" t="n">
        <v>0</v>
      </c>
      <c r="Q25" t="n">
        <v>0</v>
      </c>
      <c r="R25" t="n">
        <v>0</v>
      </c>
      <c r="S25" t="n">
        <v>2</v>
      </c>
      <c r="T25" t="n">
        <v>9</v>
      </c>
      <c r="U25" t="n">
        <v>0</v>
      </c>
      <c r="V25" s="2" t="inlineStr">
        <is>
          <t>Större vattensalamander
Mindre vattensalamander</t>
        </is>
      </c>
      <c r="W25">
        <f>HYPERLINK("https://klasma.github.io/Logging_0115/artfynd/A 27935-2026 artfynd.xlsx", "A 27935-2026")</f>
        <v/>
      </c>
      <c r="X25">
        <f>HYPERLINK("https://klasma.github.io/Logging_0115/kartor/A 27935-2026 karta.png", "A 27935-2026")</f>
        <v/>
      </c>
      <c r="Y25">
        <f>HYPERLINK("https://klasma.github.io/Logging_0115/kartor_geotiff/A 27935-2026 georefererad karta.tif", "A 27935-2026")</f>
        <v/>
      </c>
      <c r="AA25">
        <f>HYPERLINK("https://klasma.github.io/Logging_0115/klagomål/A 27935-2026 FSC-klagomål.docx", "A 27935-2026")</f>
        <v/>
      </c>
      <c r="AB25">
        <f>HYPERLINK("https://klasma.github.io/Logging_0115/klagomålsmail/A 27935-2026 FSC-klagomål mail.docx", "A 27935-2026")</f>
        <v/>
      </c>
      <c r="AC25">
        <f>HYPERLINK("https://klasma.github.io/Logging_0115/tillsyn/A 27935-2026 tillsynsbegäran.docx", "A 27935-2026")</f>
        <v/>
      </c>
      <c r="AD25">
        <f>HYPERLINK("https://klasma.github.io/Logging_0115/tillsynsmail/A 27935-2026 tillsynsbegäran mail.docx", "A 27935-2026")</f>
        <v/>
      </c>
    </row>
    <row r="26" ht="15" customHeight="1">
      <c r="A26" t="inlineStr">
        <is>
          <t>A 41021-2023</t>
        </is>
      </c>
      <c r="B26" t="inlineStr">
        <is>
          <t>avverkningsanmälan</t>
        </is>
      </c>
      <c r="C26" t="inlineStr">
        <is>
          <t>Föryngringsavverkning</t>
        </is>
      </c>
      <c r="D26" s="1" t="n">
        <v>45173</v>
      </c>
      <c r="E26" s="1" t="n">
        <v>46293</v>
      </c>
      <c r="F26" t="inlineStr">
        <is>
          <t>STOCKHOLMS LÄN</t>
        </is>
      </c>
      <c r="G26" t="inlineStr">
        <is>
          <t>VALLENTUNA</t>
        </is>
      </c>
      <c r="I26" t="n">
        <v>3</v>
      </c>
      <c r="J26" t="n">
        <v>0</v>
      </c>
      <c r="K26" t="n">
        <v>0</v>
      </c>
      <c r="L26" t="n">
        <v>2</v>
      </c>
      <c r="M26" t="n">
        <v>0</v>
      </c>
      <c r="N26" t="n">
        <v>0</v>
      </c>
      <c r="O26" t="n">
        <v>0</v>
      </c>
      <c r="P26" t="n">
        <v>0</v>
      </c>
      <c r="Q26" t="n">
        <v>2</v>
      </c>
      <c r="R26" t="n">
        <v>0</v>
      </c>
      <c r="S26" t="n">
        <v>2</v>
      </c>
      <c r="T26" t="n">
        <v>2</v>
      </c>
      <c r="U26" t="n">
        <v>0</v>
      </c>
      <c r="V26" s="2" t="inlineStr">
        <is>
          <t>Fjällig taggsvamp s.str.
Orange taggsvamp</t>
        </is>
      </c>
      <c r="W26">
        <f>HYPERLINK("https://klasma.github.io/Logging_0115/artfynd/A 41021-2023 artfynd.xlsx", "A 41021-2023")</f>
        <v/>
      </c>
      <c r="X26">
        <f>HYPERLINK("https://klasma.github.io/Logging_0115/kartor/A 41021-2023 karta.png", "A 41021-2023")</f>
        <v/>
      </c>
      <c r="Y26">
        <f>HYPERLINK("https://klasma.github.io/Logging_0115/kartor_geotiff/A 41021-2023 georefererad karta.tif", "A 41021-2023")</f>
        <v/>
      </c>
      <c r="AA26">
        <f>HYPERLINK("https://klasma.github.io/Logging_0115/klagomål/A 41021-2023 FSC-klagomål.docx", "A 41021-2023")</f>
        <v/>
      </c>
      <c r="AB26">
        <f>HYPERLINK("https://klasma.github.io/Logging_0115/klagomålsmail/A 41021-2023 FSC-klagomål mail.docx", "A 41021-2023")</f>
        <v/>
      </c>
      <c r="AC26">
        <f>HYPERLINK("https://klasma.github.io/Logging_0115/tillsyn/A 41021-2023 tillsynsbegäran.docx", "A 41021-2023")</f>
        <v/>
      </c>
      <c r="AD26">
        <f>HYPERLINK("https://klasma.github.io/Logging_0115/tillsynsmail/A 41021-2023 tillsynsbegäran mail.docx", "A 41021-2023")</f>
        <v/>
      </c>
    </row>
    <row r="27" ht="15" customHeight="1">
      <c r="A27" t="inlineStr">
        <is>
          <t>A 39168-2026</t>
        </is>
      </c>
      <c r="B27" t="inlineStr">
        <is>
          <t>avverkningsanmälan</t>
        </is>
      </c>
      <c r="C27" t="inlineStr">
        <is>
          <t>Föryngringsavverkning</t>
        </is>
      </c>
      <c r="D27" s="1" t="n">
        <v>46287</v>
      </c>
      <c r="E27" s="1" t="n">
        <v>46293</v>
      </c>
      <c r="F27" t="inlineStr">
        <is>
          <t>STOCKHOLMS LÄN</t>
        </is>
      </c>
      <c r="G27" t="inlineStr">
        <is>
          <t>VALLENTUNA</t>
        </is>
      </c>
      <c r="I27" t="n">
        <v>6.8</v>
      </c>
      <c r="J27" t="n">
        <v>0</v>
      </c>
      <c r="K27" t="n">
        <v>1</v>
      </c>
      <c r="L27" t="n">
        <v>1</v>
      </c>
      <c r="M27" t="n">
        <v>0</v>
      </c>
      <c r="N27" t="n">
        <v>0</v>
      </c>
      <c r="O27" t="n">
        <v>0</v>
      </c>
      <c r="P27" t="n">
        <v>0</v>
      </c>
      <c r="Q27" t="n">
        <v>1</v>
      </c>
      <c r="R27" t="n">
        <v>0</v>
      </c>
      <c r="S27" t="n">
        <v>2</v>
      </c>
      <c r="T27" t="n">
        <v>2</v>
      </c>
      <c r="U27" t="n">
        <v>0</v>
      </c>
      <c r="V27" s="2" t="inlineStr">
        <is>
          <t>Ullticka
Bollvitmossa</t>
        </is>
      </c>
      <c r="W27">
        <f>HYPERLINK("https://klasma.github.io/Logging_0115/artfynd/A 39168-2026 artfynd.xlsx", "A 39168-2026")</f>
        <v/>
      </c>
      <c r="X27">
        <f>HYPERLINK("https://klasma.github.io/Logging_0115/kartor/A 39168-2026 karta.png", "A 39168-2026")</f>
        <v/>
      </c>
      <c r="Y27">
        <f>HYPERLINK("https://klasma.github.io/Logging_0115/kartor_geotiff/A 39168-2026 georefererad karta.tif", "A 39168-2026")</f>
        <v/>
      </c>
      <c r="AA27">
        <f>HYPERLINK("https://klasma.github.io/Logging_0115/klagomål/A 39168-2026 FSC-klagomål.docx", "A 39168-2026")</f>
        <v/>
      </c>
      <c r="AB27">
        <f>HYPERLINK("https://klasma.github.io/Logging_0115/klagomålsmail/A 39168-2026 FSC-klagomål mail.docx", "A 39168-2026")</f>
        <v/>
      </c>
      <c r="AC27">
        <f>HYPERLINK("https://klasma.github.io/Logging_0115/tillsyn/A 39168-2026 tillsynsbegäran.docx", "A 39168-2026")</f>
        <v/>
      </c>
      <c r="AD27">
        <f>HYPERLINK("https://klasma.github.io/Logging_0115/tillsynsmail/A 39168-2026 tillsynsbegäran mail.docx", "A 39168-2026")</f>
        <v/>
      </c>
    </row>
    <row r="28" ht="15" customHeight="1">
      <c r="A28" t="inlineStr">
        <is>
          <t>A 39170-2026</t>
        </is>
      </c>
      <c r="B28" t="inlineStr">
        <is>
          <t>avverkningsanmälan</t>
        </is>
      </c>
      <c r="C28" t="inlineStr">
        <is>
          <t>Föryngringsavverkning</t>
        </is>
      </c>
      <c r="D28" s="1" t="n">
        <v>46287</v>
      </c>
      <c r="E28" s="1" t="n">
        <v>46293</v>
      </c>
      <c r="F28" t="inlineStr">
        <is>
          <t>STOCKHOLMS LÄN</t>
        </is>
      </c>
      <c r="G28" t="inlineStr">
        <is>
          <t>VALLENTUNA</t>
        </is>
      </c>
      <c r="I28" t="n">
        <v>9.199999999999999</v>
      </c>
      <c r="J28" t="n">
        <v>0</v>
      </c>
      <c r="K28" t="n">
        <v>0</v>
      </c>
      <c r="L28" t="n">
        <v>2</v>
      </c>
      <c r="M28" t="n">
        <v>0</v>
      </c>
      <c r="N28" t="n">
        <v>0</v>
      </c>
      <c r="O28" t="n">
        <v>0</v>
      </c>
      <c r="P28" t="n">
        <v>0</v>
      </c>
      <c r="Q28" t="n">
        <v>2</v>
      </c>
      <c r="R28" t="n">
        <v>0</v>
      </c>
      <c r="S28" t="n">
        <v>2</v>
      </c>
      <c r="T28" t="n">
        <v>5</v>
      </c>
      <c r="U28" t="n">
        <v>0</v>
      </c>
      <c r="V28" s="2" t="inlineStr">
        <is>
          <t>Dropptaggsvamp
Tallticka</t>
        </is>
      </c>
      <c r="W28">
        <f>HYPERLINK("https://klasma.github.io/Logging_0115/artfynd/A 39170-2026 artfynd.xlsx", "A 39170-2026")</f>
        <v/>
      </c>
      <c r="X28">
        <f>HYPERLINK("https://klasma.github.io/Logging_0115/kartor/A 39170-2026 karta.png", "A 39170-2026")</f>
        <v/>
      </c>
      <c r="Y28">
        <f>HYPERLINK("https://klasma.github.io/Logging_0115/kartor_geotiff/A 39170-2026 georefererad karta.tif", "A 39170-2026")</f>
        <v/>
      </c>
      <c r="AA28">
        <f>HYPERLINK("https://klasma.github.io/Logging_0115/klagomål/A 39170-2026 FSC-klagomål.docx", "A 39170-2026")</f>
        <v/>
      </c>
      <c r="AB28">
        <f>HYPERLINK("https://klasma.github.io/Logging_0115/klagomålsmail/A 39170-2026 FSC-klagomål mail.docx", "A 39170-2026")</f>
        <v/>
      </c>
      <c r="AC28">
        <f>HYPERLINK("https://klasma.github.io/Logging_0115/tillsyn/A 39170-2026 tillsynsbegäran.docx", "A 39170-2026")</f>
        <v/>
      </c>
      <c r="AD28">
        <f>HYPERLINK("https://klasma.github.io/Logging_0115/tillsynsmail/A 39170-2026 tillsynsbegäran mail.docx", "A 39170-2026")</f>
        <v/>
      </c>
    </row>
    <row r="29" ht="15" customHeight="1">
      <c r="A29" t="inlineStr">
        <is>
          <t>A 34460-2023</t>
        </is>
      </c>
      <c r="B29" t="inlineStr">
        <is>
          <t>avverkningsanmälan</t>
        </is>
      </c>
      <c r="C29" t="inlineStr">
        <is>
          <t>Föryngringsavverkning</t>
        </is>
      </c>
      <c r="D29" s="1" t="n">
        <v>45139</v>
      </c>
      <c r="E29" s="1" t="n">
        <v>46293</v>
      </c>
      <c r="F29" t="inlineStr">
        <is>
          <t>STOCKHOLMS LÄN</t>
        </is>
      </c>
      <c r="G29" t="inlineStr">
        <is>
          <t>VALLENTUNA</t>
        </is>
      </c>
      <c r="I29" t="n">
        <v>1.7</v>
      </c>
      <c r="J29" t="n">
        <v>0</v>
      </c>
      <c r="K29" t="n">
        <v>0</v>
      </c>
      <c r="L29" t="n">
        <v>2</v>
      </c>
      <c r="M29" t="n">
        <v>0</v>
      </c>
      <c r="N29" t="n">
        <v>0</v>
      </c>
      <c r="O29" t="n">
        <v>0</v>
      </c>
      <c r="P29" t="n">
        <v>0</v>
      </c>
      <c r="Q29" t="n">
        <v>2</v>
      </c>
      <c r="R29" t="n">
        <v>0</v>
      </c>
      <c r="S29" t="n">
        <v>2</v>
      </c>
      <c r="T29" t="n">
        <v>2</v>
      </c>
      <c r="U29" t="n">
        <v>2</v>
      </c>
      <c r="V29" s="2" t="inlineStr">
        <is>
          <t>Motaggsvamp
Orange taggsvamp</t>
        </is>
      </c>
      <c r="W29">
        <f>HYPERLINK("https://klasma.github.io/Logging_0115/artfynd/A 34460-2023 artfynd.xlsx", "A 34460-2023")</f>
        <v/>
      </c>
      <c r="X29">
        <f>HYPERLINK("https://klasma.github.io/Logging_0115/kartor/A 34460-2023 karta.png", "A 34460-2023")</f>
        <v/>
      </c>
      <c r="Y29">
        <f>HYPERLINK("https://klasma.github.io/Logging_0115/kartor_geotiff/A 34460-2023 georefererad karta.tif", "A 34460-2023")</f>
        <v/>
      </c>
      <c r="AA29">
        <f>HYPERLINK("https://klasma.github.io/Logging_0115/klagomål/A 34460-2023 FSC-klagomål.docx", "A 34460-2023")</f>
        <v/>
      </c>
      <c r="AB29">
        <f>HYPERLINK("https://klasma.github.io/Logging_0115/klagomålsmail/A 34460-2023 FSC-klagomål mail.docx", "A 34460-2023")</f>
        <v/>
      </c>
      <c r="AC29">
        <f>HYPERLINK("https://klasma.github.io/Logging_0115/tillsyn/A 34460-2023 tillsynsbegäran.docx", "A 34460-2023")</f>
        <v/>
      </c>
      <c r="AD29">
        <f>HYPERLINK("https://klasma.github.io/Logging_0115/tillsynsmail/A 34460-2023 tillsynsbegäran mail.docx", "A 34460-2023")</f>
        <v/>
      </c>
    </row>
    <row r="30" ht="15" customHeight="1">
      <c r="A30" t="inlineStr">
        <is>
          <t>A 17348-2025</t>
        </is>
      </c>
      <c r="B30" t="inlineStr">
        <is>
          <t>avverkningsanmälan</t>
        </is>
      </c>
      <c r="C30" t="inlineStr">
        <is>
          <t>Föryngringsavverkning</t>
        </is>
      </c>
      <c r="D30" s="1" t="n">
        <v>45756</v>
      </c>
      <c r="E30" s="1" t="n">
        <v>46293</v>
      </c>
      <c r="F30" t="inlineStr">
        <is>
          <t>STOCKHOLMS LÄN</t>
        </is>
      </c>
      <c r="G30" t="inlineStr">
        <is>
          <t>VALLENTUNA</t>
        </is>
      </c>
      <c r="H30" t="inlineStr">
        <is>
          <t>Övriga Aktiebolag</t>
        </is>
      </c>
      <c r="I30" t="n">
        <v>2.2</v>
      </c>
      <c r="J30" t="n">
        <v>0</v>
      </c>
      <c r="K30" t="n">
        <v>1</v>
      </c>
      <c r="L30" t="n">
        <v>0</v>
      </c>
      <c r="M30" t="n">
        <v>0</v>
      </c>
      <c r="N30" t="n">
        <v>0</v>
      </c>
      <c r="O30" t="n">
        <v>0</v>
      </c>
      <c r="P30" t="n">
        <v>0</v>
      </c>
      <c r="Q30" t="n">
        <v>0</v>
      </c>
      <c r="R30" t="n">
        <v>0</v>
      </c>
      <c r="S30" t="n">
        <v>1</v>
      </c>
      <c r="T30" t="n">
        <v>1</v>
      </c>
      <c r="U30" t="n">
        <v>0</v>
      </c>
      <c r="V30" s="2" t="inlineStr">
        <is>
          <t>Björksplintborre</t>
        </is>
      </c>
      <c r="W30">
        <f>HYPERLINK("https://klasma.github.io/Logging_0115/artfynd/A 17348-2025 artfynd.xlsx", "A 17348-2025")</f>
        <v/>
      </c>
      <c r="X30">
        <f>HYPERLINK("https://klasma.github.io/Logging_0115/kartor/A 17348-2025 karta.png", "A 17348-2025")</f>
        <v/>
      </c>
      <c r="Y30">
        <f>HYPERLINK("https://klasma.github.io/Logging_0115/kartor_geotiff/A 17348-2025 georefererad karta.tif", "A 17348-2025")</f>
        <v/>
      </c>
      <c r="AA30">
        <f>HYPERLINK("https://klasma.github.io/Logging_0115/klagomål/A 17348-2025 FSC-klagomål.docx", "A 17348-2025")</f>
        <v/>
      </c>
      <c r="AB30">
        <f>HYPERLINK("https://klasma.github.io/Logging_0115/klagomålsmail/A 17348-2025 FSC-klagomål mail.docx", "A 17348-2025")</f>
        <v/>
      </c>
      <c r="AC30">
        <f>HYPERLINK("https://klasma.github.io/Logging_0115/tillsyn/A 17348-2025 tillsynsbegäran.docx", "A 17348-2025")</f>
        <v/>
      </c>
      <c r="AD30">
        <f>HYPERLINK("https://klasma.github.io/Logging_0115/tillsynsmail/A 17348-2025 tillsynsbegäran mail.docx", "A 17348-2025")</f>
        <v/>
      </c>
    </row>
    <row r="31" ht="15" customHeight="1">
      <c r="A31" t="inlineStr">
        <is>
          <t>A 22830-2024</t>
        </is>
      </c>
      <c r="B31" t="inlineStr">
        <is>
          <t>avverkningsanmälan</t>
        </is>
      </c>
      <c r="C31" t="inlineStr">
        <is>
          <t>Föryngringsavverkning</t>
        </is>
      </c>
      <c r="D31" s="1" t="n">
        <v>45448</v>
      </c>
      <c r="E31" s="1" t="n">
        <v>46293</v>
      </c>
      <c r="F31" t="inlineStr">
        <is>
          <t>STOCKHOLMS LÄN</t>
        </is>
      </c>
      <c r="G31" t="inlineStr">
        <is>
          <t>VALLENTUNA</t>
        </is>
      </c>
      <c r="I31" t="n">
        <v>0.3</v>
      </c>
      <c r="J31" t="n">
        <v>0</v>
      </c>
      <c r="K31" t="n">
        <v>0</v>
      </c>
      <c r="L31" t="n">
        <v>1</v>
      </c>
      <c r="M31" t="n">
        <v>0</v>
      </c>
      <c r="N31" t="n">
        <v>0</v>
      </c>
      <c r="O31" t="n">
        <v>0</v>
      </c>
      <c r="P31" t="n">
        <v>0</v>
      </c>
      <c r="Q31" t="n">
        <v>1</v>
      </c>
      <c r="R31" t="n">
        <v>0</v>
      </c>
      <c r="S31" t="n">
        <v>1</v>
      </c>
      <c r="T31" t="n">
        <v>1</v>
      </c>
      <c r="U31" t="n">
        <v>0</v>
      </c>
      <c r="V31" s="2" t="inlineStr">
        <is>
          <t>Tallticka</t>
        </is>
      </c>
      <c r="W31">
        <f>HYPERLINK("https://klasma.github.io/Logging_0115/artfynd/A 22830-2024 artfynd.xlsx", "A 22830-2024")</f>
        <v/>
      </c>
      <c r="X31">
        <f>HYPERLINK("https://klasma.github.io/Logging_0115/kartor/A 22830-2024 karta.png", "A 22830-2024")</f>
        <v/>
      </c>
      <c r="Y31">
        <f>HYPERLINK("https://klasma.github.io/Logging_0115/kartor_geotiff/A 22830-2024 georefererad karta.tif", "A 22830-2024")</f>
        <v/>
      </c>
      <c r="AA31">
        <f>HYPERLINK("https://klasma.github.io/Logging_0115/klagomål/A 22830-2024 FSC-klagomål.docx", "A 22830-2024")</f>
        <v/>
      </c>
      <c r="AB31">
        <f>HYPERLINK("https://klasma.github.io/Logging_0115/klagomålsmail/A 22830-2024 FSC-klagomål mail.docx", "A 22830-2024")</f>
        <v/>
      </c>
      <c r="AC31">
        <f>HYPERLINK("https://klasma.github.io/Logging_0115/tillsyn/A 22830-2024 tillsynsbegäran.docx", "A 22830-2024")</f>
        <v/>
      </c>
      <c r="AD31">
        <f>HYPERLINK("https://klasma.github.io/Logging_0115/tillsynsmail/A 22830-2024 tillsynsbegäran mail.docx", "A 22830-2024")</f>
        <v/>
      </c>
    </row>
    <row r="32" ht="15" customHeight="1">
      <c r="A32" t="inlineStr">
        <is>
          <t>A 12396-2026</t>
        </is>
      </c>
      <c r="B32" t="inlineStr">
        <is>
          <t>avverkningsanmälan</t>
        </is>
      </c>
      <c r="C32" t="inlineStr">
        <is>
          <t>Föryngringsavverkning</t>
        </is>
      </c>
      <c r="D32" s="1" t="n">
        <v>46090</v>
      </c>
      <c r="E32" s="1" t="n">
        <v>46293</v>
      </c>
      <c r="F32" t="inlineStr">
        <is>
          <t>STOCKHOLMS LÄN</t>
        </is>
      </c>
      <c r="G32" t="inlineStr">
        <is>
          <t>VALLENTUNA</t>
        </is>
      </c>
      <c r="I32" t="n">
        <v>3</v>
      </c>
      <c r="J32" t="n">
        <v>1</v>
      </c>
      <c r="K32" t="n">
        <v>0</v>
      </c>
      <c r="L32" t="n">
        <v>0</v>
      </c>
      <c r="M32" t="n">
        <v>0</v>
      </c>
      <c r="N32" t="n">
        <v>0</v>
      </c>
      <c r="O32" t="n">
        <v>0</v>
      </c>
      <c r="P32" t="n">
        <v>0</v>
      </c>
      <c r="Q32" t="n">
        <v>0</v>
      </c>
      <c r="R32" t="n">
        <v>0</v>
      </c>
      <c r="S32" t="n">
        <v>1</v>
      </c>
      <c r="T32" t="n">
        <v>1</v>
      </c>
      <c r="U32" t="n">
        <v>1</v>
      </c>
      <c r="V32" s="2" t="inlineStr">
        <is>
          <t>Spillkråka</t>
        </is>
      </c>
      <c r="W32">
        <f>HYPERLINK("https://klasma.github.io/Logging_0115/artfynd/A 12396-2026 artfynd.xlsx", "A 12396-2026")</f>
        <v/>
      </c>
      <c r="X32">
        <f>HYPERLINK("https://klasma.github.io/Logging_0115/kartor/A 12396-2026 karta.png", "A 12396-2026")</f>
        <v/>
      </c>
      <c r="Y32">
        <f>HYPERLINK("https://klasma.github.io/Logging_0115/kartor_geotiff/A 12396-2026 georefererad karta.tif", "A 12396-2026")</f>
        <v/>
      </c>
      <c r="AA32">
        <f>HYPERLINK("https://klasma.github.io/Logging_0115/klagomål/A 12396-2026 FSC-klagomål.docx", "A 12396-2026")</f>
        <v/>
      </c>
      <c r="AB32">
        <f>HYPERLINK("https://klasma.github.io/Logging_0115/klagomålsmail/A 12396-2026 FSC-klagomål mail.docx", "A 12396-2026")</f>
        <v/>
      </c>
      <c r="AC32">
        <f>HYPERLINK("https://klasma.github.io/Logging_0115/tillsyn/A 12396-2026 tillsynsbegäran.docx", "A 12396-2026")</f>
        <v/>
      </c>
      <c r="AD32">
        <f>HYPERLINK("https://klasma.github.io/Logging_0115/tillsynsmail/A 12396-2026 tillsynsbegäran mail.docx", "A 12396-2026")</f>
        <v/>
      </c>
      <c r="AE32">
        <f>HYPERLINK("https://klasma.github.io/Logging_0115/fåglar/A 12396-2026 prioriterade fågelarter.docx", "A 12396-2026")</f>
        <v/>
      </c>
    </row>
    <row r="33" ht="15" customHeight="1">
      <c r="A33" t="inlineStr">
        <is>
          <t>A 12401-2026</t>
        </is>
      </c>
      <c r="B33" t="inlineStr">
        <is>
          <t>avverkningsanmälan</t>
        </is>
      </c>
      <c r="C33" t="inlineStr">
        <is>
          <t>Föryngringsavverkning</t>
        </is>
      </c>
      <c r="D33" s="1" t="n">
        <v>46090</v>
      </c>
      <c r="E33" s="1" t="n">
        <v>46293</v>
      </c>
      <c r="F33" t="inlineStr">
        <is>
          <t>STOCKHOLMS LÄN</t>
        </is>
      </c>
      <c r="G33" t="inlineStr">
        <is>
          <t>VALLENTUNA</t>
        </is>
      </c>
      <c r="I33" t="n">
        <v>5.9</v>
      </c>
      <c r="J33" t="n">
        <v>1</v>
      </c>
      <c r="K33" t="n">
        <v>0</v>
      </c>
      <c r="L33" t="n">
        <v>0</v>
      </c>
      <c r="M33" t="n">
        <v>0</v>
      </c>
      <c r="N33" t="n">
        <v>0</v>
      </c>
      <c r="O33" t="n">
        <v>0</v>
      </c>
      <c r="P33" t="n">
        <v>0</v>
      </c>
      <c r="Q33" t="n">
        <v>0</v>
      </c>
      <c r="R33" t="n">
        <v>0</v>
      </c>
      <c r="S33" t="n">
        <v>1</v>
      </c>
      <c r="T33" t="n">
        <v>1</v>
      </c>
      <c r="U33" t="n">
        <v>0</v>
      </c>
      <c r="V33" s="2" t="inlineStr">
        <is>
          <t>Spillkråka</t>
        </is>
      </c>
      <c r="W33">
        <f>HYPERLINK("https://klasma.github.io/Logging_0115/artfynd/A 12401-2026 artfynd.xlsx", "A 12401-2026")</f>
        <v/>
      </c>
      <c r="X33">
        <f>HYPERLINK("https://klasma.github.io/Logging_0115/kartor/A 12401-2026 karta.png", "A 12401-2026")</f>
        <v/>
      </c>
      <c r="Y33">
        <f>HYPERLINK("https://klasma.github.io/Logging_0115/kartor_geotiff/A 12401-2026 georefererad karta.tif", "A 12401-2026")</f>
        <v/>
      </c>
      <c r="AA33">
        <f>HYPERLINK("https://klasma.github.io/Logging_0115/klagomål/A 12401-2026 FSC-klagomål.docx", "A 12401-2026")</f>
        <v/>
      </c>
      <c r="AB33">
        <f>HYPERLINK("https://klasma.github.io/Logging_0115/klagomålsmail/A 12401-2026 FSC-klagomål mail.docx", "A 12401-2026")</f>
        <v/>
      </c>
      <c r="AC33">
        <f>HYPERLINK("https://klasma.github.io/Logging_0115/tillsyn/A 12401-2026 tillsynsbegäran.docx", "A 12401-2026")</f>
        <v/>
      </c>
      <c r="AD33">
        <f>HYPERLINK("https://klasma.github.io/Logging_0115/tillsynsmail/A 12401-2026 tillsynsbegäran mail.docx", "A 12401-2026")</f>
        <v/>
      </c>
      <c r="AE33">
        <f>HYPERLINK("https://klasma.github.io/Logging_0115/fåglar/A 12401-2026 prioriterade fågelarter.docx", "A 12401-2026")</f>
        <v/>
      </c>
    </row>
    <row r="34" ht="15" customHeight="1">
      <c r="A34" t="inlineStr">
        <is>
          <t>A 54481-2025</t>
        </is>
      </c>
      <c r="B34" t="inlineStr">
        <is>
          <t>avverkningsanmälan</t>
        </is>
      </c>
      <c r="C34" t="inlineStr">
        <is>
          <t>Föryngringsavverkning</t>
        </is>
      </c>
      <c r="D34" s="1" t="n">
        <v>45965</v>
      </c>
      <c r="E34" s="1" t="n">
        <v>46293</v>
      </c>
      <c r="F34" t="inlineStr">
        <is>
          <t>STOCKHOLMS LÄN</t>
        </is>
      </c>
      <c r="G34" t="inlineStr">
        <is>
          <t>VALLENTUNA</t>
        </is>
      </c>
      <c r="I34" t="n">
        <v>1.4</v>
      </c>
      <c r="J34" t="n">
        <v>0</v>
      </c>
      <c r="K34" t="n">
        <v>0</v>
      </c>
      <c r="L34" t="n">
        <v>1</v>
      </c>
      <c r="M34" t="n">
        <v>0</v>
      </c>
      <c r="N34" t="n">
        <v>0</v>
      </c>
      <c r="O34" t="n">
        <v>0</v>
      </c>
      <c r="P34" t="n">
        <v>0</v>
      </c>
      <c r="Q34" t="n">
        <v>1</v>
      </c>
      <c r="R34" t="n">
        <v>0</v>
      </c>
      <c r="S34" t="n">
        <v>1</v>
      </c>
      <c r="T34" t="n">
        <v>1</v>
      </c>
      <c r="U34" t="n">
        <v>0</v>
      </c>
      <c r="V34" s="2" t="inlineStr">
        <is>
          <t>Gullklöver</t>
        </is>
      </c>
      <c r="W34">
        <f>HYPERLINK("https://klasma.github.io/Logging_0115/artfynd/A 54481-2025 artfynd.xlsx", "A 54481-2025")</f>
        <v/>
      </c>
      <c r="X34">
        <f>HYPERLINK("https://klasma.github.io/Logging_0115/kartor/A 54481-2025 karta.png", "A 54481-2025")</f>
        <v/>
      </c>
      <c r="Y34">
        <f>HYPERLINK("https://klasma.github.io/Logging_0115/kartor_geotiff/A 54481-2025 georefererad karta.tif", "A 54481-2025")</f>
        <v/>
      </c>
      <c r="AA34">
        <f>HYPERLINK("https://klasma.github.io/Logging_0115/klagomål/A 54481-2025 FSC-klagomål.docx", "A 54481-2025")</f>
        <v/>
      </c>
      <c r="AB34">
        <f>HYPERLINK("https://klasma.github.io/Logging_0115/klagomålsmail/A 54481-2025 FSC-klagomål mail.docx", "A 54481-2025")</f>
        <v/>
      </c>
      <c r="AC34">
        <f>HYPERLINK("https://klasma.github.io/Logging_0115/tillsyn/A 54481-2025 tillsynsbegäran.docx", "A 54481-2025")</f>
        <v/>
      </c>
      <c r="AD34">
        <f>HYPERLINK("https://klasma.github.io/Logging_0115/tillsynsmail/A 54481-2025 tillsynsbegäran mail.docx", "A 54481-2025")</f>
        <v/>
      </c>
    </row>
    <row r="35" ht="15" customHeight="1">
      <c r="A35" t="inlineStr">
        <is>
          <t>A 54460-2025</t>
        </is>
      </c>
      <c r="B35" t="inlineStr">
        <is>
          <t>avverkningsanmälan</t>
        </is>
      </c>
      <c r="C35" t="inlineStr">
        <is>
          <t>Föryngringsavverkning</t>
        </is>
      </c>
      <c r="D35" s="1" t="n">
        <v>45965</v>
      </c>
      <c r="E35" s="1" t="n">
        <v>46293</v>
      </c>
      <c r="F35" t="inlineStr">
        <is>
          <t>STOCKHOLMS LÄN</t>
        </is>
      </c>
      <c r="G35" t="inlineStr">
        <is>
          <t>VALLENTUNA</t>
        </is>
      </c>
      <c r="I35" t="n">
        <v>22.9</v>
      </c>
      <c r="J35" t="n">
        <v>0</v>
      </c>
      <c r="K35" t="n">
        <v>0</v>
      </c>
      <c r="L35" t="n">
        <v>1</v>
      </c>
      <c r="M35" t="n">
        <v>0</v>
      </c>
      <c r="N35" t="n">
        <v>0</v>
      </c>
      <c r="O35" t="n">
        <v>0</v>
      </c>
      <c r="P35" t="n">
        <v>0</v>
      </c>
      <c r="Q35" t="n">
        <v>1</v>
      </c>
      <c r="R35" t="n">
        <v>0</v>
      </c>
      <c r="S35" t="n">
        <v>1</v>
      </c>
      <c r="T35" t="n">
        <v>1</v>
      </c>
      <c r="U35" t="n">
        <v>0</v>
      </c>
      <c r="V35" s="2" t="inlineStr">
        <is>
          <t>Gullklöver</t>
        </is>
      </c>
      <c r="W35">
        <f>HYPERLINK("https://klasma.github.io/Logging_0115/artfynd/A 54460-2025 artfynd.xlsx", "A 54460-2025")</f>
        <v/>
      </c>
      <c r="X35">
        <f>HYPERLINK("https://klasma.github.io/Logging_0115/kartor/A 54460-2025 karta.png", "A 54460-2025")</f>
        <v/>
      </c>
      <c r="Y35">
        <f>HYPERLINK("https://klasma.github.io/Logging_0115/kartor_geotiff/A 54460-2025 georefererad karta.tif", "A 54460-2025")</f>
        <v/>
      </c>
      <c r="AA35">
        <f>HYPERLINK("https://klasma.github.io/Logging_0115/klagomål/A 54460-2025 FSC-klagomål.docx", "A 54460-2025")</f>
        <v/>
      </c>
      <c r="AB35">
        <f>HYPERLINK("https://klasma.github.io/Logging_0115/klagomålsmail/A 54460-2025 FSC-klagomål mail.docx", "A 54460-2025")</f>
        <v/>
      </c>
      <c r="AC35">
        <f>HYPERLINK("https://klasma.github.io/Logging_0115/tillsyn/A 54460-2025 tillsynsbegäran.docx", "A 54460-2025")</f>
        <v/>
      </c>
      <c r="AD35">
        <f>HYPERLINK("https://klasma.github.io/Logging_0115/tillsynsmail/A 54460-2025 tillsynsbegäran mail.docx", "A 54460-2025")</f>
        <v/>
      </c>
    </row>
    <row r="36" ht="15" customHeight="1">
      <c r="A36" t="inlineStr">
        <is>
          <t>A 24068-2024</t>
        </is>
      </c>
      <c r="B36" t="inlineStr">
        <is>
          <t>avverkningsanmälan</t>
        </is>
      </c>
      <c r="C36" t="inlineStr">
        <is>
          <t>Föryngringsavverkning</t>
        </is>
      </c>
      <c r="D36" s="1" t="n">
        <v>45456</v>
      </c>
      <c r="E36" s="1" t="n">
        <v>46293</v>
      </c>
      <c r="F36" t="inlineStr">
        <is>
          <t>STOCKHOLMS LÄN</t>
        </is>
      </c>
      <c r="G36" t="inlineStr">
        <is>
          <t>VALLENTUNA</t>
        </is>
      </c>
      <c r="I36" t="n">
        <v>7.4</v>
      </c>
      <c r="J36" t="n">
        <v>0</v>
      </c>
      <c r="K36" t="n">
        <v>0</v>
      </c>
      <c r="L36" t="n">
        <v>1</v>
      </c>
      <c r="M36" t="n">
        <v>0</v>
      </c>
      <c r="N36" t="n">
        <v>0</v>
      </c>
      <c r="O36" t="n">
        <v>0</v>
      </c>
      <c r="P36" t="n">
        <v>0</v>
      </c>
      <c r="Q36" t="n">
        <v>1</v>
      </c>
      <c r="R36" t="n">
        <v>0</v>
      </c>
      <c r="S36" t="n">
        <v>1</v>
      </c>
      <c r="T36" t="n">
        <v>1</v>
      </c>
      <c r="U36" t="n">
        <v>1</v>
      </c>
      <c r="V36" s="2" t="inlineStr">
        <is>
          <t>Vedskivlav</t>
        </is>
      </c>
      <c r="W36">
        <f>HYPERLINK("https://klasma.github.io/Logging_0115/artfynd/A 24068-2024 artfynd.xlsx", "A 24068-2024")</f>
        <v/>
      </c>
      <c r="X36">
        <f>HYPERLINK("https://klasma.github.io/Logging_0115/kartor/A 24068-2024 karta.png", "A 24068-2024")</f>
        <v/>
      </c>
      <c r="Y36">
        <f>HYPERLINK("https://klasma.github.io/Logging_0115/kartor_geotiff/A 24068-2024 georefererad karta.tif", "A 24068-2024")</f>
        <v/>
      </c>
      <c r="AA36">
        <f>HYPERLINK("https://klasma.github.io/Logging_0115/klagomål/A 24068-2024 FSC-klagomål.docx", "A 24068-2024")</f>
        <v/>
      </c>
      <c r="AB36">
        <f>HYPERLINK("https://klasma.github.io/Logging_0115/klagomålsmail/A 24068-2024 FSC-klagomål mail.docx", "A 24068-2024")</f>
        <v/>
      </c>
      <c r="AC36">
        <f>HYPERLINK("https://klasma.github.io/Logging_0115/tillsyn/A 24068-2024 tillsynsbegäran.docx", "A 24068-2024")</f>
        <v/>
      </c>
      <c r="AD36">
        <f>HYPERLINK("https://klasma.github.io/Logging_0115/tillsynsmail/A 24068-2024 tillsynsbegäran mail.docx", "A 24068-2024")</f>
        <v/>
      </c>
    </row>
    <row r="37" ht="15" customHeight="1">
      <c r="A37" t="inlineStr">
        <is>
          <t>A 7890-2023</t>
        </is>
      </c>
      <c r="B37" t="inlineStr">
        <is>
          <t>avverkningsanmälan</t>
        </is>
      </c>
      <c r="C37" t="inlineStr">
        <is>
          <t>Föryngringsavverkning</t>
        </is>
      </c>
      <c r="D37" s="1" t="n">
        <v>44973</v>
      </c>
      <c r="E37" s="1" t="n">
        <v>46293</v>
      </c>
      <c r="F37" t="inlineStr">
        <is>
          <t>STOCKHOLMS LÄN</t>
        </is>
      </c>
      <c r="G37" t="inlineStr">
        <is>
          <t>VALLENTUNA</t>
        </is>
      </c>
      <c r="I37" t="n">
        <v>0.5</v>
      </c>
      <c r="J37" t="n">
        <v>0</v>
      </c>
      <c r="K37" t="n">
        <v>0</v>
      </c>
      <c r="L37" t="n">
        <v>1</v>
      </c>
      <c r="M37" t="n">
        <v>0</v>
      </c>
      <c r="N37" t="n">
        <v>0</v>
      </c>
      <c r="O37" t="n">
        <v>0</v>
      </c>
      <c r="P37" t="n">
        <v>0</v>
      </c>
      <c r="Q37" t="n">
        <v>1</v>
      </c>
      <c r="R37" t="n">
        <v>0</v>
      </c>
      <c r="S37" t="n">
        <v>1</v>
      </c>
      <c r="T37" t="n">
        <v>1</v>
      </c>
      <c r="U37" t="n">
        <v>1</v>
      </c>
      <c r="V37" s="2" t="inlineStr">
        <is>
          <t>Ullticka</t>
        </is>
      </c>
      <c r="W37">
        <f>HYPERLINK("https://klasma.github.io/Logging_0115/artfynd/A 7890-2023 artfynd.xlsx", "A 7890-2023")</f>
        <v/>
      </c>
      <c r="X37">
        <f>HYPERLINK("https://klasma.github.io/Logging_0115/kartor/A 7890-2023 karta.png", "A 7890-2023")</f>
        <v/>
      </c>
      <c r="Y37">
        <f>HYPERLINK("https://klasma.github.io/Logging_0115/kartor_geotiff/A 7890-2023 georefererad karta.tif", "A 7890-2023")</f>
        <v/>
      </c>
      <c r="AA37">
        <f>HYPERLINK("https://klasma.github.io/Logging_0115/klagomål/A 7890-2023 FSC-klagomål.docx", "A 7890-2023")</f>
        <v/>
      </c>
      <c r="AB37">
        <f>HYPERLINK("https://klasma.github.io/Logging_0115/klagomålsmail/A 7890-2023 FSC-klagomål mail.docx", "A 7890-2023")</f>
        <v/>
      </c>
      <c r="AC37">
        <f>HYPERLINK("https://klasma.github.io/Logging_0115/tillsyn/A 7890-2023 tillsynsbegäran.docx", "A 7890-2023")</f>
        <v/>
      </c>
      <c r="AD37">
        <f>HYPERLINK("https://klasma.github.io/Logging_0115/tillsynsmail/A 7890-2023 tillsynsbegäran mail.docx", "A 7890-2023")</f>
        <v/>
      </c>
    </row>
    <row r="38" ht="15" customHeight="1">
      <c r="A38" t="inlineStr">
        <is>
          <t>A 20910-2026</t>
        </is>
      </c>
      <c r="B38" t="inlineStr">
        <is>
          <t>avverkningsanmälan</t>
        </is>
      </c>
      <c r="C38" t="inlineStr">
        <is>
          <t>Föryngringsavverkning</t>
        </is>
      </c>
      <c r="D38" s="1" t="n">
        <v>46142</v>
      </c>
      <c r="E38" s="1" t="n">
        <v>46293</v>
      </c>
      <c r="F38" t="inlineStr">
        <is>
          <t>STOCKHOLMS LÄN</t>
        </is>
      </c>
      <c r="G38" t="inlineStr">
        <is>
          <t>VALLENTUNA</t>
        </is>
      </c>
      <c r="I38" t="n">
        <v>1.8</v>
      </c>
      <c r="J38" t="n">
        <v>1</v>
      </c>
      <c r="K38" t="n">
        <v>0</v>
      </c>
      <c r="L38" t="n">
        <v>0</v>
      </c>
      <c r="M38" t="n">
        <v>0</v>
      </c>
      <c r="N38" t="n">
        <v>0</v>
      </c>
      <c r="O38" t="n">
        <v>0</v>
      </c>
      <c r="P38" t="n">
        <v>0</v>
      </c>
      <c r="Q38" t="n">
        <v>0</v>
      </c>
      <c r="R38" t="n">
        <v>0</v>
      </c>
      <c r="S38" t="n">
        <v>1</v>
      </c>
      <c r="T38" t="n">
        <v>1</v>
      </c>
      <c r="U38" t="n">
        <v>0</v>
      </c>
      <c r="V38" s="2" t="inlineStr">
        <is>
          <t>Revlummer</t>
        </is>
      </c>
      <c r="W38">
        <f>HYPERLINK("https://klasma.github.io/Logging_0115/artfynd/A 20910-2026 artfynd.xlsx", "A 20910-2026")</f>
        <v/>
      </c>
      <c r="X38">
        <f>HYPERLINK("https://klasma.github.io/Logging_0115/kartor/A 20910-2026 karta.png", "A 20910-2026")</f>
        <v/>
      </c>
      <c r="Y38">
        <f>HYPERLINK("https://klasma.github.io/Logging_0115/kartor_geotiff/A 20910-2026 georefererad karta.tif", "A 20910-2026")</f>
        <v/>
      </c>
      <c r="AA38">
        <f>HYPERLINK("https://klasma.github.io/Logging_0115/klagomål/A 20910-2026 FSC-klagomål.docx", "A 20910-2026")</f>
        <v/>
      </c>
      <c r="AB38">
        <f>HYPERLINK("https://klasma.github.io/Logging_0115/klagomålsmail/A 20910-2026 FSC-klagomål mail.docx", "A 20910-2026")</f>
        <v/>
      </c>
      <c r="AC38">
        <f>HYPERLINK("https://klasma.github.io/Logging_0115/tillsyn/A 20910-2026 tillsynsbegäran.docx", "A 20910-2026")</f>
        <v/>
      </c>
      <c r="AD38">
        <f>HYPERLINK("https://klasma.github.io/Logging_0115/tillsynsmail/A 20910-2026 tillsynsbegäran mail.docx", "A 20910-2026")</f>
        <v/>
      </c>
    </row>
    <row r="39" ht="15" customHeight="1">
      <c r="A39" t="inlineStr">
        <is>
          <t>A 20914-2026</t>
        </is>
      </c>
      <c r="B39" t="inlineStr">
        <is>
          <t>avverkningsanmälan</t>
        </is>
      </c>
      <c r="C39" t="inlineStr">
        <is>
          <t>Avverkning för att bevara och utveckla /försöksver</t>
        </is>
      </c>
      <c r="D39" s="1" t="n">
        <v>46142</v>
      </c>
      <c r="E39" s="1" t="n">
        <v>46293</v>
      </c>
      <c r="F39" t="inlineStr">
        <is>
          <t>STOCKHOLMS LÄN</t>
        </is>
      </c>
      <c r="G39" t="inlineStr">
        <is>
          <t>VALLENTUNA</t>
        </is>
      </c>
      <c r="I39" t="n">
        <v>1.1</v>
      </c>
      <c r="J39" t="n">
        <v>0</v>
      </c>
      <c r="K39" t="n">
        <v>0</v>
      </c>
      <c r="L39" t="n">
        <v>1</v>
      </c>
      <c r="M39" t="n">
        <v>0</v>
      </c>
      <c r="N39" t="n">
        <v>0</v>
      </c>
      <c r="O39" t="n">
        <v>0</v>
      </c>
      <c r="P39" t="n">
        <v>0</v>
      </c>
      <c r="Q39" t="n">
        <v>1</v>
      </c>
      <c r="R39" t="n">
        <v>0</v>
      </c>
      <c r="S39" t="n">
        <v>1</v>
      </c>
      <c r="T39" t="n">
        <v>2</v>
      </c>
      <c r="U39" t="n">
        <v>2</v>
      </c>
      <c r="V39" s="2" t="inlineStr">
        <is>
          <t>Tallticka</t>
        </is>
      </c>
      <c r="W39">
        <f>HYPERLINK("https://klasma.github.io/Logging_0115/artfynd/A 20914-2026 artfynd.xlsx", "A 20914-2026")</f>
        <v/>
      </c>
      <c r="X39">
        <f>HYPERLINK("https://klasma.github.io/Logging_0115/kartor/A 20914-2026 karta.png", "A 20914-2026")</f>
        <v/>
      </c>
      <c r="Y39">
        <f>HYPERLINK("https://klasma.github.io/Logging_0115/kartor_geotiff/A 20914-2026 georefererad karta.tif", "A 20914-2026")</f>
        <v/>
      </c>
      <c r="AA39">
        <f>HYPERLINK("https://klasma.github.io/Logging_0115/klagomål/A 20914-2026 FSC-klagomål.docx", "A 20914-2026")</f>
        <v/>
      </c>
      <c r="AB39">
        <f>HYPERLINK("https://klasma.github.io/Logging_0115/klagomålsmail/A 20914-2026 FSC-klagomål mail.docx", "A 20914-2026")</f>
        <v/>
      </c>
      <c r="AC39">
        <f>HYPERLINK("https://klasma.github.io/Logging_0115/tillsyn/A 20914-2026 tillsynsbegäran.docx", "A 20914-2026")</f>
        <v/>
      </c>
      <c r="AD39">
        <f>HYPERLINK("https://klasma.github.io/Logging_0115/tillsynsmail/A 20914-2026 tillsynsbegäran mail.docx", "A 20914-2026")</f>
        <v/>
      </c>
    </row>
    <row r="40" ht="15" customHeight="1">
      <c r="A40" t="inlineStr">
        <is>
          <t>A 21-2022</t>
        </is>
      </c>
      <c r="B40" t="inlineStr">
        <is>
          <t>avverkningsanmälan</t>
        </is>
      </c>
      <c r="C40" t="inlineStr">
        <is>
          <t>Föryngringsavverkning</t>
        </is>
      </c>
      <c r="D40" s="1" t="n">
        <v>44560</v>
      </c>
      <c r="E40" s="1" t="n">
        <v>46293</v>
      </c>
      <c r="F40" t="inlineStr">
        <is>
          <t>STOCKHOLMS LÄN</t>
        </is>
      </c>
      <c r="G40" t="inlineStr">
        <is>
          <t>VALLENTUNA</t>
        </is>
      </c>
      <c r="H40" t="inlineStr">
        <is>
          <t>Övriga Aktiebolag</t>
        </is>
      </c>
      <c r="I40" t="n">
        <v>3.5</v>
      </c>
      <c r="J40" t="n">
        <v>1</v>
      </c>
      <c r="K40" t="n">
        <v>0</v>
      </c>
      <c r="L40" t="n">
        <v>0</v>
      </c>
      <c r="M40" t="n">
        <v>0</v>
      </c>
      <c r="N40" t="n">
        <v>0</v>
      </c>
      <c r="O40" t="n">
        <v>0</v>
      </c>
      <c r="P40" t="n">
        <v>0</v>
      </c>
      <c r="Q40" t="n">
        <v>0</v>
      </c>
      <c r="R40" t="n">
        <v>0</v>
      </c>
      <c r="S40" t="n">
        <v>1</v>
      </c>
      <c r="T40" t="n">
        <v>1</v>
      </c>
      <c r="U40" t="n">
        <v>1</v>
      </c>
      <c r="V40" s="2" t="inlineStr">
        <is>
          <t>Nattviol</t>
        </is>
      </c>
      <c r="W40">
        <f>HYPERLINK("https://klasma.github.io/Logging_0115/artfynd/A 21-2022 artfynd.xlsx", "A 21-2022")</f>
        <v/>
      </c>
      <c r="X40">
        <f>HYPERLINK("https://klasma.github.io/Logging_0115/kartor/A 21-2022 karta.png", "A 21-2022")</f>
        <v/>
      </c>
      <c r="Y40">
        <f>HYPERLINK("https://klasma.github.io/Logging_0115/kartor_geotiff/A 21-2022 georefererad karta.tif", "A 21-2022")</f>
        <v/>
      </c>
      <c r="AA40">
        <f>HYPERLINK("https://klasma.github.io/Logging_0115/klagomål/A 21-2022 FSC-klagomål.docx", "A 21-2022")</f>
        <v/>
      </c>
      <c r="AB40">
        <f>HYPERLINK("https://klasma.github.io/Logging_0115/klagomålsmail/A 21-2022 FSC-klagomål mail.docx", "A 21-2022")</f>
        <v/>
      </c>
      <c r="AC40">
        <f>HYPERLINK("https://klasma.github.io/Logging_0115/tillsyn/A 21-2022 tillsynsbegäran.docx", "A 21-2022")</f>
        <v/>
      </c>
      <c r="AD40">
        <f>HYPERLINK("https://klasma.github.io/Logging_0115/tillsynsmail/A 21-2022 tillsynsbegäran mail.docx", "A 21-2022")</f>
        <v/>
      </c>
    </row>
    <row r="41" ht="15" customHeight="1">
      <c r="A41" t="inlineStr">
        <is>
          <t>A 17341-2025</t>
        </is>
      </c>
      <c r="B41" t="inlineStr">
        <is>
          <t>avverkningsanmälan</t>
        </is>
      </c>
      <c r="C41" t="inlineStr">
        <is>
          <t>Föryngringsavverkning</t>
        </is>
      </c>
      <c r="D41" s="1" t="n">
        <v>45756</v>
      </c>
      <c r="E41" s="1" t="n">
        <v>46293</v>
      </c>
      <c r="F41" t="inlineStr">
        <is>
          <t>STOCKHOLMS LÄN</t>
        </is>
      </c>
      <c r="G41" t="inlineStr">
        <is>
          <t>VALLENTUNA</t>
        </is>
      </c>
      <c r="H41" t="inlineStr">
        <is>
          <t>Övriga Aktiebolag</t>
        </is>
      </c>
      <c r="I41" t="n">
        <v>5.2</v>
      </c>
      <c r="J41" t="n">
        <v>0</v>
      </c>
      <c r="K41" t="n">
        <v>1</v>
      </c>
      <c r="L41" t="n">
        <v>0</v>
      </c>
      <c r="M41" t="n">
        <v>0</v>
      </c>
      <c r="N41" t="n">
        <v>0</v>
      </c>
      <c r="O41" t="n">
        <v>0</v>
      </c>
      <c r="P41" t="n">
        <v>0</v>
      </c>
      <c r="Q41" t="n">
        <v>0</v>
      </c>
      <c r="R41" t="n">
        <v>0</v>
      </c>
      <c r="S41" t="n">
        <v>1</v>
      </c>
      <c r="T41" t="n">
        <v>2</v>
      </c>
      <c r="U41" t="n">
        <v>0</v>
      </c>
      <c r="V41" s="2" t="inlineStr">
        <is>
          <t>Björksplintborre</t>
        </is>
      </c>
      <c r="W41">
        <f>HYPERLINK("https://klasma.github.io/Logging_0115/artfynd/A 17341-2025 artfynd.xlsx", "A 17341-2025")</f>
        <v/>
      </c>
      <c r="X41">
        <f>HYPERLINK("https://klasma.github.io/Logging_0115/kartor/A 17341-2025 karta.png", "A 17341-2025")</f>
        <v/>
      </c>
      <c r="Y41">
        <f>HYPERLINK("https://klasma.github.io/Logging_0115/kartor_geotiff/A 17341-2025 georefererad karta.tif", "A 17341-2025")</f>
        <v/>
      </c>
      <c r="AA41">
        <f>HYPERLINK("https://klasma.github.io/Logging_0115/klagomål/A 17341-2025 FSC-klagomål.docx", "A 17341-2025")</f>
        <v/>
      </c>
      <c r="AB41">
        <f>HYPERLINK("https://klasma.github.io/Logging_0115/klagomålsmail/A 17341-2025 FSC-klagomål mail.docx", "A 17341-2025")</f>
        <v/>
      </c>
      <c r="AC41">
        <f>HYPERLINK("https://klasma.github.io/Logging_0115/tillsyn/A 17341-2025 tillsynsbegäran.docx", "A 17341-2025")</f>
        <v/>
      </c>
      <c r="AD41">
        <f>HYPERLINK("https://klasma.github.io/Logging_0115/tillsynsmail/A 17341-2025 tillsynsbegäran mail.docx", "A 17341-2025")</f>
        <v/>
      </c>
    </row>
    <row r="42" ht="15" customHeight="1">
      <c r="A42" t="inlineStr">
        <is>
          <t>A 34458-2023</t>
        </is>
      </c>
      <c r="B42" t="inlineStr">
        <is>
          <t>avverkningsanmälan</t>
        </is>
      </c>
      <c r="C42" t="inlineStr">
        <is>
          <t>Föryngringsavverkning</t>
        </is>
      </c>
      <c r="D42" s="1" t="n">
        <v>45139</v>
      </c>
      <c r="E42" s="1" t="n">
        <v>46293</v>
      </c>
      <c r="F42" t="inlineStr">
        <is>
          <t>STOCKHOLMS LÄN</t>
        </is>
      </c>
      <c r="G42" t="inlineStr">
        <is>
          <t>VALLENTUNA</t>
        </is>
      </c>
      <c r="I42" t="n">
        <v>2.5</v>
      </c>
      <c r="J42" t="n">
        <v>0</v>
      </c>
      <c r="K42" t="n">
        <v>0</v>
      </c>
      <c r="L42" t="n">
        <v>1</v>
      </c>
      <c r="M42" t="n">
        <v>0</v>
      </c>
      <c r="N42" t="n">
        <v>0</v>
      </c>
      <c r="O42" t="n">
        <v>0</v>
      </c>
      <c r="P42" t="n">
        <v>0</v>
      </c>
      <c r="Q42" t="n">
        <v>1</v>
      </c>
      <c r="R42" t="n">
        <v>0</v>
      </c>
      <c r="S42" t="n">
        <v>1</v>
      </c>
      <c r="T42" t="n">
        <v>1</v>
      </c>
      <c r="U42" t="n">
        <v>1</v>
      </c>
      <c r="V42" s="2" t="inlineStr">
        <is>
          <t>Motaggsvamp</t>
        </is>
      </c>
      <c r="W42">
        <f>HYPERLINK("https://klasma.github.io/Logging_0115/artfynd/A 34458-2023 artfynd.xlsx", "A 34458-2023")</f>
        <v/>
      </c>
      <c r="X42">
        <f>HYPERLINK("https://klasma.github.io/Logging_0115/kartor/A 34458-2023 karta.png", "A 34458-2023")</f>
        <v/>
      </c>
      <c r="Y42">
        <f>HYPERLINK("https://klasma.github.io/Logging_0115/kartor_geotiff/A 34458-2023 georefererad karta.tif", "A 34458-2023")</f>
        <v/>
      </c>
      <c r="AA42">
        <f>HYPERLINK("https://klasma.github.io/Logging_0115/klagomål/A 34458-2023 FSC-klagomål.docx", "A 34458-2023")</f>
        <v/>
      </c>
      <c r="AB42">
        <f>HYPERLINK("https://klasma.github.io/Logging_0115/klagomålsmail/A 34458-2023 FSC-klagomål mail.docx", "A 34458-2023")</f>
        <v/>
      </c>
      <c r="AC42">
        <f>HYPERLINK("https://klasma.github.io/Logging_0115/tillsyn/A 34458-2023 tillsynsbegäran.docx", "A 34458-2023")</f>
        <v/>
      </c>
      <c r="AD42">
        <f>HYPERLINK("https://klasma.github.io/Logging_0115/tillsynsmail/A 34458-2023 tillsynsbegäran mail.docx", "A 34458-2023")</f>
        <v/>
      </c>
    </row>
    <row r="43" ht="15" customHeight="1">
      <c r="A43" t="inlineStr">
        <is>
          <t>A 23009-2024</t>
        </is>
      </c>
      <c r="B43" t="inlineStr">
        <is>
          <t>avverkningsanmälan</t>
        </is>
      </c>
      <c r="C43" t="inlineStr">
        <is>
          <t>Föryngringsavverkning</t>
        </is>
      </c>
      <c r="D43" s="1" t="n">
        <v>45450</v>
      </c>
      <c r="E43" s="1" t="n">
        <v>46293</v>
      </c>
      <c r="F43" t="inlineStr">
        <is>
          <t>STOCKHOLMS LÄN</t>
        </is>
      </c>
      <c r="G43" t="inlineStr">
        <is>
          <t>VALLENTUNA</t>
        </is>
      </c>
      <c r="I43" t="n">
        <v>1.4</v>
      </c>
      <c r="J43" t="n">
        <v>0</v>
      </c>
      <c r="K43" t="n">
        <v>1</v>
      </c>
      <c r="L43" t="n">
        <v>0</v>
      </c>
      <c r="M43" t="n">
        <v>0</v>
      </c>
      <c r="N43" t="n">
        <v>0</v>
      </c>
      <c r="O43" t="n">
        <v>0</v>
      </c>
      <c r="P43" t="n">
        <v>0</v>
      </c>
      <c r="Q43" t="n">
        <v>0</v>
      </c>
      <c r="R43" t="n">
        <v>0</v>
      </c>
      <c r="S43" t="n">
        <v>1</v>
      </c>
      <c r="T43" t="n">
        <v>1</v>
      </c>
      <c r="U43" t="n">
        <v>0</v>
      </c>
      <c r="V43" s="2" t="inlineStr">
        <is>
          <t>Tibast</t>
        </is>
      </c>
      <c r="W43">
        <f>HYPERLINK("https://klasma.github.io/Logging_0115/artfynd/A 23009-2024 artfynd.xlsx", "A 23009-2024")</f>
        <v/>
      </c>
      <c r="X43">
        <f>HYPERLINK("https://klasma.github.io/Logging_0115/kartor/A 23009-2024 karta.png", "A 23009-2024")</f>
        <v/>
      </c>
      <c r="Y43">
        <f>HYPERLINK("https://klasma.github.io/Logging_0115/kartor_geotiff/A 23009-2024 georefererad karta.tif", "A 23009-2024")</f>
        <v/>
      </c>
      <c r="AA43">
        <f>HYPERLINK("https://klasma.github.io/Logging_0115/klagomål/A 23009-2024 FSC-klagomål.docx", "A 23009-2024")</f>
        <v/>
      </c>
      <c r="AB43">
        <f>HYPERLINK("https://klasma.github.io/Logging_0115/klagomålsmail/A 23009-2024 FSC-klagomål mail.docx", "A 23009-2024")</f>
        <v/>
      </c>
      <c r="AC43">
        <f>HYPERLINK("https://klasma.github.io/Logging_0115/tillsyn/A 23009-2024 tillsynsbegäran.docx", "A 23009-2024")</f>
        <v/>
      </c>
      <c r="AD43">
        <f>HYPERLINK("https://klasma.github.io/Logging_0115/tillsynsmail/A 23009-2024 tillsynsbegäran mail.docx", "A 23009-2024")</f>
        <v/>
      </c>
    </row>
    <row r="44" ht="15" customHeight="1">
      <c r="A44" t="inlineStr">
        <is>
          <t>A 8089-2022</t>
        </is>
      </c>
      <c r="B44" t="inlineStr">
        <is>
          <t>avverkningsanmälan</t>
        </is>
      </c>
      <c r="C44" t="inlineStr">
        <is>
          <t>Föryngringsavverkning</t>
        </is>
      </c>
      <c r="D44" s="1" t="n">
        <v>44609</v>
      </c>
      <c r="E44" s="1" t="n">
        <v>46293</v>
      </c>
      <c r="F44" t="inlineStr">
        <is>
          <t>STOCKHOLMS LÄN</t>
        </is>
      </c>
      <c r="G44" t="inlineStr">
        <is>
          <t>VALLENTUNA</t>
        </is>
      </c>
      <c r="I44" t="n">
        <v>3.3</v>
      </c>
      <c r="J44" t="n">
        <v>0</v>
      </c>
      <c r="K44" t="n">
        <v>0</v>
      </c>
      <c r="L44" t="n">
        <v>0</v>
      </c>
      <c r="M44" t="n">
        <v>0</v>
      </c>
      <c r="N44" t="n">
        <v>0</v>
      </c>
      <c r="O44" t="n">
        <v>0</v>
      </c>
      <c r="P44" t="n">
        <v>0</v>
      </c>
      <c r="Q44" t="n">
        <v>0</v>
      </c>
      <c r="R44" t="n">
        <v>0</v>
      </c>
      <c r="S44" t="n">
        <v>0</v>
      </c>
      <c r="T44" t="n">
        <v>0</v>
      </c>
      <c r="U44" t="n">
        <v>0</v>
      </c>
      <c r="V44" s="2" t="inlineStr"/>
    </row>
    <row r="45" ht="15" customHeight="1">
      <c r="A45" t="inlineStr">
        <is>
          <t>A 9442-2022</t>
        </is>
      </c>
      <c r="B45" t="inlineStr">
        <is>
          <t>avverkningsanmälan</t>
        </is>
      </c>
      <c r="C45" t="inlineStr">
        <is>
          <t>Föryngringsavverkning</t>
        </is>
      </c>
      <c r="D45" s="1" t="n">
        <v>44616</v>
      </c>
      <c r="E45" s="1" t="n">
        <v>46293</v>
      </c>
      <c r="F45" t="inlineStr">
        <is>
          <t>STOCKHOLMS LÄN</t>
        </is>
      </c>
      <c r="G45" t="inlineStr">
        <is>
          <t>VALLENTUNA</t>
        </is>
      </c>
      <c r="I45" t="n">
        <v>3</v>
      </c>
      <c r="J45" t="n">
        <v>0</v>
      </c>
      <c r="K45" t="n">
        <v>0</v>
      </c>
      <c r="L45" t="n">
        <v>0</v>
      </c>
      <c r="M45" t="n">
        <v>0</v>
      </c>
      <c r="N45" t="n">
        <v>0</v>
      </c>
      <c r="O45" t="n">
        <v>0</v>
      </c>
      <c r="P45" t="n">
        <v>0</v>
      </c>
      <c r="Q45" t="n">
        <v>0</v>
      </c>
      <c r="R45" t="n">
        <v>0</v>
      </c>
      <c r="S45" t="n">
        <v>0</v>
      </c>
      <c r="T45" t="n">
        <v>0</v>
      </c>
      <c r="U45" t="n">
        <v>0</v>
      </c>
      <c r="V45" s="2" t="inlineStr"/>
    </row>
    <row r="46" ht="15" customHeight="1">
      <c r="A46" t="inlineStr">
        <is>
          <t>A 178-2022</t>
        </is>
      </c>
      <c r="B46" t="inlineStr">
        <is>
          <t>avverkningsanmälan</t>
        </is>
      </c>
      <c r="C46" t="inlineStr">
        <is>
          <t>Föryngringsavverkning</t>
        </is>
      </c>
      <c r="D46" s="1" t="n">
        <v>44560</v>
      </c>
      <c r="E46" s="1" t="n">
        <v>46293</v>
      </c>
      <c r="F46" t="inlineStr">
        <is>
          <t>STOCKHOLMS LÄN</t>
        </is>
      </c>
      <c r="G46" t="inlineStr">
        <is>
          <t>VALLENTUNA</t>
        </is>
      </c>
      <c r="H46" t="inlineStr">
        <is>
          <t>Övriga Aktiebolag</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242-2022</t>
        </is>
      </c>
      <c r="B47" t="inlineStr">
        <is>
          <t>avverkningsanmälan</t>
        </is>
      </c>
      <c r="C47" t="inlineStr">
        <is>
          <t>Föryngringsavverkning</t>
        </is>
      </c>
      <c r="D47" s="1" t="n">
        <v>44560</v>
      </c>
      <c r="E47" s="1" t="n">
        <v>46293</v>
      </c>
      <c r="F47" t="inlineStr">
        <is>
          <t>STOCKHOLMS LÄN</t>
        </is>
      </c>
      <c r="G47" t="inlineStr">
        <is>
          <t>VALLENTUNA</t>
        </is>
      </c>
      <c r="H47" t="inlineStr">
        <is>
          <t>Övriga Aktiebolag</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7276-2022</t>
        </is>
      </c>
      <c r="B48" t="inlineStr">
        <is>
          <t>avverkningsanmälan</t>
        </is>
      </c>
      <c r="C48" t="inlineStr">
        <is>
          <t>Föryngringsavverkning</t>
        </is>
      </c>
      <c r="D48" s="1" t="n">
        <v>44606</v>
      </c>
      <c r="E48" s="1" t="n">
        <v>46293</v>
      </c>
      <c r="F48" t="inlineStr">
        <is>
          <t>STOCKHOLMS LÄN</t>
        </is>
      </c>
      <c r="G48" t="inlineStr">
        <is>
          <t>VALLENTUNA</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52377-2021</t>
        </is>
      </c>
      <c r="B49" t="inlineStr">
        <is>
          <t>avverkningsanmälan</t>
        </is>
      </c>
      <c r="C49" t="inlineStr">
        <is>
          <t>Föryngringsavverkning</t>
        </is>
      </c>
      <c r="D49" s="1" t="n">
        <v>44465</v>
      </c>
      <c r="E49" s="1" t="n">
        <v>46293</v>
      </c>
      <c r="F49" t="inlineStr">
        <is>
          <t>STOCKHOLMS LÄN</t>
        </is>
      </c>
      <c r="G49" t="inlineStr">
        <is>
          <t>VALLENTUNA</t>
        </is>
      </c>
      <c r="I49" t="n">
        <v>1.4</v>
      </c>
      <c r="J49" t="n">
        <v>0</v>
      </c>
      <c r="K49" t="n">
        <v>0</v>
      </c>
      <c r="L49" t="n">
        <v>0</v>
      </c>
      <c r="M49" t="n">
        <v>0</v>
      </c>
      <c r="N49" t="n">
        <v>0</v>
      </c>
      <c r="O49" t="n">
        <v>0</v>
      </c>
      <c r="P49" t="n">
        <v>0</v>
      </c>
      <c r="Q49" t="n">
        <v>0</v>
      </c>
      <c r="R49" t="n">
        <v>0</v>
      </c>
      <c r="S49" t="n">
        <v>0</v>
      </c>
      <c r="T49" t="n">
        <v>0</v>
      </c>
      <c r="U49" t="n">
        <v>0</v>
      </c>
      <c r="V49" s="2" t="inlineStr"/>
    </row>
    <row r="50" ht="15" customHeight="1">
      <c r="A50" t="inlineStr">
        <is>
          <t>A 14725-2022</t>
        </is>
      </c>
      <c r="B50" t="inlineStr">
        <is>
          <t>avverkningsanmälan</t>
        </is>
      </c>
      <c r="C50" t="inlineStr">
        <is>
          <t>Avverkning för annat ändamål</t>
        </is>
      </c>
      <c r="D50" s="1" t="n">
        <v>44655</v>
      </c>
      <c r="E50" s="1" t="n">
        <v>46293</v>
      </c>
      <c r="F50" t="inlineStr">
        <is>
          <t>STOCKHOLMS LÄN</t>
        </is>
      </c>
      <c r="G50" t="inlineStr">
        <is>
          <t>VALLENTUNA</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7085-2022</t>
        </is>
      </c>
      <c r="B51" t="inlineStr">
        <is>
          <t>avverkningsanmälan</t>
        </is>
      </c>
      <c r="C51" t="inlineStr">
        <is>
          <t>Föryngringsavverkning</t>
        </is>
      </c>
      <c r="D51" s="1" t="n">
        <v>44603</v>
      </c>
      <c r="E51" s="1" t="n">
        <v>46293</v>
      </c>
      <c r="F51" t="inlineStr">
        <is>
          <t>STOCKHOLMS LÄN</t>
        </is>
      </c>
      <c r="G51" t="inlineStr">
        <is>
          <t>VALLENTUNA</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49530-2023</t>
        </is>
      </c>
      <c r="B52" t="inlineStr">
        <is>
          <t>avverkningsanmälan</t>
        </is>
      </c>
      <c r="C52" t="inlineStr">
        <is>
          <t>Föryngringsavverkning</t>
        </is>
      </c>
      <c r="D52" s="1" t="n">
        <v>45205</v>
      </c>
      <c r="E52" s="1" t="n">
        <v>46293</v>
      </c>
      <c r="F52" t="inlineStr">
        <is>
          <t>STOCKHOLMS LÄN</t>
        </is>
      </c>
      <c r="G52" t="inlineStr">
        <is>
          <t>VALLENTUNA</t>
        </is>
      </c>
      <c r="I52" t="n">
        <v>1.2</v>
      </c>
      <c r="J52" t="n">
        <v>0</v>
      </c>
      <c r="K52" t="n">
        <v>0</v>
      </c>
      <c r="L52" t="n">
        <v>0</v>
      </c>
      <c r="M52" t="n">
        <v>0</v>
      </c>
      <c r="N52" t="n">
        <v>0</v>
      </c>
      <c r="O52" t="n">
        <v>0</v>
      </c>
      <c r="P52" t="n">
        <v>0</v>
      </c>
      <c r="Q52" t="n">
        <v>0</v>
      </c>
      <c r="R52" t="n">
        <v>0</v>
      </c>
      <c r="S52" t="n">
        <v>0</v>
      </c>
      <c r="T52" t="n">
        <v>0</v>
      </c>
      <c r="U52" t="n">
        <v>0</v>
      </c>
      <c r="V52" s="2" t="inlineStr"/>
    </row>
    <row r="53" ht="15" customHeight="1">
      <c r="A53" t="inlineStr">
        <is>
          <t>A 52989-2023</t>
        </is>
      </c>
      <c r="B53" t="inlineStr">
        <is>
          <t>avverkningsanmälan</t>
        </is>
      </c>
      <c r="C53" t="inlineStr">
        <is>
          <t>Föryngringsavverkning</t>
        </is>
      </c>
      <c r="D53" s="1" t="n">
        <v>45226</v>
      </c>
      <c r="E53" s="1" t="n">
        <v>46293</v>
      </c>
      <c r="F53" t="inlineStr">
        <is>
          <t>STOCKHOLMS LÄN</t>
        </is>
      </c>
      <c r="G53" t="inlineStr">
        <is>
          <t>VALLENTUNA</t>
        </is>
      </c>
      <c r="I53" t="n">
        <v>1.1</v>
      </c>
      <c r="J53" t="n">
        <v>0</v>
      </c>
      <c r="K53" t="n">
        <v>0</v>
      </c>
      <c r="L53" t="n">
        <v>0</v>
      </c>
      <c r="M53" t="n">
        <v>0</v>
      </c>
      <c r="N53" t="n">
        <v>0</v>
      </c>
      <c r="O53" t="n">
        <v>0</v>
      </c>
      <c r="P53" t="n">
        <v>0</v>
      </c>
      <c r="Q53" t="n">
        <v>0</v>
      </c>
      <c r="R53" t="n">
        <v>0</v>
      </c>
      <c r="S53" t="n">
        <v>0</v>
      </c>
      <c r="T53" t="n">
        <v>0</v>
      </c>
      <c r="U53" t="n">
        <v>0</v>
      </c>
      <c r="V53" s="2" t="inlineStr"/>
    </row>
    <row r="54" ht="15" customHeight="1">
      <c r="A54" t="inlineStr">
        <is>
          <t>A 3078-2023</t>
        </is>
      </c>
      <c r="B54" t="inlineStr">
        <is>
          <t>avverkningsanmälan</t>
        </is>
      </c>
      <c r="C54" t="inlineStr">
        <is>
          <t>Föryngringsavverkning</t>
        </is>
      </c>
      <c r="D54" s="1" t="n">
        <v>44946</v>
      </c>
      <c r="E54" s="1" t="n">
        <v>46293</v>
      </c>
      <c r="F54" t="inlineStr">
        <is>
          <t>STOCKHOLMS LÄN</t>
        </is>
      </c>
      <c r="G54" t="inlineStr">
        <is>
          <t>VALLENTUNA</t>
        </is>
      </c>
      <c r="I54" t="n">
        <v>3.9</v>
      </c>
      <c r="J54" t="n">
        <v>0</v>
      </c>
      <c r="K54" t="n">
        <v>0</v>
      </c>
      <c r="L54" t="n">
        <v>0</v>
      </c>
      <c r="M54" t="n">
        <v>0</v>
      </c>
      <c r="N54" t="n">
        <v>0</v>
      </c>
      <c r="O54" t="n">
        <v>0</v>
      </c>
      <c r="P54" t="n">
        <v>0</v>
      </c>
      <c r="Q54" t="n">
        <v>0</v>
      </c>
      <c r="R54" t="n">
        <v>0</v>
      </c>
      <c r="S54" t="n">
        <v>0</v>
      </c>
      <c r="T54" t="n">
        <v>0</v>
      </c>
      <c r="U54" t="n">
        <v>0</v>
      </c>
      <c r="V54" s="2" t="inlineStr"/>
    </row>
    <row r="55" ht="15" customHeight="1">
      <c r="A55" t="inlineStr">
        <is>
          <t>A 60795-2023</t>
        </is>
      </c>
      <c r="B55" t="inlineStr">
        <is>
          <t>avverkningsanmälan</t>
        </is>
      </c>
      <c r="C55" t="inlineStr">
        <is>
          <t>Avverkning för annat ändamål</t>
        </is>
      </c>
      <c r="D55" s="1" t="n">
        <v>45260</v>
      </c>
      <c r="E55" s="1" t="n">
        <v>46293</v>
      </c>
      <c r="F55" t="inlineStr">
        <is>
          <t>STOCKHOLMS LÄN</t>
        </is>
      </c>
      <c r="G55" t="inlineStr">
        <is>
          <t>VALLENTUNA</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14480-2024</t>
        </is>
      </c>
      <c r="B56" t="inlineStr">
        <is>
          <t>avverkningsanmälan</t>
        </is>
      </c>
      <c r="C56" t="inlineStr">
        <is>
          <t>Föryngringsavverkning</t>
        </is>
      </c>
      <c r="D56" s="1" t="n">
        <v>45394</v>
      </c>
      <c r="E56" s="1" t="n">
        <v>46293</v>
      </c>
      <c r="F56" t="inlineStr">
        <is>
          <t>STOCKHOLMS LÄN</t>
        </is>
      </c>
      <c r="G56" t="inlineStr">
        <is>
          <t>VALLENTUNA</t>
        </is>
      </c>
      <c r="I56" t="n">
        <v>1.8</v>
      </c>
      <c r="J56" t="n">
        <v>0</v>
      </c>
      <c r="K56" t="n">
        <v>0</v>
      </c>
      <c r="L56" t="n">
        <v>0</v>
      </c>
      <c r="M56" t="n">
        <v>0</v>
      </c>
      <c r="N56" t="n">
        <v>0</v>
      </c>
      <c r="O56" t="n">
        <v>0</v>
      </c>
      <c r="P56" t="n">
        <v>0</v>
      </c>
      <c r="Q56" t="n">
        <v>0</v>
      </c>
      <c r="R56" t="n">
        <v>0</v>
      </c>
      <c r="S56" t="n">
        <v>0</v>
      </c>
      <c r="T56" t="n">
        <v>0</v>
      </c>
      <c r="U56" t="n">
        <v>0</v>
      </c>
      <c r="V56" s="2" t="inlineStr"/>
    </row>
    <row r="57" ht="15" customHeight="1">
      <c r="A57" t="inlineStr">
        <is>
          <t>A 414-2026</t>
        </is>
      </c>
      <c r="B57" t="inlineStr">
        <is>
          <t>avverkningsanmälan</t>
        </is>
      </c>
      <c r="C57" t="inlineStr">
        <is>
          <t>Föryngringsavverkning</t>
        </is>
      </c>
      <c r="D57" s="1" t="n">
        <v>46028</v>
      </c>
      <c r="E57" s="1" t="n">
        <v>46293</v>
      </c>
      <c r="F57" t="inlineStr">
        <is>
          <t>STOCKHOLMS LÄN</t>
        </is>
      </c>
      <c r="G57" t="inlineStr">
        <is>
          <t>VALLENTUNA</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3937-2022</t>
        </is>
      </c>
      <c r="B58" t="inlineStr">
        <is>
          <t>avverkningsanmälan</t>
        </is>
      </c>
      <c r="C58" t="inlineStr">
        <is>
          <t>Föryngringsavverkning</t>
        </is>
      </c>
      <c r="D58" s="1" t="n">
        <v>44587</v>
      </c>
      <c r="E58" s="1" t="n">
        <v>46293</v>
      </c>
      <c r="F58" t="inlineStr">
        <is>
          <t>STOCKHOLMS LÄN</t>
        </is>
      </c>
      <c r="G58" t="inlineStr">
        <is>
          <t>VALLENTUNA</t>
        </is>
      </c>
      <c r="I58" t="n">
        <v>6.6</v>
      </c>
      <c r="J58" t="n">
        <v>0</v>
      </c>
      <c r="K58" t="n">
        <v>0</v>
      </c>
      <c r="L58" t="n">
        <v>0</v>
      </c>
      <c r="M58" t="n">
        <v>0</v>
      </c>
      <c r="N58" t="n">
        <v>0</v>
      </c>
      <c r="O58" t="n">
        <v>0</v>
      </c>
      <c r="P58" t="n">
        <v>0</v>
      </c>
      <c r="Q58" t="n">
        <v>0</v>
      </c>
      <c r="R58" t="n">
        <v>0</v>
      </c>
      <c r="S58" t="n">
        <v>0</v>
      </c>
      <c r="T58" t="n">
        <v>0</v>
      </c>
      <c r="U58" t="n">
        <v>0</v>
      </c>
      <c r="V58" s="2" t="inlineStr"/>
    </row>
    <row r="59" ht="15" customHeight="1">
      <c r="A59" t="inlineStr">
        <is>
          <t>A 6298-2026</t>
        </is>
      </c>
      <c r="B59" t="inlineStr">
        <is>
          <t>avverkningsanmälan</t>
        </is>
      </c>
      <c r="C59" t="inlineStr">
        <is>
          <t>Föryngringsavverkning</t>
        </is>
      </c>
      <c r="D59" s="1" t="n">
        <v>46055</v>
      </c>
      <c r="E59" s="1" t="n">
        <v>46293</v>
      </c>
      <c r="F59" t="inlineStr">
        <is>
          <t>STOCKHOLMS LÄN</t>
        </is>
      </c>
      <c r="G59" t="inlineStr">
        <is>
          <t>VALLENTUNA</t>
        </is>
      </c>
      <c r="I59" t="n">
        <v>3.3</v>
      </c>
      <c r="J59" t="n">
        <v>0</v>
      </c>
      <c r="K59" t="n">
        <v>0</v>
      </c>
      <c r="L59" t="n">
        <v>0</v>
      </c>
      <c r="M59" t="n">
        <v>0</v>
      </c>
      <c r="N59" t="n">
        <v>0</v>
      </c>
      <c r="O59" t="n">
        <v>0</v>
      </c>
      <c r="P59" t="n">
        <v>0</v>
      </c>
      <c r="Q59" t="n">
        <v>0</v>
      </c>
      <c r="R59" t="n">
        <v>0</v>
      </c>
      <c r="S59" t="n">
        <v>0</v>
      </c>
      <c r="T59" t="n">
        <v>0</v>
      </c>
      <c r="U59" t="n">
        <v>0</v>
      </c>
      <c r="V59" s="2" t="inlineStr"/>
    </row>
    <row r="60" ht="15" customHeight="1">
      <c r="A60" t="inlineStr">
        <is>
          <t>A 60818-2023</t>
        </is>
      </c>
      <c r="B60" t="inlineStr">
        <is>
          <t>avverkningsanmälan</t>
        </is>
      </c>
      <c r="C60" t="inlineStr">
        <is>
          <t>Föryngringsavverkning</t>
        </is>
      </c>
      <c r="D60" s="1" t="n">
        <v>45259</v>
      </c>
      <c r="E60" s="1" t="n">
        <v>46293</v>
      </c>
      <c r="F60" t="inlineStr">
        <is>
          <t>STOCKHOLMS LÄN</t>
        </is>
      </c>
      <c r="G60" t="inlineStr">
        <is>
          <t>VALLENTUNA</t>
        </is>
      </c>
      <c r="I60" t="n">
        <v>9.4</v>
      </c>
      <c r="J60" t="n">
        <v>0</v>
      </c>
      <c r="K60" t="n">
        <v>0</v>
      </c>
      <c r="L60" t="n">
        <v>0</v>
      </c>
      <c r="M60" t="n">
        <v>0</v>
      </c>
      <c r="N60" t="n">
        <v>0</v>
      </c>
      <c r="O60" t="n">
        <v>0</v>
      </c>
      <c r="P60" t="n">
        <v>0</v>
      </c>
      <c r="Q60" t="n">
        <v>0</v>
      </c>
      <c r="R60" t="n">
        <v>0</v>
      </c>
      <c r="S60" t="n">
        <v>0</v>
      </c>
      <c r="T60" t="n">
        <v>0</v>
      </c>
      <c r="U60" t="n">
        <v>0</v>
      </c>
      <c r="V60" s="2" t="inlineStr"/>
    </row>
    <row r="61" ht="15" customHeight="1">
      <c r="A61" t="inlineStr">
        <is>
          <t>A 7264-2022</t>
        </is>
      </c>
      <c r="B61" t="inlineStr">
        <is>
          <t>avverkningsanmälan</t>
        </is>
      </c>
      <c r="C61" t="inlineStr">
        <is>
          <t>Föryngringsavverkning</t>
        </is>
      </c>
      <c r="D61" s="1" t="n">
        <v>44606</v>
      </c>
      <c r="E61" s="1" t="n">
        <v>46293</v>
      </c>
      <c r="F61" t="inlineStr">
        <is>
          <t>STOCKHOLMS LÄN</t>
        </is>
      </c>
      <c r="G61" t="inlineStr">
        <is>
          <t>VALLENTUNA</t>
        </is>
      </c>
      <c r="I61" t="n">
        <v>2.4</v>
      </c>
      <c r="J61" t="n">
        <v>0</v>
      </c>
      <c r="K61" t="n">
        <v>0</v>
      </c>
      <c r="L61" t="n">
        <v>0</v>
      </c>
      <c r="M61" t="n">
        <v>0</v>
      </c>
      <c r="N61" t="n">
        <v>0</v>
      </c>
      <c r="O61" t="n">
        <v>0</v>
      </c>
      <c r="P61" t="n">
        <v>0</v>
      </c>
      <c r="Q61" t="n">
        <v>0</v>
      </c>
      <c r="R61" t="n">
        <v>0</v>
      </c>
      <c r="S61" t="n">
        <v>0</v>
      </c>
      <c r="T61" t="n">
        <v>0</v>
      </c>
      <c r="U61" t="n">
        <v>0</v>
      </c>
      <c r="V61" s="2" t="inlineStr"/>
    </row>
    <row r="62" ht="15" customHeight="1">
      <c r="A62" t="inlineStr">
        <is>
          <t>A 48014-2025</t>
        </is>
      </c>
      <c r="B62" t="inlineStr">
        <is>
          <t>avverkningsanmälan</t>
        </is>
      </c>
      <c r="C62" t="inlineStr">
        <is>
          <t>Föryngringsavverkning</t>
        </is>
      </c>
      <c r="D62" s="1" t="n">
        <v>45932</v>
      </c>
      <c r="E62" s="1" t="n">
        <v>46293</v>
      </c>
      <c r="F62" t="inlineStr">
        <is>
          <t>STOCKHOLMS LÄN</t>
        </is>
      </c>
      <c r="G62" t="inlineStr">
        <is>
          <t>VALLENTUNA</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48038-2025</t>
        </is>
      </c>
      <c r="B63" t="inlineStr">
        <is>
          <t>avverkningsanmälan</t>
        </is>
      </c>
      <c r="C63" t="inlineStr">
        <is>
          <t>Föryngringsavverkning</t>
        </is>
      </c>
      <c r="D63" s="1" t="n">
        <v>45932</v>
      </c>
      <c r="E63" s="1" t="n">
        <v>46293</v>
      </c>
      <c r="F63" t="inlineStr">
        <is>
          <t>STOCKHOLMS LÄN</t>
        </is>
      </c>
      <c r="G63" t="inlineStr">
        <is>
          <t>VALLENTUNA</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12400-2026</t>
        </is>
      </c>
      <c r="B64" t="inlineStr">
        <is>
          <t>avverkningsanmälan</t>
        </is>
      </c>
      <c r="C64" t="inlineStr">
        <is>
          <t>Föryngringsavverkning</t>
        </is>
      </c>
      <c r="D64" s="1" t="n">
        <v>46090</v>
      </c>
      <c r="E64" s="1" t="n">
        <v>46293</v>
      </c>
      <c r="F64" t="inlineStr">
        <is>
          <t>STOCKHOLMS LÄN</t>
        </is>
      </c>
      <c r="G64" t="inlineStr">
        <is>
          <t>VALLENTUNA</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19356-2025</t>
        </is>
      </c>
      <c r="B65" t="inlineStr">
        <is>
          <t>avverkningsanmälan</t>
        </is>
      </c>
      <c r="C65" t="inlineStr">
        <is>
          <t>Föryngringsavverkning</t>
        </is>
      </c>
      <c r="D65" s="1" t="n">
        <v>45769</v>
      </c>
      <c r="E65" s="1" t="n">
        <v>46293</v>
      </c>
      <c r="F65" t="inlineStr">
        <is>
          <t>STOCKHOLMS LÄN</t>
        </is>
      </c>
      <c r="G65" t="inlineStr">
        <is>
          <t>VALLENTUNA</t>
        </is>
      </c>
      <c r="H65" t="inlineStr">
        <is>
          <t>Övriga Aktiebolag</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12562-2023</t>
        </is>
      </c>
      <c r="B66" t="inlineStr">
        <is>
          <t>avverkningsanmälan</t>
        </is>
      </c>
      <c r="C66" t="inlineStr">
        <is>
          <t>Föryngringsavverkning</t>
        </is>
      </c>
      <c r="D66" s="1" t="n">
        <v>45000</v>
      </c>
      <c r="E66" s="1" t="n">
        <v>46293</v>
      </c>
      <c r="F66" t="inlineStr">
        <is>
          <t>STOCKHOLMS LÄN</t>
        </is>
      </c>
      <c r="G66" t="inlineStr">
        <is>
          <t>VALLENTUNA</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14799-2026</t>
        </is>
      </c>
      <c r="B67" t="inlineStr">
        <is>
          <t>avverkningsanmälan</t>
        </is>
      </c>
      <c r="C67" t="inlineStr">
        <is>
          <t>Föryngringsavverkning</t>
        </is>
      </c>
      <c r="D67" s="1" t="n">
        <v>46102</v>
      </c>
      <c r="E67" s="1" t="n">
        <v>46293</v>
      </c>
      <c r="F67" t="inlineStr">
        <is>
          <t>STOCKHOLMS LÄN</t>
        </is>
      </c>
      <c r="G67" t="inlineStr">
        <is>
          <t>VALLENTUNA</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4804-2024</t>
        </is>
      </c>
      <c r="B68" t="inlineStr">
        <is>
          <t>avverkningsanmälan</t>
        </is>
      </c>
      <c r="C68" t="inlineStr">
        <is>
          <t>Avverkning för annat ändamål</t>
        </is>
      </c>
      <c r="D68" s="1" t="n">
        <v>45328</v>
      </c>
      <c r="E68" s="1" t="n">
        <v>46293</v>
      </c>
      <c r="F68" t="inlineStr">
        <is>
          <t>STOCKHOLMS LÄN</t>
        </is>
      </c>
      <c r="G68" t="inlineStr">
        <is>
          <t>VALLENTUNA</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61646-2025</t>
        </is>
      </c>
      <c r="B69" t="inlineStr">
        <is>
          <t>avverkningsanmälan</t>
        </is>
      </c>
      <c r="C69" t="inlineStr">
        <is>
          <t>Föryngringsavverkning</t>
        </is>
      </c>
      <c r="D69" s="1" t="n">
        <v>46002</v>
      </c>
      <c r="E69" s="1" t="n">
        <v>46293</v>
      </c>
      <c r="F69" t="inlineStr">
        <is>
          <t>STOCKHOLMS LÄN</t>
        </is>
      </c>
      <c r="G69" t="inlineStr">
        <is>
          <t>VALLENTUNA</t>
        </is>
      </c>
      <c r="I69" t="n">
        <v>3.7</v>
      </c>
      <c r="J69" t="n">
        <v>0</v>
      </c>
      <c r="K69" t="n">
        <v>0</v>
      </c>
      <c r="L69" t="n">
        <v>0</v>
      </c>
      <c r="M69" t="n">
        <v>0</v>
      </c>
      <c r="N69" t="n">
        <v>0</v>
      </c>
      <c r="O69" t="n">
        <v>0</v>
      </c>
      <c r="P69" t="n">
        <v>0</v>
      </c>
      <c r="Q69" t="n">
        <v>0</v>
      </c>
      <c r="R69" t="n">
        <v>0</v>
      </c>
      <c r="S69" t="n">
        <v>0</v>
      </c>
      <c r="T69" t="n">
        <v>0</v>
      </c>
      <c r="U69" t="n">
        <v>0</v>
      </c>
      <c r="V69" s="2" t="inlineStr"/>
    </row>
    <row r="70" ht="15" customHeight="1">
      <c r="A70" t="inlineStr">
        <is>
          <t>A 19503-2023</t>
        </is>
      </c>
      <c r="B70" t="inlineStr">
        <is>
          <t>avverkningsanmälan</t>
        </is>
      </c>
      <c r="C70" t="inlineStr">
        <is>
          <t>Föryngringsavverkning</t>
        </is>
      </c>
      <c r="D70" s="1" t="n">
        <v>45050</v>
      </c>
      <c r="E70" s="1" t="n">
        <v>46293</v>
      </c>
      <c r="F70" t="inlineStr">
        <is>
          <t>STOCKHOLMS LÄN</t>
        </is>
      </c>
      <c r="G70" t="inlineStr">
        <is>
          <t>VALLENTUNA</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21445-2023</t>
        </is>
      </c>
      <c r="B71" t="inlineStr">
        <is>
          <t>avverkningsanmälan</t>
        </is>
      </c>
      <c r="C71" t="inlineStr">
        <is>
          <t>Föryngringsavverkning</t>
        </is>
      </c>
      <c r="D71" s="1" t="n">
        <v>45063</v>
      </c>
      <c r="E71" s="1" t="n">
        <v>46293</v>
      </c>
      <c r="F71" t="inlineStr">
        <is>
          <t>STOCKHOLMS LÄN</t>
        </is>
      </c>
      <c r="G71" t="inlineStr">
        <is>
          <t>VALLENTUNA</t>
        </is>
      </c>
      <c r="I71" t="n">
        <v>3.1</v>
      </c>
      <c r="J71" t="n">
        <v>0</v>
      </c>
      <c r="K71" t="n">
        <v>0</v>
      </c>
      <c r="L71" t="n">
        <v>0</v>
      </c>
      <c r="M71" t="n">
        <v>0</v>
      </c>
      <c r="N71" t="n">
        <v>0</v>
      </c>
      <c r="O71" t="n">
        <v>0</v>
      </c>
      <c r="P71" t="n">
        <v>0</v>
      </c>
      <c r="Q71" t="n">
        <v>0</v>
      </c>
      <c r="R71" t="n">
        <v>0</v>
      </c>
      <c r="S71" t="n">
        <v>0</v>
      </c>
      <c r="T71" t="n">
        <v>0</v>
      </c>
      <c r="U71" t="n">
        <v>0</v>
      </c>
      <c r="V71" s="2" t="inlineStr"/>
    </row>
    <row r="72" ht="15" customHeight="1">
      <c r="A72" t="inlineStr">
        <is>
          <t>A 22683-2023</t>
        </is>
      </c>
      <c r="B72" t="inlineStr">
        <is>
          <t>avverkningsanmälan</t>
        </is>
      </c>
      <c r="C72" t="inlineStr">
        <is>
          <t>Föryngringsavverkning</t>
        </is>
      </c>
      <c r="D72" s="1" t="n">
        <v>45071</v>
      </c>
      <c r="E72" s="1" t="n">
        <v>46293</v>
      </c>
      <c r="F72" t="inlineStr">
        <is>
          <t>STOCKHOLMS LÄN</t>
        </is>
      </c>
      <c r="G72" t="inlineStr">
        <is>
          <t>VALLENTUNA</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24943-2024</t>
        </is>
      </c>
      <c r="B73" t="inlineStr">
        <is>
          <t>avverkningsanmälan</t>
        </is>
      </c>
      <c r="C73" t="inlineStr">
        <is>
          <t>Föryngringsavverkning</t>
        </is>
      </c>
      <c r="D73" s="1" t="n">
        <v>45461</v>
      </c>
      <c r="E73" s="1" t="n">
        <v>46293</v>
      </c>
      <c r="F73" t="inlineStr">
        <is>
          <t>STOCKHOLMS LÄN</t>
        </is>
      </c>
      <c r="G73" t="inlineStr">
        <is>
          <t>VALLENTUNA</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5910-2022</t>
        </is>
      </c>
      <c r="B74" t="inlineStr">
        <is>
          <t>avverkningsanmälan</t>
        </is>
      </c>
      <c r="C74" t="inlineStr">
        <is>
          <t>Föryngringsavverkning</t>
        </is>
      </c>
      <c r="D74" s="1" t="n">
        <v>44597</v>
      </c>
      <c r="E74" s="1" t="n">
        <v>46293</v>
      </c>
      <c r="F74" t="inlineStr">
        <is>
          <t>STOCKHOLMS LÄN</t>
        </is>
      </c>
      <c r="G74" t="inlineStr">
        <is>
          <t>VALLENTUNA</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30902-2025</t>
        </is>
      </c>
      <c r="B75" t="inlineStr">
        <is>
          <t>avverkningsanmälan</t>
        </is>
      </c>
      <c r="C75" t="inlineStr">
        <is>
          <t>Föryngringsavverkning</t>
        </is>
      </c>
      <c r="D75" s="1" t="n">
        <v>45832</v>
      </c>
      <c r="E75" s="1" t="n">
        <v>46293</v>
      </c>
      <c r="F75" t="inlineStr">
        <is>
          <t>STOCKHOLMS LÄN</t>
        </is>
      </c>
      <c r="G75" t="inlineStr">
        <is>
          <t>VALLENTUNA</t>
        </is>
      </c>
      <c r="I75" t="n">
        <v>8.199999999999999</v>
      </c>
      <c r="J75" t="n">
        <v>0</v>
      </c>
      <c r="K75" t="n">
        <v>0</v>
      </c>
      <c r="L75" t="n">
        <v>0</v>
      </c>
      <c r="M75" t="n">
        <v>0</v>
      </c>
      <c r="N75" t="n">
        <v>0</v>
      </c>
      <c r="O75" t="n">
        <v>0</v>
      </c>
      <c r="P75" t="n">
        <v>0</v>
      </c>
      <c r="Q75" t="n">
        <v>0</v>
      </c>
      <c r="R75" t="n">
        <v>0</v>
      </c>
      <c r="S75" t="n">
        <v>0</v>
      </c>
      <c r="T75" t="n">
        <v>0</v>
      </c>
      <c r="U75" t="n">
        <v>0</v>
      </c>
      <c r="V75" s="2" t="inlineStr"/>
    </row>
    <row r="76" ht="15" customHeight="1">
      <c r="A76" t="inlineStr">
        <is>
          <t>A 26390-2023</t>
        </is>
      </c>
      <c r="B76" t="inlineStr">
        <is>
          <t>avverkningsanmälan</t>
        </is>
      </c>
      <c r="C76" t="inlineStr">
        <is>
          <t>Föryngringsavverkning</t>
        </is>
      </c>
      <c r="D76" s="1" t="n">
        <v>45086</v>
      </c>
      <c r="E76" s="1" t="n">
        <v>46293</v>
      </c>
      <c r="F76" t="inlineStr">
        <is>
          <t>STOCKHOLMS LÄN</t>
        </is>
      </c>
      <c r="G76" t="inlineStr">
        <is>
          <t>VALLENTUNA</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28431-2025</t>
        </is>
      </c>
      <c r="B77" t="inlineStr">
        <is>
          <t>avverkningsanmälan</t>
        </is>
      </c>
      <c r="C77" t="inlineStr">
        <is>
          <t>Föryngringsavverkning</t>
        </is>
      </c>
      <c r="D77" s="1" t="n">
        <v>45819</v>
      </c>
      <c r="E77" s="1" t="n">
        <v>46293</v>
      </c>
      <c r="F77" t="inlineStr">
        <is>
          <t>STOCKHOLMS LÄN</t>
        </is>
      </c>
      <c r="G77" t="inlineStr">
        <is>
          <t>VALLENTUNA</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24740-2026</t>
        </is>
      </c>
      <c r="B78" t="inlineStr">
        <is>
          <t>avverkningsanmälan</t>
        </is>
      </c>
      <c r="C78" t="inlineStr">
        <is>
          <t>Föryngringsavverkning</t>
        </is>
      </c>
      <c r="D78" s="1" t="n">
        <v>46171</v>
      </c>
      <c r="E78" s="1" t="n">
        <v>46293</v>
      </c>
      <c r="F78" t="inlineStr">
        <is>
          <t>STOCKHOLMS LÄN</t>
        </is>
      </c>
      <c r="G78" t="inlineStr">
        <is>
          <t>VALLENTUNA</t>
        </is>
      </c>
      <c r="H78" t="inlineStr">
        <is>
          <t>Övriga Aktiebolag</t>
        </is>
      </c>
      <c r="I78" t="n">
        <v>5.7</v>
      </c>
      <c r="J78" t="n">
        <v>0</v>
      </c>
      <c r="K78" t="n">
        <v>0</v>
      </c>
      <c r="L78" t="n">
        <v>0</v>
      </c>
      <c r="M78" t="n">
        <v>0</v>
      </c>
      <c r="N78" t="n">
        <v>0</v>
      </c>
      <c r="O78" t="n">
        <v>0</v>
      </c>
      <c r="P78" t="n">
        <v>0</v>
      </c>
      <c r="Q78" t="n">
        <v>0</v>
      </c>
      <c r="R78" t="n">
        <v>0</v>
      </c>
      <c r="S78" t="n">
        <v>0</v>
      </c>
      <c r="T78" t="n">
        <v>0</v>
      </c>
      <c r="U78" t="n">
        <v>0</v>
      </c>
      <c r="V78" s="2" t="inlineStr"/>
    </row>
    <row r="79" ht="15" customHeight="1">
      <c r="A79" t="inlineStr">
        <is>
          <t>A 25740-2026</t>
        </is>
      </c>
      <c r="B79" t="inlineStr">
        <is>
          <t>avverkningsanmälan</t>
        </is>
      </c>
      <c r="C79" t="inlineStr">
        <is>
          <t>Föryngringsavverkning</t>
        </is>
      </c>
      <c r="D79" s="1" t="n">
        <v>46178</v>
      </c>
      <c r="E79" s="1" t="n">
        <v>46293</v>
      </c>
      <c r="F79" t="inlineStr">
        <is>
          <t>STOCKHOLMS LÄN</t>
        </is>
      </c>
      <c r="G79" t="inlineStr">
        <is>
          <t>VALLENTUNA</t>
        </is>
      </c>
      <c r="I79" t="n">
        <v>2.2</v>
      </c>
      <c r="J79" t="n">
        <v>0</v>
      </c>
      <c r="K79" t="n">
        <v>0</v>
      </c>
      <c r="L79" t="n">
        <v>0</v>
      </c>
      <c r="M79" t="n">
        <v>0</v>
      </c>
      <c r="N79" t="n">
        <v>0</v>
      </c>
      <c r="O79" t="n">
        <v>0</v>
      </c>
      <c r="P79" t="n">
        <v>0</v>
      </c>
      <c r="Q79" t="n">
        <v>0</v>
      </c>
      <c r="R79" t="n">
        <v>0</v>
      </c>
      <c r="S79" t="n">
        <v>0</v>
      </c>
      <c r="T79" t="n">
        <v>0</v>
      </c>
      <c r="U79" t="n">
        <v>0</v>
      </c>
      <c r="V79" s="2" t="inlineStr"/>
    </row>
    <row r="80" ht="15" customHeight="1">
      <c r="A80" t="inlineStr">
        <is>
          <t>A 24707-2023</t>
        </is>
      </c>
      <c r="B80" t="inlineStr">
        <is>
          <t>avverkningsanmälan</t>
        </is>
      </c>
      <c r="C80" t="inlineStr">
        <is>
          <t>Föryngringsavverkning</t>
        </is>
      </c>
      <c r="D80" s="1" t="n">
        <v>45084</v>
      </c>
      <c r="E80" s="1" t="n">
        <v>46293</v>
      </c>
      <c r="F80" t="inlineStr">
        <is>
          <t>STOCKHOLMS LÄN</t>
        </is>
      </c>
      <c r="G80" t="inlineStr">
        <is>
          <t>VALLENTUNA</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25752-2026</t>
        </is>
      </c>
      <c r="B81" t="inlineStr">
        <is>
          <t>avverkningsanmälan</t>
        </is>
      </c>
      <c r="C81" t="inlineStr">
        <is>
          <t>Föryngringsavverkning</t>
        </is>
      </c>
      <c r="D81" s="1" t="n">
        <v>46178</v>
      </c>
      <c r="E81" s="1" t="n">
        <v>46293</v>
      </c>
      <c r="F81" t="inlineStr">
        <is>
          <t>STOCKHOLMS LÄN</t>
        </is>
      </c>
      <c r="G81" t="inlineStr">
        <is>
          <t>VALLENTUNA</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12609-2024</t>
        </is>
      </c>
      <c r="B82" t="inlineStr">
        <is>
          <t>avverkningsanmälan</t>
        </is>
      </c>
      <c r="C82" t="inlineStr">
        <is>
          <t>Avverkning för annat ändamål</t>
        </is>
      </c>
      <c r="D82" s="1" t="n">
        <v>45382</v>
      </c>
      <c r="E82" s="1" t="n">
        <v>46293</v>
      </c>
      <c r="F82" t="inlineStr">
        <is>
          <t>STOCKHOLMS LÄN</t>
        </is>
      </c>
      <c r="G82" t="inlineStr">
        <is>
          <t>VALLENTUNA</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47140-2024</t>
        </is>
      </c>
      <c r="B83" t="inlineStr">
        <is>
          <t>avverkningsanmälan</t>
        </is>
      </c>
      <c r="C83" t="inlineStr">
        <is>
          <t>Föryngringsavverkning</t>
        </is>
      </c>
      <c r="D83" s="1" t="n">
        <v>45586</v>
      </c>
      <c r="E83" s="1" t="n">
        <v>46293</v>
      </c>
      <c r="F83" t="inlineStr">
        <is>
          <t>STOCKHOLMS LÄN</t>
        </is>
      </c>
      <c r="G83" t="inlineStr">
        <is>
          <t>VALLENTUNA</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12819-2026</t>
        </is>
      </c>
      <c r="B84" t="inlineStr">
        <is>
          <t>avverkningsanmälan</t>
        </is>
      </c>
      <c r="C84" t="inlineStr">
        <is>
          <t>Föryngringsavverkning</t>
        </is>
      </c>
      <c r="D84" s="1" t="n">
        <v>46092</v>
      </c>
      <c r="E84" s="1" t="n">
        <v>46293</v>
      </c>
      <c r="F84" t="inlineStr">
        <is>
          <t>STOCKHOLMS LÄN</t>
        </is>
      </c>
      <c r="G84" t="inlineStr">
        <is>
          <t>VALLENTUNA</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4803-2024</t>
        </is>
      </c>
      <c r="B85" t="inlineStr">
        <is>
          <t>avverkningsanmälan</t>
        </is>
      </c>
      <c r="C85" t="inlineStr">
        <is>
          <t>Avverkning för annat ändamål</t>
        </is>
      </c>
      <c r="D85" s="1" t="n">
        <v>45328</v>
      </c>
      <c r="E85" s="1" t="n">
        <v>46293</v>
      </c>
      <c r="F85" t="inlineStr">
        <is>
          <t>STOCKHOLMS LÄN</t>
        </is>
      </c>
      <c r="G85" t="inlineStr">
        <is>
          <t>VALLENTUNA</t>
        </is>
      </c>
      <c r="I85" t="n">
        <v>4.6</v>
      </c>
      <c r="J85" t="n">
        <v>0</v>
      </c>
      <c r="K85" t="n">
        <v>0</v>
      </c>
      <c r="L85" t="n">
        <v>0</v>
      </c>
      <c r="M85" t="n">
        <v>0</v>
      </c>
      <c r="N85" t="n">
        <v>0</v>
      </c>
      <c r="O85" t="n">
        <v>0</v>
      </c>
      <c r="P85" t="n">
        <v>0</v>
      </c>
      <c r="Q85" t="n">
        <v>0</v>
      </c>
      <c r="R85" t="n">
        <v>0</v>
      </c>
      <c r="S85" t="n">
        <v>0</v>
      </c>
      <c r="T85" t="n">
        <v>0</v>
      </c>
      <c r="U85" t="n">
        <v>0</v>
      </c>
      <c r="V85" s="2" t="inlineStr"/>
    </row>
    <row r="86" ht="15" customHeight="1">
      <c r="A86" t="inlineStr">
        <is>
          <t>A 52542-2023</t>
        </is>
      </c>
      <c r="B86" t="inlineStr">
        <is>
          <t>avverkningsanmälan</t>
        </is>
      </c>
      <c r="C86" t="inlineStr">
        <is>
          <t>Föryngringsavverkning</t>
        </is>
      </c>
      <c r="D86" s="1" t="n">
        <v>45225</v>
      </c>
      <c r="E86" s="1" t="n">
        <v>46293</v>
      </c>
      <c r="F86" t="inlineStr">
        <is>
          <t>STOCKHOLMS LÄN</t>
        </is>
      </c>
      <c r="G86" t="inlineStr">
        <is>
          <t>VALLENTUNA</t>
        </is>
      </c>
      <c r="I86" t="n">
        <v>3.8</v>
      </c>
      <c r="J86" t="n">
        <v>0</v>
      </c>
      <c r="K86" t="n">
        <v>0</v>
      </c>
      <c r="L86" t="n">
        <v>0</v>
      </c>
      <c r="M86" t="n">
        <v>0</v>
      </c>
      <c r="N86" t="n">
        <v>0</v>
      </c>
      <c r="O86" t="n">
        <v>0</v>
      </c>
      <c r="P86" t="n">
        <v>0</v>
      </c>
      <c r="Q86" t="n">
        <v>0</v>
      </c>
      <c r="R86" t="n">
        <v>0</v>
      </c>
      <c r="S86" t="n">
        <v>0</v>
      </c>
      <c r="T86" t="n">
        <v>0</v>
      </c>
      <c r="U86" t="n">
        <v>0</v>
      </c>
      <c r="V86" s="2" t="inlineStr"/>
    </row>
    <row r="87" ht="15" customHeight="1">
      <c r="A87" t="inlineStr">
        <is>
          <t>A 34736-2026</t>
        </is>
      </c>
      <c r="B87" t="inlineStr">
        <is>
          <t>avverkningsanmälan</t>
        </is>
      </c>
      <c r="C87" t="inlineStr">
        <is>
          <t>Föryngringsavverkning</t>
        </is>
      </c>
      <c r="D87" s="1" t="n">
        <v>46258</v>
      </c>
      <c r="E87" s="1" t="n">
        <v>46293</v>
      </c>
      <c r="F87" t="inlineStr">
        <is>
          <t>STOCKHOLMS LÄN</t>
        </is>
      </c>
      <c r="G87" t="inlineStr">
        <is>
          <t>VALLENTUNA</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34750-2026</t>
        </is>
      </c>
      <c r="B88" t="inlineStr">
        <is>
          <t>avverkningsanmälan</t>
        </is>
      </c>
      <c r="C88" t="inlineStr">
        <is>
          <t>Föryngringsavverkning</t>
        </is>
      </c>
      <c r="D88" s="1" t="n">
        <v>46258</v>
      </c>
      <c r="E88" s="1" t="n">
        <v>46293</v>
      </c>
      <c r="F88" t="inlineStr">
        <is>
          <t>STOCKHOLMS LÄN</t>
        </is>
      </c>
      <c r="G88" t="inlineStr">
        <is>
          <t>VALLENTUNA</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11950-2025</t>
        </is>
      </c>
      <c r="B89" t="inlineStr">
        <is>
          <t>avverkningsanmälan</t>
        </is>
      </c>
      <c r="C89" t="inlineStr">
        <is>
          <t>Föryngringsavverkning</t>
        </is>
      </c>
      <c r="D89" s="1" t="n">
        <v>45728</v>
      </c>
      <c r="E89" s="1" t="n">
        <v>46293</v>
      </c>
      <c r="F89" t="inlineStr">
        <is>
          <t>STOCKHOLMS LÄN</t>
        </is>
      </c>
      <c r="G89" t="inlineStr">
        <is>
          <t>VALLENTUNA</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34720-2026</t>
        </is>
      </c>
      <c r="B90" t="inlineStr">
        <is>
          <t>avverkningsanmälan</t>
        </is>
      </c>
      <c r="C90" t="inlineStr">
        <is>
          <t>Föryngringsavverkning</t>
        </is>
      </c>
      <c r="D90" s="1" t="n">
        <v>46258</v>
      </c>
      <c r="E90" s="1" t="n">
        <v>46293</v>
      </c>
      <c r="F90" t="inlineStr">
        <is>
          <t>STOCKHOLMS LÄN</t>
        </is>
      </c>
      <c r="G90" t="inlineStr">
        <is>
          <t>VALLENTUNA</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14489-2024</t>
        </is>
      </c>
      <c r="B91" t="inlineStr">
        <is>
          <t>avverkningsanmälan</t>
        </is>
      </c>
      <c r="C91" t="inlineStr">
        <is>
          <t>Föryngringsavverkning</t>
        </is>
      </c>
      <c r="D91" s="1" t="n">
        <v>45394</v>
      </c>
      <c r="E91" s="1" t="n">
        <v>46293</v>
      </c>
      <c r="F91" t="inlineStr">
        <is>
          <t>STOCKHOLMS LÄN</t>
        </is>
      </c>
      <c r="G91" t="inlineStr">
        <is>
          <t>VALLENTUNA</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52562-2023</t>
        </is>
      </c>
      <c r="B92" t="inlineStr">
        <is>
          <t>avverkningsanmälan</t>
        </is>
      </c>
      <c r="C92" t="inlineStr">
        <is>
          <t>Föryngringsavverkning</t>
        </is>
      </c>
      <c r="D92" s="1" t="n">
        <v>45225</v>
      </c>
      <c r="E92" s="1" t="n">
        <v>46293</v>
      </c>
      <c r="F92" t="inlineStr">
        <is>
          <t>STOCKHOLMS LÄN</t>
        </is>
      </c>
      <c r="G92" t="inlineStr">
        <is>
          <t>VALLENTUNA</t>
        </is>
      </c>
      <c r="I92" t="n">
        <v>3.4</v>
      </c>
      <c r="J92" t="n">
        <v>0</v>
      </c>
      <c r="K92" t="n">
        <v>0</v>
      </c>
      <c r="L92" t="n">
        <v>0</v>
      </c>
      <c r="M92" t="n">
        <v>0</v>
      </c>
      <c r="N92" t="n">
        <v>0</v>
      </c>
      <c r="O92" t="n">
        <v>0</v>
      </c>
      <c r="P92" t="n">
        <v>0</v>
      </c>
      <c r="Q92" t="n">
        <v>0</v>
      </c>
      <c r="R92" t="n">
        <v>0</v>
      </c>
      <c r="S92" t="n">
        <v>0</v>
      </c>
      <c r="T92" t="n">
        <v>0</v>
      </c>
      <c r="U92" t="n">
        <v>0</v>
      </c>
      <c r="V92" s="2" t="inlineStr"/>
    </row>
    <row r="93" ht="15" customHeight="1">
      <c r="A93" t="inlineStr">
        <is>
          <t>A 23013-2024</t>
        </is>
      </c>
      <c r="B93" t="inlineStr">
        <is>
          <t>avverkningsanmälan</t>
        </is>
      </c>
      <c r="C93" t="inlineStr">
        <is>
          <t>Föryngringsavverkning</t>
        </is>
      </c>
      <c r="D93" s="1" t="n">
        <v>45450</v>
      </c>
      <c r="E93" s="1" t="n">
        <v>46293</v>
      </c>
      <c r="F93" t="inlineStr">
        <is>
          <t>STOCKHOLMS LÄN</t>
        </is>
      </c>
      <c r="G93" t="inlineStr">
        <is>
          <t>VALLENTUNA</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2318-2024</t>
        </is>
      </c>
      <c r="B94" t="inlineStr">
        <is>
          <t>avverkningsanmälan</t>
        </is>
      </c>
      <c r="C94" t="inlineStr">
        <is>
          <t>Föryngringsavverkning</t>
        </is>
      </c>
      <c r="D94" s="1" t="n">
        <v>45310</v>
      </c>
      <c r="E94" s="1" t="n">
        <v>46293</v>
      </c>
      <c r="F94" t="inlineStr">
        <is>
          <t>STOCKHOLMS LÄN</t>
        </is>
      </c>
      <c r="G94" t="inlineStr">
        <is>
          <t>VALLENTUNA</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61742-2022</t>
        </is>
      </c>
      <c r="B95" t="inlineStr">
        <is>
          <t>avverkningsanmälan</t>
        </is>
      </c>
      <c r="C95" t="inlineStr">
        <is>
          <t>Avverkning för annat ändamål</t>
        </is>
      </c>
      <c r="D95" s="1" t="n">
        <v>44917</v>
      </c>
      <c r="E95" s="1" t="n">
        <v>46293</v>
      </c>
      <c r="F95" t="inlineStr">
        <is>
          <t>STOCKHOLMS LÄN</t>
        </is>
      </c>
      <c r="G95" t="inlineStr">
        <is>
          <t>VALLENTUNA</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3698-2022</t>
        </is>
      </c>
      <c r="B96" t="inlineStr">
        <is>
          <t>avverkningsanmälan</t>
        </is>
      </c>
      <c r="C96" t="inlineStr">
        <is>
          <t>Föryngringsavverkning</t>
        </is>
      </c>
      <c r="D96" s="1" t="n">
        <v>44586</v>
      </c>
      <c r="E96" s="1" t="n">
        <v>46293</v>
      </c>
      <c r="F96" t="inlineStr">
        <is>
          <t>STOCKHOLMS LÄN</t>
        </is>
      </c>
      <c r="G96" t="inlineStr">
        <is>
          <t>VALLENTUNA</t>
        </is>
      </c>
      <c r="I96" t="n">
        <v>2.9</v>
      </c>
      <c r="J96" t="n">
        <v>0</v>
      </c>
      <c r="K96" t="n">
        <v>0</v>
      </c>
      <c r="L96" t="n">
        <v>0</v>
      </c>
      <c r="M96" t="n">
        <v>0</v>
      </c>
      <c r="N96" t="n">
        <v>0</v>
      </c>
      <c r="O96" t="n">
        <v>0</v>
      </c>
      <c r="P96" t="n">
        <v>0</v>
      </c>
      <c r="Q96" t="n">
        <v>0</v>
      </c>
      <c r="R96" t="n">
        <v>0</v>
      </c>
      <c r="S96" t="n">
        <v>0</v>
      </c>
      <c r="T96" t="n">
        <v>0</v>
      </c>
      <c r="U96" t="n">
        <v>0</v>
      </c>
      <c r="V96" s="2" t="inlineStr"/>
    </row>
    <row r="97" ht="15" customHeight="1">
      <c r="A97" t="inlineStr">
        <is>
          <t>A 39163-2026</t>
        </is>
      </c>
      <c r="B97" t="inlineStr">
        <is>
          <t>avverkningsanmälan</t>
        </is>
      </c>
      <c r="C97" t="inlineStr">
        <is>
          <t>Föryngringsavverkning</t>
        </is>
      </c>
      <c r="D97" s="1" t="n">
        <v>46287</v>
      </c>
      <c r="E97" s="1" t="n">
        <v>46293</v>
      </c>
      <c r="F97" t="inlineStr">
        <is>
          <t>STOCKHOLMS LÄN</t>
        </is>
      </c>
      <c r="G97" t="inlineStr">
        <is>
          <t>VALLENTUNA</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12234-2022</t>
        </is>
      </c>
      <c r="B98" t="inlineStr">
        <is>
          <t>avverkningsanmälan</t>
        </is>
      </c>
      <c r="C98" t="inlineStr">
        <is>
          <t>Föryngringsavverkning</t>
        </is>
      </c>
      <c r="D98" s="1" t="n">
        <v>44637</v>
      </c>
      <c r="E98" s="1" t="n">
        <v>46293</v>
      </c>
      <c r="F98" t="inlineStr">
        <is>
          <t>STOCKHOLMS LÄN</t>
        </is>
      </c>
      <c r="G98" t="inlineStr">
        <is>
          <t>VALLENTUNA</t>
        </is>
      </c>
      <c r="I98" t="n">
        <v>2.4</v>
      </c>
      <c r="J98" t="n">
        <v>0</v>
      </c>
      <c r="K98" t="n">
        <v>0</v>
      </c>
      <c r="L98" t="n">
        <v>0</v>
      </c>
      <c r="M98" t="n">
        <v>0</v>
      </c>
      <c r="N98" t="n">
        <v>0</v>
      </c>
      <c r="O98" t="n">
        <v>0</v>
      </c>
      <c r="P98" t="n">
        <v>0</v>
      </c>
      <c r="Q98" t="n">
        <v>0</v>
      </c>
      <c r="R98" t="n">
        <v>0</v>
      </c>
      <c r="S98" t="n">
        <v>0</v>
      </c>
      <c r="T98" t="n">
        <v>0</v>
      </c>
      <c r="U98" t="n">
        <v>0</v>
      </c>
      <c r="V98" s="2" t="inlineStr"/>
    </row>
    <row r="99" ht="15" customHeight="1">
      <c r="A99" t="inlineStr">
        <is>
          <t>A 21614-2022</t>
        </is>
      </c>
      <c r="B99" t="inlineStr">
        <is>
          <t>avverkningsanmälan</t>
        </is>
      </c>
      <c r="C99" t="inlineStr">
        <is>
          <t>Föryngringsavverkning</t>
        </is>
      </c>
      <c r="D99" s="1" t="n">
        <v>44706</v>
      </c>
      <c r="E99" s="1" t="n">
        <v>46293</v>
      </c>
      <c r="F99" t="inlineStr">
        <is>
          <t>STOCKHOLMS LÄN</t>
        </is>
      </c>
      <c r="G99" t="inlineStr">
        <is>
          <t>VALLENTUNA</t>
        </is>
      </c>
      <c r="I99" t="n">
        <v>4</v>
      </c>
      <c r="J99" t="n">
        <v>0</v>
      </c>
      <c r="K99" t="n">
        <v>0</v>
      </c>
      <c r="L99" t="n">
        <v>0</v>
      </c>
      <c r="M99" t="n">
        <v>0</v>
      </c>
      <c r="N99" t="n">
        <v>0</v>
      </c>
      <c r="O99" t="n">
        <v>0</v>
      </c>
      <c r="P99" t="n">
        <v>0</v>
      </c>
      <c r="Q99" t="n">
        <v>0</v>
      </c>
      <c r="R99" t="n">
        <v>0</v>
      </c>
      <c r="S99" t="n">
        <v>0</v>
      </c>
      <c r="T99" t="n">
        <v>0</v>
      </c>
      <c r="U99" t="n">
        <v>0</v>
      </c>
      <c r="V99" s="2" t="inlineStr"/>
    </row>
    <row r="100" ht="15" customHeight="1">
      <c r="A100" t="inlineStr">
        <is>
          <t>A 12585-2023</t>
        </is>
      </c>
      <c r="B100" t="inlineStr">
        <is>
          <t>avverkningsanmälan</t>
        </is>
      </c>
      <c r="C100" t="inlineStr">
        <is>
          <t>Föryngringsavverkning</t>
        </is>
      </c>
      <c r="D100" s="1" t="n">
        <v>45000</v>
      </c>
      <c r="E100" s="1" t="n">
        <v>46293</v>
      </c>
      <c r="F100" t="inlineStr">
        <is>
          <t>STOCKHOLMS LÄN</t>
        </is>
      </c>
      <c r="G100" t="inlineStr">
        <is>
          <t>VALLENTUNA</t>
        </is>
      </c>
      <c r="I100" t="n">
        <v>3.7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8787-2024</t>
        </is>
      </c>
      <c r="B101" t="inlineStr">
        <is>
          <t>avverkningsanmälan</t>
        </is>
      </c>
      <c r="C101" t="inlineStr">
        <is>
          <t>Avverkning för annat ändamål</t>
        </is>
      </c>
      <c r="D101" s="1" t="n">
        <v>45356</v>
      </c>
      <c r="E101" s="1" t="n">
        <v>46293</v>
      </c>
      <c r="F101" t="inlineStr">
        <is>
          <t>STOCKHOLMS LÄN</t>
        </is>
      </c>
      <c r="G101" t="inlineStr">
        <is>
          <t>VALLENTUNA</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34441-2023</t>
        </is>
      </c>
      <c r="B102" t="inlineStr">
        <is>
          <t>avverkningsanmälan</t>
        </is>
      </c>
      <c r="C102" t="inlineStr">
        <is>
          <t>Föryngringsavverkning</t>
        </is>
      </c>
      <c r="D102" s="1" t="n">
        <v>45139</v>
      </c>
      <c r="E102" s="1" t="n">
        <v>46293</v>
      </c>
      <c r="F102" t="inlineStr">
        <is>
          <t>STOCKHOLMS LÄN</t>
        </is>
      </c>
      <c r="G102" t="inlineStr">
        <is>
          <t>VALLENTUNA</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34445-2023</t>
        </is>
      </c>
      <c r="B103" t="inlineStr">
        <is>
          <t>avverkningsanmälan</t>
        </is>
      </c>
      <c r="C103" t="inlineStr">
        <is>
          <t>Föryngringsavverkning</t>
        </is>
      </c>
      <c r="D103" s="1" t="n">
        <v>45139</v>
      </c>
      <c r="E103" s="1" t="n">
        <v>46293</v>
      </c>
      <c r="F103" t="inlineStr">
        <is>
          <t>STOCKHOLMS LÄN</t>
        </is>
      </c>
      <c r="G103" t="inlineStr">
        <is>
          <t>VALLENTUNA</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23986-2023</t>
        </is>
      </c>
      <c r="B104" t="inlineStr">
        <is>
          <t>avverkningsanmälan</t>
        </is>
      </c>
      <c r="C104" t="inlineStr">
        <is>
          <t>Föryngringsavverkning</t>
        </is>
      </c>
      <c r="D104" s="1" t="n">
        <v>45078</v>
      </c>
      <c r="E104" s="1" t="n">
        <v>46293</v>
      </c>
      <c r="F104" t="inlineStr">
        <is>
          <t>STOCKHOLMS LÄN</t>
        </is>
      </c>
      <c r="G104" t="inlineStr">
        <is>
          <t>VALLENTUNA</t>
        </is>
      </c>
      <c r="H104" t="inlineStr">
        <is>
          <t>Kyrkan</t>
        </is>
      </c>
      <c r="I104" t="n">
        <v>5.7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8077-2022</t>
        </is>
      </c>
      <c r="B105" t="inlineStr">
        <is>
          <t>avverkningsanmälan</t>
        </is>
      </c>
      <c r="C105" t="inlineStr">
        <is>
          <t>Föryngringsavverkning</t>
        </is>
      </c>
      <c r="D105" s="1" t="n">
        <v>44609</v>
      </c>
      <c r="E105" s="1" t="n">
        <v>46293</v>
      </c>
      <c r="F105" t="inlineStr">
        <is>
          <t>STOCKHOLMS LÄN</t>
        </is>
      </c>
      <c r="G105" t="inlineStr">
        <is>
          <t>VALLENTUNA</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13836-2022</t>
        </is>
      </c>
      <c r="B106" t="inlineStr">
        <is>
          <t>avverkningsanmälan</t>
        </is>
      </c>
      <c r="C106" t="inlineStr">
        <is>
          <t>Föryngringsavverkning</t>
        </is>
      </c>
      <c r="D106" s="1" t="n">
        <v>44649</v>
      </c>
      <c r="E106" s="1" t="n">
        <v>46293</v>
      </c>
      <c r="F106" t="inlineStr">
        <is>
          <t>STOCKHOLMS LÄN</t>
        </is>
      </c>
      <c r="G106" t="inlineStr">
        <is>
          <t>VALLENTUNA</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29704-2023</t>
        </is>
      </c>
      <c r="B107" t="inlineStr">
        <is>
          <t>avverkningsanmälan</t>
        </is>
      </c>
      <c r="C107" t="inlineStr">
        <is>
          <t>Föryngringsavverkning</t>
        </is>
      </c>
      <c r="D107" s="1" t="n">
        <v>45107</v>
      </c>
      <c r="E107" s="1" t="n">
        <v>46293</v>
      </c>
      <c r="F107" t="inlineStr">
        <is>
          <t>STOCKHOLMS LÄN</t>
        </is>
      </c>
      <c r="G107" t="inlineStr">
        <is>
          <t>VALLENTUNA</t>
        </is>
      </c>
      <c r="I107" t="n">
        <v>3.7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21765-2023</t>
        </is>
      </c>
      <c r="B108" t="inlineStr">
        <is>
          <t>avverkningsanmälan</t>
        </is>
      </c>
      <c r="C108" t="inlineStr">
        <is>
          <t>Föryngringsavverkning</t>
        </is>
      </c>
      <c r="D108" s="1" t="n">
        <v>45064</v>
      </c>
      <c r="E108" s="1" t="n">
        <v>46293</v>
      </c>
      <c r="F108" t="inlineStr">
        <is>
          <t>STOCKHOLMS LÄN</t>
        </is>
      </c>
      <c r="G108" t="inlineStr">
        <is>
          <t>VALLENTUNA</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45496-2023</t>
        </is>
      </c>
      <c r="B109" t="inlineStr">
        <is>
          <t>avverkningsanmälan</t>
        </is>
      </c>
      <c r="C109" t="inlineStr">
        <is>
          <t>Föryngringsavverkning</t>
        </is>
      </c>
      <c r="D109" s="1" t="n">
        <v>45194</v>
      </c>
      <c r="E109" s="1" t="n">
        <v>46293</v>
      </c>
      <c r="F109" t="inlineStr">
        <is>
          <t>STOCKHOLMS LÄN</t>
        </is>
      </c>
      <c r="G109" t="inlineStr">
        <is>
          <t>VALLENTUNA</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45499-2023</t>
        </is>
      </c>
      <c r="B110" t="inlineStr">
        <is>
          <t>avverkningsanmälan</t>
        </is>
      </c>
      <c r="C110" t="inlineStr">
        <is>
          <t>Föryngringsavverkning</t>
        </is>
      </c>
      <c r="D110" s="1" t="n">
        <v>45194</v>
      </c>
      <c r="E110" s="1" t="n">
        <v>46293</v>
      </c>
      <c r="F110" t="inlineStr">
        <is>
          <t>STOCKHOLMS LÄN</t>
        </is>
      </c>
      <c r="G110" t="inlineStr">
        <is>
          <t>VALLENTUNA</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14782-2024</t>
        </is>
      </c>
      <c r="B111" t="inlineStr">
        <is>
          <t>avverkningsanmälan</t>
        </is>
      </c>
      <c r="C111" t="inlineStr">
        <is>
          <t>Avverkning för att bevara och utveckla /försöksver</t>
        </is>
      </c>
      <c r="D111" s="1" t="n">
        <v>45397</v>
      </c>
      <c r="E111" s="1" t="n">
        <v>46293</v>
      </c>
      <c r="F111" t="inlineStr">
        <is>
          <t>STOCKHOLMS LÄN</t>
        </is>
      </c>
      <c r="G111" t="inlineStr">
        <is>
          <t>VALLENTUNA</t>
        </is>
      </c>
      <c r="I111" t="n">
        <v>3.1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1385-2024</t>
        </is>
      </c>
      <c r="B112" t="inlineStr">
        <is>
          <t>avverkningsanmälan</t>
        </is>
      </c>
      <c r="C112" t="inlineStr">
        <is>
          <t>Föryngringsavverkning</t>
        </is>
      </c>
      <c r="D112" s="1" t="n">
        <v>45303</v>
      </c>
      <c r="E112" s="1" t="n">
        <v>46293</v>
      </c>
      <c r="F112" t="inlineStr">
        <is>
          <t>STOCKHOLMS LÄN</t>
        </is>
      </c>
      <c r="G112" t="inlineStr">
        <is>
          <t>VALLENTUNA</t>
        </is>
      </c>
      <c r="I112" t="n">
        <v>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14775-2024</t>
        </is>
      </c>
      <c r="B113" t="inlineStr">
        <is>
          <t>avverkningsanmälan</t>
        </is>
      </c>
      <c r="C113" t="inlineStr">
        <is>
          <t>Föryngringsavverkning</t>
        </is>
      </c>
      <c r="D113" s="1" t="n">
        <v>45397</v>
      </c>
      <c r="E113" s="1" t="n">
        <v>46293</v>
      </c>
      <c r="F113" t="inlineStr">
        <is>
          <t>STOCKHOLMS LÄN</t>
        </is>
      </c>
      <c r="G113" t="inlineStr">
        <is>
          <t>VALLENTUNA</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17411-2023</t>
        </is>
      </c>
      <c r="B114" t="inlineStr">
        <is>
          <t>avverkningsanmälan</t>
        </is>
      </c>
      <c r="C114" t="inlineStr">
        <is>
          <t>Föryngringsavverkning</t>
        </is>
      </c>
      <c r="D114" s="1" t="n">
        <v>45035</v>
      </c>
      <c r="E114" s="1" t="n">
        <v>46293</v>
      </c>
      <c r="F114" t="inlineStr">
        <is>
          <t>STOCKHOLMS LÄN</t>
        </is>
      </c>
      <c r="G114" t="inlineStr">
        <is>
          <t>VALLENTUNA</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38102-2024</t>
        </is>
      </c>
      <c r="B115" t="inlineStr">
        <is>
          <t>avverkningsanmälan</t>
        </is>
      </c>
      <c r="C115" t="inlineStr">
        <is>
          <t>Föryngringsavverkning</t>
        </is>
      </c>
      <c r="D115" s="1" t="n">
        <v>45545</v>
      </c>
      <c r="E115" s="1" t="n">
        <v>46293</v>
      </c>
      <c r="F115" t="inlineStr">
        <is>
          <t>STOCKHOLMS LÄN</t>
        </is>
      </c>
      <c r="G115" t="inlineStr">
        <is>
          <t>VALLENTUNA</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17340-2025</t>
        </is>
      </c>
      <c r="B116" t="inlineStr">
        <is>
          <t>avverkningsanmälan</t>
        </is>
      </c>
      <c r="C116" t="inlineStr">
        <is>
          <t>Föryngringsavverkning</t>
        </is>
      </c>
      <c r="D116" s="1" t="n">
        <v>45756</v>
      </c>
      <c r="E116" s="1" t="n">
        <v>46293</v>
      </c>
      <c r="F116" t="inlineStr">
        <is>
          <t>STOCKHOLMS LÄN</t>
        </is>
      </c>
      <c r="G116" t="inlineStr">
        <is>
          <t>VALLENTUNA</t>
        </is>
      </c>
      <c r="H116" t="inlineStr">
        <is>
          <t>Övriga Aktiebolag</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10073-2024</t>
        </is>
      </c>
      <c r="B117" t="inlineStr">
        <is>
          <t>avverkningsanmälan</t>
        </is>
      </c>
      <c r="C117" t="inlineStr">
        <is>
          <t>Föryngringsavverkning</t>
        </is>
      </c>
      <c r="D117" s="1" t="n">
        <v>45364</v>
      </c>
      <c r="E117" s="1" t="n">
        <v>46293</v>
      </c>
      <c r="F117" t="inlineStr">
        <is>
          <t>STOCKHOLMS LÄN</t>
        </is>
      </c>
      <c r="G117" t="inlineStr">
        <is>
          <t>VALLENTUNA</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12621-2024</t>
        </is>
      </c>
      <c r="B118" t="inlineStr">
        <is>
          <t>avverkningsanmälan</t>
        </is>
      </c>
      <c r="C118" t="inlineStr">
        <is>
          <t>Föryngringsavverkning</t>
        </is>
      </c>
      <c r="D118" s="1" t="n">
        <v>45383</v>
      </c>
      <c r="E118" s="1" t="n">
        <v>46293</v>
      </c>
      <c r="F118" t="inlineStr">
        <is>
          <t>STOCKHOLMS LÄN</t>
        </is>
      </c>
      <c r="G118" t="inlineStr">
        <is>
          <t>VALLENTUNA</t>
        </is>
      </c>
      <c r="I118" t="n">
        <v>4.4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46381-2023</t>
        </is>
      </c>
      <c r="B119" t="inlineStr">
        <is>
          <t>avverkningsanmälan</t>
        </is>
      </c>
      <c r="C119" t="inlineStr">
        <is>
          <t>Föryngringsavverkning</t>
        </is>
      </c>
      <c r="D119" s="1" t="n">
        <v>45193</v>
      </c>
      <c r="E119" s="1" t="n">
        <v>46293</v>
      </c>
      <c r="F119" t="inlineStr">
        <is>
          <t>STOCKHOLMS LÄN</t>
        </is>
      </c>
      <c r="G119" t="inlineStr">
        <is>
          <t>VALLENTUNA</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61027-2023</t>
        </is>
      </c>
      <c r="B120" t="inlineStr">
        <is>
          <t>avverkningsanmälan</t>
        </is>
      </c>
      <c r="C120" t="inlineStr">
        <is>
          <t>Föryngringsavverkning</t>
        </is>
      </c>
      <c r="D120" s="1" t="n">
        <v>45261</v>
      </c>
      <c r="E120" s="1" t="n">
        <v>46293</v>
      </c>
      <c r="F120" t="inlineStr">
        <is>
          <t>STOCKHOLMS LÄN</t>
        </is>
      </c>
      <c r="G120" t="inlineStr">
        <is>
          <t>VALLENTUNA</t>
        </is>
      </c>
      <c r="I120" t="n">
        <v>7.1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S 6321-2022</t>
        </is>
      </c>
      <c r="B121" t="inlineStr">
        <is>
          <t>samrådsanmälan</t>
        </is>
      </c>
      <c r="C121" t="inlineStr">
        <is>
          <t>Annan skogsbruksåtgärd</t>
        </is>
      </c>
      <c r="D121" s="1" t="n">
        <v>44872</v>
      </c>
      <c r="E121" s="1" t="n">
        <v>46293</v>
      </c>
      <c r="F121" t="inlineStr">
        <is>
          <t>STOCKHOLMS LÄN</t>
        </is>
      </c>
      <c r="G121" t="inlineStr">
        <is>
          <t>VALLENTUNA</t>
        </is>
      </c>
      <c r="I121" t="n">
        <v>0.1</v>
      </c>
      <c r="J121" t="n">
        <v>0</v>
      </c>
      <c r="K121" t="n">
        <v>0</v>
      </c>
      <c r="L121" t="n">
        <v>0</v>
      </c>
      <c r="M121" t="n">
        <v>0</v>
      </c>
      <c r="N121" t="n">
        <v>0</v>
      </c>
      <c r="O121" t="n">
        <v>0</v>
      </c>
      <c r="P121" t="n">
        <v>0</v>
      </c>
      <c r="Q121" t="n">
        <v>0</v>
      </c>
      <c r="R121" t="n">
        <v>0</v>
      </c>
      <c r="S121" t="n">
        <v>0</v>
      </c>
      <c r="T121" t="n">
        <v>0</v>
      </c>
      <c r="U121" t="n">
        <v>0</v>
      </c>
      <c r="V121" s="2" t="inlineStr"/>
    </row>
    <row r="122">
      <c r="A122" t="inlineStr">
        <is>
          <t>S 2547-2025</t>
        </is>
      </c>
      <c r="B122" t="inlineStr">
        <is>
          <t>samrådsanmälan</t>
        </is>
      </c>
      <c r="C122" t="inlineStr">
        <is>
          <t>Annan skogsbruksåtgärd</t>
        </is>
      </c>
      <c r="D122" s="1" t="n">
        <v>45911</v>
      </c>
      <c r="E122" s="1" t="n">
        <v>46293</v>
      </c>
      <c r="F122" t="inlineStr">
        <is>
          <t>STOCKHOLMS LÄN</t>
        </is>
      </c>
      <c r="G122" t="inlineStr">
        <is>
          <t>VALLENTUNA</t>
        </is>
      </c>
      <c r="I122" t="n">
        <v>1.9</v>
      </c>
      <c r="J122" t="n">
        <v>0</v>
      </c>
      <c r="K122" t="n">
        <v>0</v>
      </c>
      <c r="L122" t="n">
        <v>0</v>
      </c>
      <c r="M122" t="n">
        <v>0</v>
      </c>
      <c r="N122" t="n">
        <v>0</v>
      </c>
      <c r="O122" t="n">
        <v>0</v>
      </c>
      <c r="P122" t="n">
        <v>0</v>
      </c>
      <c r="Q122" t="n">
        <v>0</v>
      </c>
      <c r="R122" t="n">
        <v>0</v>
      </c>
      <c r="S122" t="n">
        <v>0</v>
      </c>
      <c r="T122" t="n">
        <v>0</v>
      </c>
      <c r="U122" t="n">
        <v>0</v>
      </c>
      <c r="V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2026-09-28T01:57:51Z</dcterms:created>
  <dcterms:modified xmlns:dcterms="http://purl.org/dc/terms/" xmlns:xsi="http://www.w3.org/2001/XMLSchema-instance" xsi:type="dcterms:W3CDTF">2026-09-28T01:57:52Z</dcterms:modified>
</cp:coreProperties>
</file>