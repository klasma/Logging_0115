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45994</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45994</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45994</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45994</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45994</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70608-2021</t>
        </is>
      </c>
      <c r="B17" s="1" t="n">
        <v>44536</v>
      </c>
      <c r="C17" s="1" t="n">
        <v>45994</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60-2022</t>
        </is>
      </c>
      <c r="B18" s="1" t="n">
        <v>44560</v>
      </c>
      <c r="C18" s="1" t="n">
        <v>45994</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9445-2022</t>
        </is>
      </c>
      <c r="B19" s="1" t="n">
        <v>44616</v>
      </c>
      <c r="C19" s="1" t="n">
        <v>45994</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62402-2022</t>
        </is>
      </c>
      <c r="B20" s="1" t="n">
        <v>44923</v>
      </c>
      <c r="C20" s="1" t="n">
        <v>45994</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45994</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9745-2022</t>
        </is>
      </c>
      <c r="B22" s="1" t="n">
        <v>44618</v>
      </c>
      <c r="C22" s="1" t="n">
        <v>45994</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46-2022</t>
        </is>
      </c>
      <c r="B23" s="1" t="n">
        <v>44560</v>
      </c>
      <c r="C23" s="1" t="n">
        <v>45994</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754-2024</t>
        </is>
      </c>
      <c r="B24" s="1" t="n">
        <v>45300</v>
      </c>
      <c r="C24" s="1" t="n">
        <v>45994</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8817-2025</t>
        </is>
      </c>
      <c r="B25" s="1" t="n">
        <v>45712.70987268518</v>
      </c>
      <c r="C25" s="1" t="n">
        <v>45994</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45994</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34458-2023</t>
        </is>
      </c>
      <c r="B27" s="1" t="n">
        <v>45139</v>
      </c>
      <c r="C27" s="1" t="n">
        <v>45994</v>
      </c>
      <c r="D27" t="inlineStr">
        <is>
          <t>STOCKHOLMS LÄN</t>
        </is>
      </c>
      <c r="E27" t="inlineStr">
        <is>
          <t>VALLENTUNA</t>
        </is>
      </c>
      <c r="G27" t="n">
        <v>2.5</v>
      </c>
      <c r="H27" t="n">
        <v>0</v>
      </c>
      <c r="I27" t="n">
        <v>0</v>
      </c>
      <c r="J27" t="n">
        <v>1</v>
      </c>
      <c r="K27" t="n">
        <v>0</v>
      </c>
      <c r="L27" t="n">
        <v>0</v>
      </c>
      <c r="M27" t="n">
        <v>0</v>
      </c>
      <c r="N27" t="n">
        <v>0</v>
      </c>
      <c r="O27" t="n">
        <v>1</v>
      </c>
      <c r="P27" t="n">
        <v>0</v>
      </c>
      <c r="Q27" t="n">
        <v>1</v>
      </c>
      <c r="R27" s="2" t="inlineStr">
        <is>
          <t>Motaggsvamp</t>
        </is>
      </c>
      <c r="S27">
        <f>HYPERLINK("https://klasma.github.io/Logging_0115/artfynd/A 34458-2023 artfynd.xlsx", "A 34458-2023")</f>
        <v/>
      </c>
      <c r="T27">
        <f>HYPERLINK("https://klasma.github.io/Logging_0115/kartor/A 34458-2023 karta.png", "A 34458-2023")</f>
        <v/>
      </c>
      <c r="V27">
        <f>HYPERLINK("https://klasma.github.io/Logging_0115/klagomål/A 34458-2023 FSC-klagomål.docx", "A 34458-2023")</f>
        <v/>
      </c>
      <c r="W27">
        <f>HYPERLINK("https://klasma.github.io/Logging_0115/klagomålsmail/A 34458-2023 FSC-klagomål mail.docx", "A 34458-2023")</f>
        <v/>
      </c>
      <c r="X27">
        <f>HYPERLINK("https://klasma.github.io/Logging_0115/tillsyn/A 34458-2023 tillsynsbegäran.docx", "A 34458-2023")</f>
        <v/>
      </c>
      <c r="Y27">
        <f>HYPERLINK("https://klasma.github.io/Logging_0115/tillsynsmail/A 34458-2023 tillsynsbegäran mail.docx", "A 34458-2023")</f>
        <v/>
      </c>
    </row>
    <row r="28" ht="15" customHeight="1">
      <c r="A28" t="inlineStr">
        <is>
          <t>A 7890-2023</t>
        </is>
      </c>
      <c r="B28" s="1" t="n">
        <v>44973</v>
      </c>
      <c r="C28" s="1" t="n">
        <v>45994</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45994</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21-2022</t>
        </is>
      </c>
      <c r="B30" s="1" t="n">
        <v>44560</v>
      </c>
      <c r="C30" s="1" t="n">
        <v>45994</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21439-2025</t>
        </is>
      </c>
      <c r="B31" s="1" t="n">
        <v>45782.52939814814</v>
      </c>
      <c r="C31" s="1" t="n">
        <v>45994</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45994</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34460-2023</t>
        </is>
      </c>
      <c r="B33" s="1" t="n">
        <v>45139</v>
      </c>
      <c r="C33" s="1" t="n">
        <v>45994</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17341-2025</t>
        </is>
      </c>
      <c r="B34" s="1" t="n">
        <v>45756</v>
      </c>
      <c r="C34" s="1" t="n">
        <v>45994</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17348-2025</t>
        </is>
      </c>
      <c r="B35" s="1" t="n">
        <v>45756</v>
      </c>
      <c r="C35" s="1" t="n">
        <v>45994</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54481-2025</t>
        </is>
      </c>
      <c r="B36" s="1" t="n">
        <v>45965.58837962963</v>
      </c>
      <c r="C36" s="1" t="n">
        <v>45994</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45994</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45994</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45994</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45994</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45994</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45994</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45994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45994</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7276-2022</t>
        </is>
      </c>
      <c r="B46" s="1" t="n">
        <v>44606</v>
      </c>
      <c r="C46" s="1" t="n">
        <v>45994</v>
      </c>
      <c r="D46" t="inlineStr">
        <is>
          <t>STOCKHOLMS LÄN</t>
        </is>
      </c>
      <c r="E46" t="inlineStr">
        <is>
          <t>VALLENTUNA</t>
        </is>
      </c>
      <c r="G46" t="n">
        <v>1.7</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45994</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37657-2021</t>
        </is>
      </c>
      <c r="B48" s="1" t="n">
        <v>44400</v>
      </c>
      <c r="C48" s="1" t="n">
        <v>45994</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45994</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48078-2021</t>
        </is>
      </c>
      <c r="B50" s="1" t="n">
        <v>44449.42578703703</v>
      </c>
      <c r="C50" s="1" t="n">
        <v>45994</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45994</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45994</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45994</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52377-2021</t>
        </is>
      </c>
      <c r="B54" s="1" t="n">
        <v>44465</v>
      </c>
      <c r="C54" s="1" t="n">
        <v>45994</v>
      </c>
      <c r="D54" t="inlineStr">
        <is>
          <t>STOCKHOLMS LÄN</t>
        </is>
      </c>
      <c r="E54" t="inlineStr">
        <is>
          <t>VALLENTUNA</t>
        </is>
      </c>
      <c r="G54" t="n">
        <v>1.4</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45994</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45994</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45994</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21765-2023</t>
        </is>
      </c>
      <c r="B58" s="1" t="n">
        <v>45064</v>
      </c>
      <c r="C58" s="1" t="n">
        <v>45994</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12609-2024</t>
        </is>
      </c>
      <c r="B59" s="1" t="n">
        <v>45382.8109375</v>
      </c>
      <c r="C59" s="1" t="n">
        <v>45994</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21614-2022</t>
        </is>
      </c>
      <c r="B60" s="1" t="n">
        <v>44706</v>
      </c>
      <c r="C60" s="1" t="n">
        <v>45994</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13836-2022</t>
        </is>
      </c>
      <c r="B61" s="1" t="n">
        <v>44649</v>
      </c>
      <c r="C61" s="1" t="n">
        <v>45994</v>
      </c>
      <c r="D61" t="inlineStr">
        <is>
          <t>STOCKHOLMS LÄN</t>
        </is>
      </c>
      <c r="E61" t="inlineStr">
        <is>
          <t>VALLENTUNA</t>
        </is>
      </c>
      <c r="G61" t="n">
        <v>3.5</v>
      </c>
      <c r="H61" t="n">
        <v>0</v>
      </c>
      <c r="I61" t="n">
        <v>0</v>
      </c>
      <c r="J61" t="n">
        <v>0</v>
      </c>
      <c r="K61" t="n">
        <v>0</v>
      </c>
      <c r="L61" t="n">
        <v>0</v>
      </c>
      <c r="M61" t="n">
        <v>0</v>
      </c>
      <c r="N61" t="n">
        <v>0</v>
      </c>
      <c r="O61" t="n">
        <v>0</v>
      </c>
      <c r="P61" t="n">
        <v>0</v>
      </c>
      <c r="Q61" t="n">
        <v>0</v>
      </c>
      <c r="R61" s="2" t="inlineStr"/>
    </row>
    <row r="62" ht="15" customHeight="1">
      <c r="A62" t="inlineStr">
        <is>
          <t>A 68938-2020</t>
        </is>
      </c>
      <c r="B62" s="1" t="n">
        <v>44187</v>
      </c>
      <c r="C62" s="1" t="n">
        <v>45994</v>
      </c>
      <c r="D62" t="inlineStr">
        <is>
          <t>STOCKHOLMS LÄN</t>
        </is>
      </c>
      <c r="E62" t="inlineStr">
        <is>
          <t>VALLENTUNA</t>
        </is>
      </c>
      <c r="G62" t="n">
        <v>3</v>
      </c>
      <c r="H62" t="n">
        <v>0</v>
      </c>
      <c r="I62" t="n">
        <v>0</v>
      </c>
      <c r="J62" t="n">
        <v>0</v>
      </c>
      <c r="K62" t="n">
        <v>0</v>
      </c>
      <c r="L62" t="n">
        <v>0</v>
      </c>
      <c r="M62" t="n">
        <v>0</v>
      </c>
      <c r="N62" t="n">
        <v>0</v>
      </c>
      <c r="O62" t="n">
        <v>0</v>
      </c>
      <c r="P62" t="n">
        <v>0</v>
      </c>
      <c r="Q62" t="n">
        <v>0</v>
      </c>
      <c r="R62" s="2" t="inlineStr"/>
    </row>
    <row r="63" ht="15" customHeight="1">
      <c r="A63" t="inlineStr">
        <is>
          <t>A 23986-2023</t>
        </is>
      </c>
      <c r="B63" s="1" t="n">
        <v>45078</v>
      </c>
      <c r="C63" s="1" t="n">
        <v>45994</v>
      </c>
      <c r="D63" t="inlineStr">
        <is>
          <t>STOCKHOLMS LÄN</t>
        </is>
      </c>
      <c r="E63" t="inlineStr">
        <is>
          <t>VALLENTUNA</t>
        </is>
      </c>
      <c r="F63" t="inlineStr">
        <is>
          <t>Kyrkan</t>
        </is>
      </c>
      <c r="G63" t="n">
        <v>5.7</v>
      </c>
      <c r="H63" t="n">
        <v>0</v>
      </c>
      <c r="I63" t="n">
        <v>0</v>
      </c>
      <c r="J63" t="n">
        <v>0</v>
      </c>
      <c r="K63" t="n">
        <v>0</v>
      </c>
      <c r="L63" t="n">
        <v>0</v>
      </c>
      <c r="M63" t="n">
        <v>0</v>
      </c>
      <c r="N63" t="n">
        <v>0</v>
      </c>
      <c r="O63" t="n">
        <v>0</v>
      </c>
      <c r="P63" t="n">
        <v>0</v>
      </c>
      <c r="Q63" t="n">
        <v>0</v>
      </c>
      <c r="R63" s="2" t="inlineStr"/>
    </row>
    <row r="64" ht="15" customHeight="1">
      <c r="A64" t="inlineStr">
        <is>
          <t>A 4804-2024</t>
        </is>
      </c>
      <c r="B64" s="1" t="n">
        <v>45328</v>
      </c>
      <c r="C64" s="1" t="n">
        <v>45994</v>
      </c>
      <c r="D64" t="inlineStr">
        <is>
          <t>STOCKHOLMS LÄN</t>
        </is>
      </c>
      <c r="E64" t="inlineStr">
        <is>
          <t>VALLENTUNA</t>
        </is>
      </c>
      <c r="G64" t="n">
        <v>3</v>
      </c>
      <c r="H64" t="n">
        <v>0</v>
      </c>
      <c r="I64" t="n">
        <v>0</v>
      </c>
      <c r="J64" t="n">
        <v>0</v>
      </c>
      <c r="K64" t="n">
        <v>0</v>
      </c>
      <c r="L64" t="n">
        <v>0</v>
      </c>
      <c r="M64" t="n">
        <v>0</v>
      </c>
      <c r="N64" t="n">
        <v>0</v>
      </c>
      <c r="O64" t="n">
        <v>0</v>
      </c>
      <c r="P64" t="n">
        <v>0</v>
      </c>
      <c r="Q64" t="n">
        <v>0</v>
      </c>
      <c r="R64" s="2" t="inlineStr"/>
    </row>
    <row r="65" ht="15" customHeight="1">
      <c r="A65" t="inlineStr">
        <is>
          <t>A 14489-2024</t>
        </is>
      </c>
      <c r="B65" s="1" t="n">
        <v>45394.58053240741</v>
      </c>
      <c r="C65" s="1" t="n">
        <v>45994</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15268-2023</t>
        </is>
      </c>
      <c r="B66" s="1" t="n">
        <v>45019.41045138889</v>
      </c>
      <c r="C66" s="1" t="n">
        <v>45994</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61442-2024</t>
        </is>
      </c>
      <c r="B67" s="1" t="n">
        <v>45646.47003472222</v>
      </c>
      <c r="C67" s="1" t="n">
        <v>45994</v>
      </c>
      <c r="D67" t="inlineStr">
        <is>
          <t>STOCKHOLMS LÄN</t>
        </is>
      </c>
      <c r="E67" t="inlineStr">
        <is>
          <t>VALLENTUNA</t>
        </is>
      </c>
      <c r="G67" t="n">
        <v>4.6</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45994</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24068-2024</t>
        </is>
      </c>
      <c r="B69" s="1" t="n">
        <v>45456</v>
      </c>
      <c r="C69" s="1" t="n">
        <v>45994</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45994</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45994</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45499-2023</t>
        </is>
      </c>
      <c r="B72" s="1" t="n">
        <v>45194</v>
      </c>
      <c r="C72" s="1" t="n">
        <v>45994</v>
      </c>
      <c r="D72" t="inlineStr">
        <is>
          <t>STOCKHOLMS LÄN</t>
        </is>
      </c>
      <c r="E72" t="inlineStr">
        <is>
          <t>VALLENTUNA</t>
        </is>
      </c>
      <c r="G72" t="n">
        <v>2.5</v>
      </c>
      <c r="H72" t="n">
        <v>0</v>
      </c>
      <c r="I72" t="n">
        <v>0</v>
      </c>
      <c r="J72" t="n">
        <v>0</v>
      </c>
      <c r="K72" t="n">
        <v>0</v>
      </c>
      <c r="L72" t="n">
        <v>0</v>
      </c>
      <c r="M72" t="n">
        <v>0</v>
      </c>
      <c r="N72" t="n">
        <v>0</v>
      </c>
      <c r="O72" t="n">
        <v>0</v>
      </c>
      <c r="P72" t="n">
        <v>0</v>
      </c>
      <c r="Q72" t="n">
        <v>0</v>
      </c>
      <c r="R72" s="2" t="inlineStr"/>
    </row>
    <row r="73" ht="15" customHeight="1">
      <c r="A73" t="inlineStr">
        <is>
          <t>A 24707-2023</t>
        </is>
      </c>
      <c r="B73" s="1" t="n">
        <v>45084</v>
      </c>
      <c r="C73" s="1" t="n">
        <v>45994</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3937-2022</t>
        </is>
      </c>
      <c r="B74" s="1" t="n">
        <v>44587</v>
      </c>
      <c r="C74" s="1" t="n">
        <v>45994</v>
      </c>
      <c r="D74" t="inlineStr">
        <is>
          <t>STOCKHOLMS LÄN</t>
        </is>
      </c>
      <c r="E74" t="inlineStr">
        <is>
          <t>VALLENTUNA</t>
        </is>
      </c>
      <c r="G74" t="n">
        <v>6.6</v>
      </c>
      <c r="H74" t="n">
        <v>0</v>
      </c>
      <c r="I74" t="n">
        <v>0</v>
      </c>
      <c r="J74" t="n">
        <v>0</v>
      </c>
      <c r="K74" t="n">
        <v>0</v>
      </c>
      <c r="L74" t="n">
        <v>0</v>
      </c>
      <c r="M74" t="n">
        <v>0</v>
      </c>
      <c r="N74" t="n">
        <v>0</v>
      </c>
      <c r="O74" t="n">
        <v>0</v>
      </c>
      <c r="P74" t="n">
        <v>0</v>
      </c>
      <c r="Q74" t="n">
        <v>0</v>
      </c>
      <c r="R74" s="2" t="inlineStr"/>
    </row>
    <row r="75" ht="15" customHeight="1">
      <c r="A75" t="inlineStr">
        <is>
          <t>A 23013-2024</t>
        </is>
      </c>
      <c r="B75" s="1" t="n">
        <v>45450.35116898148</v>
      </c>
      <c r="C75" s="1" t="n">
        <v>45994</v>
      </c>
      <c r="D75" t="inlineStr">
        <is>
          <t>STOCKHOLMS LÄN</t>
        </is>
      </c>
      <c r="E75" t="inlineStr">
        <is>
          <t>VALLENTUNA</t>
        </is>
      </c>
      <c r="G75" t="n">
        <v>0.4</v>
      </c>
      <c r="H75" t="n">
        <v>0</v>
      </c>
      <c r="I75" t="n">
        <v>0</v>
      </c>
      <c r="J75" t="n">
        <v>0</v>
      </c>
      <c r="K75" t="n">
        <v>0</v>
      </c>
      <c r="L75" t="n">
        <v>0</v>
      </c>
      <c r="M75" t="n">
        <v>0</v>
      </c>
      <c r="N75" t="n">
        <v>0</v>
      </c>
      <c r="O75" t="n">
        <v>0</v>
      </c>
      <c r="P75" t="n">
        <v>0</v>
      </c>
      <c r="Q75" t="n">
        <v>0</v>
      </c>
      <c r="R75" s="2" t="inlineStr"/>
    </row>
    <row r="76" ht="15" customHeight="1">
      <c r="A76" t="inlineStr">
        <is>
          <t>A 3078-2023</t>
        </is>
      </c>
      <c r="B76" s="1" t="n">
        <v>44946.41527777778</v>
      </c>
      <c r="C76" s="1" t="n">
        <v>45994</v>
      </c>
      <c r="D76" t="inlineStr">
        <is>
          <t>STOCKHOLMS LÄN</t>
        </is>
      </c>
      <c r="E76" t="inlineStr">
        <is>
          <t>VALLENTUNA</t>
        </is>
      </c>
      <c r="G76" t="n">
        <v>3.9</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45994</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34452-2021</t>
        </is>
      </c>
      <c r="B78" s="1" t="n">
        <v>44381</v>
      </c>
      <c r="C78" s="1" t="n">
        <v>45994</v>
      </c>
      <c r="D78" t="inlineStr">
        <is>
          <t>STOCKHOLMS LÄN</t>
        </is>
      </c>
      <c r="E78" t="inlineStr">
        <is>
          <t>VALLENTUNA</t>
        </is>
      </c>
      <c r="G78" t="n">
        <v>14.7</v>
      </c>
      <c r="H78" t="n">
        <v>0</v>
      </c>
      <c r="I78" t="n">
        <v>0</v>
      </c>
      <c r="J78" t="n">
        <v>0</v>
      </c>
      <c r="K78" t="n">
        <v>0</v>
      </c>
      <c r="L78" t="n">
        <v>0</v>
      </c>
      <c r="M78" t="n">
        <v>0</v>
      </c>
      <c r="N78" t="n">
        <v>0</v>
      </c>
      <c r="O78" t="n">
        <v>0</v>
      </c>
      <c r="P78" t="n">
        <v>0</v>
      </c>
      <c r="Q78" t="n">
        <v>0</v>
      </c>
      <c r="R78" s="2" t="inlineStr"/>
    </row>
    <row r="79" ht="15" customHeight="1">
      <c r="A79" t="inlineStr">
        <is>
          <t>A 20791-2025</t>
        </is>
      </c>
      <c r="B79" s="1" t="n">
        <v>45776.62738425926</v>
      </c>
      <c r="C79" s="1" t="n">
        <v>45994</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10073-2024</t>
        </is>
      </c>
      <c r="B80" s="1" t="n">
        <v>45364.40821759259</v>
      </c>
      <c r="C80" s="1" t="n">
        <v>45994</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5910-2022</t>
        </is>
      </c>
      <c r="B81" s="1" t="n">
        <v>44597</v>
      </c>
      <c r="C81" s="1" t="n">
        <v>45994</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19503-2023</t>
        </is>
      </c>
      <c r="B82" s="1" t="n">
        <v>45050.47333333334</v>
      </c>
      <c r="C82" s="1" t="n">
        <v>45994</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12621-2024</t>
        </is>
      </c>
      <c r="B83" s="1" t="n">
        <v>45383.6325</v>
      </c>
      <c r="C83" s="1" t="n">
        <v>45994</v>
      </c>
      <c r="D83" t="inlineStr">
        <is>
          <t>STOCKHOLMS LÄN</t>
        </is>
      </c>
      <c r="E83" t="inlineStr">
        <is>
          <t>VALLENTUNA</t>
        </is>
      </c>
      <c r="G83" t="n">
        <v>4.4</v>
      </c>
      <c r="H83" t="n">
        <v>0</v>
      </c>
      <c r="I83" t="n">
        <v>0</v>
      </c>
      <c r="J83" t="n">
        <v>0</v>
      </c>
      <c r="K83" t="n">
        <v>0</v>
      </c>
      <c r="L83" t="n">
        <v>0</v>
      </c>
      <c r="M83" t="n">
        <v>0</v>
      </c>
      <c r="N83" t="n">
        <v>0</v>
      </c>
      <c r="O83" t="n">
        <v>0</v>
      </c>
      <c r="P83" t="n">
        <v>0</v>
      </c>
      <c r="Q83" t="n">
        <v>0</v>
      </c>
      <c r="R83" s="2" t="inlineStr"/>
    </row>
    <row r="84" ht="15" customHeight="1">
      <c r="A84" t="inlineStr">
        <is>
          <t>A 24994-2021</t>
        </is>
      </c>
      <c r="B84" s="1" t="n">
        <v>44341</v>
      </c>
      <c r="C84" s="1" t="n">
        <v>45994</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45994</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45994</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60997-2022</t>
        </is>
      </c>
      <c r="B87" s="1" t="n">
        <v>44914.70746527778</v>
      </c>
      <c r="C87" s="1" t="n">
        <v>45994</v>
      </c>
      <c r="D87" t="inlineStr">
        <is>
          <t>STOCKHOLMS LÄN</t>
        </is>
      </c>
      <c r="E87" t="inlineStr">
        <is>
          <t>VALLENTUNA</t>
        </is>
      </c>
      <c r="G87" t="n">
        <v>1.8</v>
      </c>
      <c r="H87" t="n">
        <v>0</v>
      </c>
      <c r="I87" t="n">
        <v>0</v>
      </c>
      <c r="J87" t="n">
        <v>0</v>
      </c>
      <c r="K87" t="n">
        <v>0</v>
      </c>
      <c r="L87" t="n">
        <v>0</v>
      </c>
      <c r="M87" t="n">
        <v>0</v>
      </c>
      <c r="N87" t="n">
        <v>0</v>
      </c>
      <c r="O87" t="n">
        <v>0</v>
      </c>
      <c r="P87" t="n">
        <v>0</v>
      </c>
      <c r="Q87" t="n">
        <v>0</v>
      </c>
      <c r="R87" s="2" t="inlineStr"/>
    </row>
    <row r="88" ht="15" customHeight="1">
      <c r="A88" t="inlineStr">
        <is>
          <t>A 15300-2023</t>
        </is>
      </c>
      <c r="B88" s="1" t="n">
        <v>45019</v>
      </c>
      <c r="C88" s="1" t="n">
        <v>45994</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4803-2024</t>
        </is>
      </c>
      <c r="B89" s="1" t="n">
        <v>45328</v>
      </c>
      <c r="C89" s="1" t="n">
        <v>45994</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3698-2022</t>
        </is>
      </c>
      <c r="B90" s="1" t="n">
        <v>44586</v>
      </c>
      <c r="C90" s="1" t="n">
        <v>45994</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38102-2024</t>
        </is>
      </c>
      <c r="B91" s="1" t="n">
        <v>45545.36349537037</v>
      </c>
      <c r="C91" s="1" t="n">
        <v>45994</v>
      </c>
      <c r="D91" t="inlineStr">
        <is>
          <t>STOCKHOLMS LÄN</t>
        </is>
      </c>
      <c r="E91" t="inlineStr">
        <is>
          <t>VALLENTUNA</t>
        </is>
      </c>
      <c r="G91" t="n">
        <v>3.2</v>
      </c>
      <c r="H91" t="n">
        <v>0</v>
      </c>
      <c r="I91" t="n">
        <v>0</v>
      </c>
      <c r="J91" t="n">
        <v>0</v>
      </c>
      <c r="K91" t="n">
        <v>0</v>
      </c>
      <c r="L91" t="n">
        <v>0</v>
      </c>
      <c r="M91" t="n">
        <v>0</v>
      </c>
      <c r="N91" t="n">
        <v>0</v>
      </c>
      <c r="O91" t="n">
        <v>0</v>
      </c>
      <c r="P91" t="n">
        <v>0</v>
      </c>
      <c r="Q91" t="n">
        <v>0</v>
      </c>
      <c r="R91" s="2" t="inlineStr"/>
    </row>
    <row r="92" ht="15" customHeight="1">
      <c r="A92" t="inlineStr">
        <is>
          <t>A 14775-2024</t>
        </is>
      </c>
      <c r="B92" s="1" t="n">
        <v>45397.73675925926</v>
      </c>
      <c r="C92" s="1" t="n">
        <v>45994</v>
      </c>
      <c r="D92" t="inlineStr">
        <is>
          <t>STOCKHOLMS LÄN</t>
        </is>
      </c>
      <c r="E92" t="inlineStr">
        <is>
          <t>VALLENTUNA</t>
        </is>
      </c>
      <c r="G92" t="n">
        <v>1.7</v>
      </c>
      <c r="H92" t="n">
        <v>0</v>
      </c>
      <c r="I92" t="n">
        <v>0</v>
      </c>
      <c r="J92" t="n">
        <v>0</v>
      </c>
      <c r="K92" t="n">
        <v>0</v>
      </c>
      <c r="L92" t="n">
        <v>0</v>
      </c>
      <c r="M92" t="n">
        <v>0</v>
      </c>
      <c r="N92" t="n">
        <v>0</v>
      </c>
      <c r="O92" t="n">
        <v>0</v>
      </c>
      <c r="P92" t="n">
        <v>0</v>
      </c>
      <c r="Q92" t="n">
        <v>0</v>
      </c>
      <c r="R92" s="2" t="inlineStr"/>
    </row>
    <row r="93" ht="15" customHeight="1">
      <c r="A93" t="inlineStr">
        <is>
          <t>A 8565-2025</t>
        </is>
      </c>
      <c r="B93" s="1" t="n">
        <v>45709</v>
      </c>
      <c r="C93" s="1" t="n">
        <v>45994</v>
      </c>
      <c r="D93" t="inlineStr">
        <is>
          <t>STOCKHOLMS LÄN</t>
        </is>
      </c>
      <c r="E93" t="inlineStr">
        <is>
          <t>VALLENTUNA</t>
        </is>
      </c>
      <c r="F93" t="inlineStr">
        <is>
          <t>Kommuner</t>
        </is>
      </c>
      <c r="G93" t="n">
        <v>4.2</v>
      </c>
      <c r="H93" t="n">
        <v>0</v>
      </c>
      <c r="I93" t="n">
        <v>0</v>
      </c>
      <c r="J93" t="n">
        <v>0</v>
      </c>
      <c r="K93" t="n">
        <v>0</v>
      </c>
      <c r="L93" t="n">
        <v>0</v>
      </c>
      <c r="M93" t="n">
        <v>0</v>
      </c>
      <c r="N93" t="n">
        <v>0</v>
      </c>
      <c r="O93" t="n">
        <v>0</v>
      </c>
      <c r="P93" t="n">
        <v>0</v>
      </c>
      <c r="Q93" t="n">
        <v>0</v>
      </c>
      <c r="R93" s="2" t="inlineStr"/>
    </row>
    <row r="94" ht="15" customHeight="1">
      <c r="A94" t="inlineStr">
        <is>
          <t>A 61742-2022</t>
        </is>
      </c>
      <c r="B94" s="1" t="n">
        <v>44917</v>
      </c>
      <c r="C94" s="1" t="n">
        <v>45994</v>
      </c>
      <c r="D94" t="inlineStr">
        <is>
          <t>STOCKHOLMS LÄN</t>
        </is>
      </c>
      <c r="E94" t="inlineStr">
        <is>
          <t>VALLENTUNA</t>
        </is>
      </c>
      <c r="G94" t="n">
        <v>0.5</v>
      </c>
      <c r="H94" t="n">
        <v>0</v>
      </c>
      <c r="I94" t="n">
        <v>0</v>
      </c>
      <c r="J94" t="n">
        <v>0</v>
      </c>
      <c r="K94" t="n">
        <v>0</v>
      </c>
      <c r="L94" t="n">
        <v>0</v>
      </c>
      <c r="M94" t="n">
        <v>0</v>
      </c>
      <c r="N94" t="n">
        <v>0</v>
      </c>
      <c r="O94" t="n">
        <v>0</v>
      </c>
      <c r="P94" t="n">
        <v>0</v>
      </c>
      <c r="Q94" t="n">
        <v>0</v>
      </c>
      <c r="R94" s="2" t="inlineStr"/>
    </row>
    <row r="95" ht="15" customHeight="1">
      <c r="A95" t="inlineStr">
        <is>
          <t>A 12234-2022</t>
        </is>
      </c>
      <c r="B95" s="1" t="n">
        <v>44637</v>
      </c>
      <c r="C95" s="1" t="n">
        <v>45994</v>
      </c>
      <c r="D95" t="inlineStr">
        <is>
          <t>STOCKHOLMS LÄN</t>
        </is>
      </c>
      <c r="E95" t="inlineStr">
        <is>
          <t>VALLENTUNA</t>
        </is>
      </c>
      <c r="G95" t="n">
        <v>2.4</v>
      </c>
      <c r="H95" t="n">
        <v>0</v>
      </c>
      <c r="I95" t="n">
        <v>0</v>
      </c>
      <c r="J95" t="n">
        <v>0</v>
      </c>
      <c r="K95" t="n">
        <v>0</v>
      </c>
      <c r="L95" t="n">
        <v>0</v>
      </c>
      <c r="M95" t="n">
        <v>0</v>
      </c>
      <c r="N95" t="n">
        <v>0</v>
      </c>
      <c r="O95" t="n">
        <v>0</v>
      </c>
      <c r="P95" t="n">
        <v>0</v>
      </c>
      <c r="Q95" t="n">
        <v>0</v>
      </c>
      <c r="R95" s="2" t="inlineStr"/>
    </row>
    <row r="96" ht="15" customHeight="1">
      <c r="A96" t="inlineStr">
        <is>
          <t>A 8787-2024</t>
        </is>
      </c>
      <c r="B96" s="1" t="n">
        <v>45356</v>
      </c>
      <c r="C96" s="1" t="n">
        <v>45994</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68935-2020</t>
        </is>
      </c>
      <c r="B97" s="1" t="n">
        <v>44187</v>
      </c>
      <c r="C97" s="1" t="n">
        <v>45994</v>
      </c>
      <c r="D97" t="inlineStr">
        <is>
          <t>STOCKHOLMS LÄN</t>
        </is>
      </c>
      <c r="E97" t="inlineStr">
        <is>
          <t>VALLENTUNA</t>
        </is>
      </c>
      <c r="G97" t="n">
        <v>7.8</v>
      </c>
      <c r="H97" t="n">
        <v>0</v>
      </c>
      <c r="I97" t="n">
        <v>0</v>
      </c>
      <c r="J97" t="n">
        <v>0</v>
      </c>
      <c r="K97" t="n">
        <v>0</v>
      </c>
      <c r="L97" t="n">
        <v>0</v>
      </c>
      <c r="M97" t="n">
        <v>0</v>
      </c>
      <c r="N97" t="n">
        <v>0</v>
      </c>
      <c r="O97" t="n">
        <v>0</v>
      </c>
      <c r="P97" t="n">
        <v>0</v>
      </c>
      <c r="Q97" t="n">
        <v>0</v>
      </c>
      <c r="R97" s="2" t="inlineStr"/>
    </row>
    <row r="98" ht="15" customHeight="1">
      <c r="A98" t="inlineStr">
        <is>
          <t>A 24943-2024</t>
        </is>
      </c>
      <c r="B98" s="1" t="n">
        <v>45461.62585648148</v>
      </c>
      <c r="C98" s="1" t="n">
        <v>45994</v>
      </c>
      <c r="D98" t="inlineStr">
        <is>
          <t>STOCKHOLMS LÄN</t>
        </is>
      </c>
      <c r="E98" t="inlineStr">
        <is>
          <t>VALLENTUNA</t>
        </is>
      </c>
      <c r="G98" t="n">
        <v>2</v>
      </c>
      <c r="H98" t="n">
        <v>0</v>
      </c>
      <c r="I98" t="n">
        <v>0</v>
      </c>
      <c r="J98" t="n">
        <v>0</v>
      </c>
      <c r="K98" t="n">
        <v>0</v>
      </c>
      <c r="L98" t="n">
        <v>0</v>
      </c>
      <c r="M98" t="n">
        <v>0</v>
      </c>
      <c r="N98" t="n">
        <v>0</v>
      </c>
      <c r="O98" t="n">
        <v>0</v>
      </c>
      <c r="P98" t="n">
        <v>0</v>
      </c>
      <c r="Q98" t="n">
        <v>0</v>
      </c>
      <c r="R98" s="2" t="inlineStr"/>
    </row>
    <row r="99" ht="15" customHeight="1">
      <c r="A99" t="inlineStr">
        <is>
          <t>A 14782-2024</t>
        </is>
      </c>
      <c r="B99" s="1" t="n">
        <v>45397.74266203704</v>
      </c>
      <c r="C99" s="1" t="n">
        <v>45994</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52562-2023</t>
        </is>
      </c>
      <c r="B100" s="1" t="n">
        <v>45225</v>
      </c>
      <c r="C100" s="1" t="n">
        <v>45994</v>
      </c>
      <c r="D100" t="inlineStr">
        <is>
          <t>STOCKHOLMS LÄN</t>
        </is>
      </c>
      <c r="E100" t="inlineStr">
        <is>
          <t>VALLENTUNA</t>
        </is>
      </c>
      <c r="G100" t="n">
        <v>3.4</v>
      </c>
      <c r="H100" t="n">
        <v>0</v>
      </c>
      <c r="I100" t="n">
        <v>0</v>
      </c>
      <c r="J100" t="n">
        <v>0</v>
      </c>
      <c r="K100" t="n">
        <v>0</v>
      </c>
      <c r="L100" t="n">
        <v>0</v>
      </c>
      <c r="M100" t="n">
        <v>0</v>
      </c>
      <c r="N100" t="n">
        <v>0</v>
      </c>
      <c r="O100" t="n">
        <v>0</v>
      </c>
      <c r="P100" t="n">
        <v>0</v>
      </c>
      <c r="Q100" t="n">
        <v>0</v>
      </c>
      <c r="R100" s="2" t="inlineStr"/>
    </row>
    <row r="101" ht="15" customHeight="1">
      <c r="A101" t="inlineStr">
        <is>
          <t>A 49530-2023</t>
        </is>
      </c>
      <c r="B101" s="1" t="n">
        <v>45205</v>
      </c>
      <c r="C101" s="1" t="n">
        <v>45994</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45994</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45994</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12562-2023</t>
        </is>
      </c>
      <c r="B104" s="1" t="n">
        <v>45000</v>
      </c>
      <c r="C104" s="1" t="n">
        <v>45994</v>
      </c>
      <c r="D104" t="inlineStr">
        <is>
          <t>STOCKHOLMS LÄN</t>
        </is>
      </c>
      <c r="E104" t="inlineStr">
        <is>
          <t>VALLENTUNA</t>
        </is>
      </c>
      <c r="G104" t="n">
        <v>2.1</v>
      </c>
      <c r="H104" t="n">
        <v>0</v>
      </c>
      <c r="I104" t="n">
        <v>0</v>
      </c>
      <c r="J104" t="n">
        <v>0</v>
      </c>
      <c r="K104" t="n">
        <v>0</v>
      </c>
      <c r="L104" t="n">
        <v>0</v>
      </c>
      <c r="M104" t="n">
        <v>0</v>
      </c>
      <c r="N104" t="n">
        <v>0</v>
      </c>
      <c r="O104" t="n">
        <v>0</v>
      </c>
      <c r="P104" t="n">
        <v>0</v>
      </c>
      <c r="Q104" t="n">
        <v>0</v>
      </c>
      <c r="R104" s="2" t="inlineStr"/>
    </row>
    <row r="105" ht="15" customHeight="1">
      <c r="A105" t="inlineStr">
        <is>
          <t>A 46381-2023</t>
        </is>
      </c>
      <c r="B105" s="1" t="n">
        <v>45193</v>
      </c>
      <c r="C105" s="1" t="n">
        <v>45994</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23009-2024</t>
        </is>
      </c>
      <c r="B106" s="1" t="n">
        <v>45450.34506944445</v>
      </c>
      <c r="C106" s="1" t="n">
        <v>45994</v>
      </c>
      <c r="D106" t="inlineStr">
        <is>
          <t>STOCKHOLMS LÄN</t>
        </is>
      </c>
      <c r="E106" t="inlineStr">
        <is>
          <t>VALLENTUNA</t>
        </is>
      </c>
      <c r="G106" t="n">
        <v>1.4</v>
      </c>
      <c r="H106" t="n">
        <v>0</v>
      </c>
      <c r="I106" t="n">
        <v>0</v>
      </c>
      <c r="J106" t="n">
        <v>0</v>
      </c>
      <c r="K106" t="n">
        <v>0</v>
      </c>
      <c r="L106" t="n">
        <v>0</v>
      </c>
      <c r="M106" t="n">
        <v>0</v>
      </c>
      <c r="N106" t="n">
        <v>0</v>
      </c>
      <c r="O106" t="n">
        <v>0</v>
      </c>
      <c r="P106" t="n">
        <v>0</v>
      </c>
      <c r="Q106" t="n">
        <v>0</v>
      </c>
      <c r="R106" s="2" t="inlineStr"/>
    </row>
    <row r="107" ht="15" customHeight="1">
      <c r="A107" t="inlineStr">
        <is>
          <t>A 61027-2023</t>
        </is>
      </c>
      <c r="B107" s="1" t="n">
        <v>45261</v>
      </c>
      <c r="C107" s="1" t="n">
        <v>45994</v>
      </c>
      <c r="D107" t="inlineStr">
        <is>
          <t>STOCKHOLMS LÄN</t>
        </is>
      </c>
      <c r="E107" t="inlineStr">
        <is>
          <t>VALLENTUNA</t>
        </is>
      </c>
      <c r="G107" t="n">
        <v>7.1</v>
      </c>
      <c r="H107" t="n">
        <v>0</v>
      </c>
      <c r="I107" t="n">
        <v>0</v>
      </c>
      <c r="J107" t="n">
        <v>0</v>
      </c>
      <c r="K107" t="n">
        <v>0</v>
      </c>
      <c r="L107" t="n">
        <v>0</v>
      </c>
      <c r="M107" t="n">
        <v>0</v>
      </c>
      <c r="N107" t="n">
        <v>0</v>
      </c>
      <c r="O107" t="n">
        <v>0</v>
      </c>
      <c r="P107" t="n">
        <v>0</v>
      </c>
      <c r="Q107" t="n">
        <v>0</v>
      </c>
      <c r="R107" s="2" t="inlineStr"/>
    </row>
    <row r="108" ht="15" customHeight="1">
      <c r="A108" t="inlineStr">
        <is>
          <t>A 9063-2024</t>
        </is>
      </c>
      <c r="B108" s="1" t="n">
        <v>45357.72652777778</v>
      </c>
      <c r="C108" s="1" t="n">
        <v>45994</v>
      </c>
      <c r="D108" t="inlineStr">
        <is>
          <t>STOCKHOLMS LÄN</t>
        </is>
      </c>
      <c r="E108" t="inlineStr">
        <is>
          <t>VALLENTUNA</t>
        </is>
      </c>
      <c r="G108" t="n">
        <v>4.1</v>
      </c>
      <c r="H108" t="n">
        <v>0</v>
      </c>
      <c r="I108" t="n">
        <v>0</v>
      </c>
      <c r="J108" t="n">
        <v>0</v>
      </c>
      <c r="K108" t="n">
        <v>0</v>
      </c>
      <c r="L108" t="n">
        <v>0</v>
      </c>
      <c r="M108" t="n">
        <v>0</v>
      </c>
      <c r="N108" t="n">
        <v>0</v>
      </c>
      <c r="O108" t="n">
        <v>0</v>
      </c>
      <c r="P108" t="n">
        <v>0</v>
      </c>
      <c r="Q108" t="n">
        <v>0</v>
      </c>
      <c r="R108" s="2" t="inlineStr"/>
    </row>
    <row r="109" ht="15" customHeight="1">
      <c r="A109" t="inlineStr">
        <is>
          <t>A 14480-2024</t>
        </is>
      </c>
      <c r="B109" s="1" t="n">
        <v>45394.56777777777</v>
      </c>
      <c r="C109" s="1" t="n">
        <v>45994</v>
      </c>
      <c r="D109" t="inlineStr">
        <is>
          <t>STOCKHOLMS LÄN</t>
        </is>
      </c>
      <c r="E109" t="inlineStr">
        <is>
          <t>VALLENTUNA</t>
        </is>
      </c>
      <c r="G109" t="n">
        <v>1.8</v>
      </c>
      <c r="H109" t="n">
        <v>0</v>
      </c>
      <c r="I109" t="n">
        <v>0</v>
      </c>
      <c r="J109" t="n">
        <v>0</v>
      </c>
      <c r="K109" t="n">
        <v>0</v>
      </c>
      <c r="L109" t="n">
        <v>0</v>
      </c>
      <c r="M109" t="n">
        <v>0</v>
      </c>
      <c r="N109" t="n">
        <v>0</v>
      </c>
      <c r="O109" t="n">
        <v>0</v>
      </c>
      <c r="P109" t="n">
        <v>0</v>
      </c>
      <c r="Q109" t="n">
        <v>0</v>
      </c>
      <c r="R109" s="2" t="inlineStr"/>
    </row>
    <row r="110" ht="15" customHeight="1">
      <c r="A110" t="inlineStr">
        <is>
          <t>A 17340-2025</t>
        </is>
      </c>
      <c r="B110" s="1" t="n">
        <v>45756</v>
      </c>
      <c r="C110" s="1" t="n">
        <v>45994</v>
      </c>
      <c r="D110" t="inlineStr">
        <is>
          <t>STOCKHOLMS LÄN</t>
        </is>
      </c>
      <c r="E110" t="inlineStr">
        <is>
          <t>VALLENTUNA</t>
        </is>
      </c>
      <c r="F110" t="inlineStr">
        <is>
          <t>Övriga Aktiebolag</t>
        </is>
      </c>
      <c r="G110" t="n">
        <v>2.6</v>
      </c>
      <c r="H110" t="n">
        <v>0</v>
      </c>
      <c r="I110" t="n">
        <v>0</v>
      </c>
      <c r="J110" t="n">
        <v>0</v>
      </c>
      <c r="K110" t="n">
        <v>0</v>
      </c>
      <c r="L110" t="n">
        <v>0</v>
      </c>
      <c r="M110" t="n">
        <v>0</v>
      </c>
      <c r="N110" t="n">
        <v>0</v>
      </c>
      <c r="O110" t="n">
        <v>0</v>
      </c>
      <c r="P110" t="n">
        <v>0</v>
      </c>
      <c r="Q110" t="n">
        <v>0</v>
      </c>
      <c r="R110" s="2" t="inlineStr"/>
    </row>
    <row r="111" ht="15" customHeight="1">
      <c r="A111" t="inlineStr">
        <is>
          <t>A 21445-2023</t>
        </is>
      </c>
      <c r="B111" s="1" t="n">
        <v>45063</v>
      </c>
      <c r="C111" s="1" t="n">
        <v>45994</v>
      </c>
      <c r="D111" t="inlineStr">
        <is>
          <t>STOCKHOLMS LÄN</t>
        </is>
      </c>
      <c r="E111" t="inlineStr">
        <is>
          <t>VALLENTUNA</t>
        </is>
      </c>
      <c r="G111" t="n">
        <v>3.1</v>
      </c>
      <c r="H111" t="n">
        <v>0</v>
      </c>
      <c r="I111" t="n">
        <v>0</v>
      </c>
      <c r="J111" t="n">
        <v>0</v>
      </c>
      <c r="K111" t="n">
        <v>0</v>
      </c>
      <c r="L111" t="n">
        <v>0</v>
      </c>
      <c r="M111" t="n">
        <v>0</v>
      </c>
      <c r="N111" t="n">
        <v>0</v>
      </c>
      <c r="O111" t="n">
        <v>0</v>
      </c>
      <c r="P111" t="n">
        <v>0</v>
      </c>
      <c r="Q111" t="n">
        <v>0</v>
      </c>
      <c r="R111" s="2" t="inlineStr"/>
    </row>
    <row r="112" ht="15" customHeight="1">
      <c r="A112" t="inlineStr">
        <is>
          <t>A 30913-2021</t>
        </is>
      </c>
      <c r="B112" s="1" t="n">
        <v>44365</v>
      </c>
      <c r="C112" s="1" t="n">
        <v>45994</v>
      </c>
      <c r="D112" t="inlineStr">
        <is>
          <t>STOCKHOLMS LÄN</t>
        </is>
      </c>
      <c r="E112" t="inlineStr">
        <is>
          <t>VALLENTUNA</t>
        </is>
      </c>
      <c r="F112" t="inlineStr">
        <is>
          <t>Övriga Aktiebolag</t>
        </is>
      </c>
      <c r="G112" t="n">
        <v>3.3</v>
      </c>
      <c r="H112" t="n">
        <v>0</v>
      </c>
      <c r="I112" t="n">
        <v>0</v>
      </c>
      <c r="J112" t="n">
        <v>0</v>
      </c>
      <c r="K112" t="n">
        <v>0</v>
      </c>
      <c r="L112" t="n">
        <v>0</v>
      </c>
      <c r="M112" t="n">
        <v>0</v>
      </c>
      <c r="N112" t="n">
        <v>0</v>
      </c>
      <c r="O112" t="n">
        <v>0</v>
      </c>
      <c r="P112" t="n">
        <v>0</v>
      </c>
      <c r="Q112" t="n">
        <v>0</v>
      </c>
      <c r="R112" s="2" t="inlineStr"/>
    </row>
    <row r="113" ht="15" customHeight="1">
      <c r="A113" t="inlineStr">
        <is>
          <t>A 45496-2023</t>
        </is>
      </c>
      <c r="B113" s="1" t="n">
        <v>45194</v>
      </c>
      <c r="C113" s="1" t="n">
        <v>45994</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29704-2023</t>
        </is>
      </c>
      <c r="B114" s="1" t="n">
        <v>45107</v>
      </c>
      <c r="C114" s="1" t="n">
        <v>45994</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34441-2023</t>
        </is>
      </c>
      <c r="B115" s="1" t="n">
        <v>45139</v>
      </c>
      <c r="C115" s="1" t="n">
        <v>45994</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34445-2023</t>
        </is>
      </c>
      <c r="B116" s="1" t="n">
        <v>45139</v>
      </c>
      <c r="C116" s="1" t="n">
        <v>45994</v>
      </c>
      <c r="D116" t="inlineStr">
        <is>
          <t>STOCKHOLMS LÄN</t>
        </is>
      </c>
      <c r="E116" t="inlineStr">
        <is>
          <t>VALLENTUNA</t>
        </is>
      </c>
      <c r="G116" t="n">
        <v>0.9</v>
      </c>
      <c r="H116" t="n">
        <v>0</v>
      </c>
      <c r="I116" t="n">
        <v>0</v>
      </c>
      <c r="J116" t="n">
        <v>0</v>
      </c>
      <c r="K116" t="n">
        <v>0</v>
      </c>
      <c r="L116" t="n">
        <v>0</v>
      </c>
      <c r="M116" t="n">
        <v>0</v>
      </c>
      <c r="N116" t="n">
        <v>0</v>
      </c>
      <c r="O116" t="n">
        <v>0</v>
      </c>
      <c r="P116" t="n">
        <v>0</v>
      </c>
      <c r="Q116" t="n">
        <v>0</v>
      </c>
      <c r="R116" s="2" t="inlineStr"/>
    </row>
    <row r="117" ht="15" customHeight="1">
      <c r="A117" t="inlineStr">
        <is>
          <t>A 22683-2023</t>
        </is>
      </c>
      <c r="B117" s="1" t="n">
        <v>45071</v>
      </c>
      <c r="C117" s="1" t="n">
        <v>45994</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735-2024</t>
        </is>
      </c>
      <c r="B118" s="1" t="n">
        <v>45300</v>
      </c>
      <c r="C118" s="1" t="n">
        <v>45994</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45994</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23923-2025</t>
        </is>
      </c>
      <c r="B120" s="1" t="n">
        <v>45795.39648148148</v>
      </c>
      <c r="C120" s="1" t="n">
        <v>45994</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17411-2023</t>
        </is>
      </c>
      <c r="B121" s="1" t="n">
        <v>45035.82512731481</v>
      </c>
      <c r="C121" s="1" t="n">
        <v>45994</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1385-2024</t>
        </is>
      </c>
      <c r="B122" s="1" t="n">
        <v>45303</v>
      </c>
      <c r="C122" s="1" t="n">
        <v>45994</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8077-2022</t>
        </is>
      </c>
      <c r="B123" s="1" t="n">
        <v>44609</v>
      </c>
      <c r="C123" s="1" t="n">
        <v>45994</v>
      </c>
      <c r="D123" t="inlineStr">
        <is>
          <t>STOCKHOLMS LÄN</t>
        </is>
      </c>
      <c r="E123" t="inlineStr">
        <is>
          <t>VALLENTUNA</t>
        </is>
      </c>
      <c r="G123" t="n">
        <v>1.3</v>
      </c>
      <c r="H123" t="n">
        <v>0</v>
      </c>
      <c r="I123" t="n">
        <v>0</v>
      </c>
      <c r="J123" t="n">
        <v>0</v>
      </c>
      <c r="K123" t="n">
        <v>0</v>
      </c>
      <c r="L123" t="n">
        <v>0</v>
      </c>
      <c r="M123" t="n">
        <v>0</v>
      </c>
      <c r="N123" t="n">
        <v>0</v>
      </c>
      <c r="O123" t="n">
        <v>0</v>
      </c>
      <c r="P123" t="n">
        <v>0</v>
      </c>
      <c r="Q123" t="n">
        <v>0</v>
      </c>
      <c r="R123" s="2" t="inlineStr"/>
    </row>
    <row r="124" ht="15" customHeight="1">
      <c r="A124" t="inlineStr">
        <is>
          <t>A 47140-2024</t>
        </is>
      </c>
      <c r="B124" s="1" t="n">
        <v>45586.58753472222</v>
      </c>
      <c r="C124" s="1" t="n">
        <v>45994</v>
      </c>
      <c r="D124" t="inlineStr">
        <is>
          <t>STOCKHOLMS LÄN</t>
        </is>
      </c>
      <c r="E124" t="inlineStr">
        <is>
          <t>VALLENTUNA</t>
        </is>
      </c>
      <c r="G124" t="n">
        <v>1</v>
      </c>
      <c r="H124" t="n">
        <v>0</v>
      </c>
      <c r="I124" t="n">
        <v>0</v>
      </c>
      <c r="J124" t="n">
        <v>0</v>
      </c>
      <c r="K124" t="n">
        <v>0</v>
      </c>
      <c r="L124" t="n">
        <v>0</v>
      </c>
      <c r="M124" t="n">
        <v>0</v>
      </c>
      <c r="N124" t="n">
        <v>0</v>
      </c>
      <c r="O124" t="n">
        <v>0</v>
      </c>
      <c r="P124" t="n">
        <v>0</v>
      </c>
      <c r="Q124" t="n">
        <v>0</v>
      </c>
      <c r="R124" s="2" t="inlineStr"/>
    </row>
    <row r="125" ht="15" customHeight="1">
      <c r="A125" t="inlineStr">
        <is>
          <t>A 60818-2023</t>
        </is>
      </c>
      <c r="B125" s="1" t="n">
        <v>45259</v>
      </c>
      <c r="C125" s="1" t="n">
        <v>45994</v>
      </c>
      <c r="D125" t="inlineStr">
        <is>
          <t>STOCKHOLMS LÄN</t>
        </is>
      </c>
      <c r="E125" t="inlineStr">
        <is>
          <t>VALLENTUNA</t>
        </is>
      </c>
      <c r="G125" t="n">
        <v>9.4</v>
      </c>
      <c r="H125" t="n">
        <v>0</v>
      </c>
      <c r="I125" t="n">
        <v>0</v>
      </c>
      <c r="J125" t="n">
        <v>0</v>
      </c>
      <c r="K125" t="n">
        <v>0</v>
      </c>
      <c r="L125" t="n">
        <v>0</v>
      </c>
      <c r="M125" t="n">
        <v>0</v>
      </c>
      <c r="N125" t="n">
        <v>0</v>
      </c>
      <c r="O125" t="n">
        <v>0</v>
      </c>
      <c r="P125" t="n">
        <v>0</v>
      </c>
      <c r="Q125" t="n">
        <v>0</v>
      </c>
      <c r="R125" s="2" t="inlineStr"/>
    </row>
    <row r="126" ht="15" customHeight="1">
      <c r="A126" t="inlineStr">
        <is>
          <t>A 41206-2025</t>
        </is>
      </c>
      <c r="B126" s="1" t="n">
        <v>45898</v>
      </c>
      <c r="C126" s="1" t="n">
        <v>45994</v>
      </c>
      <c r="D126" t="inlineStr">
        <is>
          <t>STOCKHOLMS LÄN</t>
        </is>
      </c>
      <c r="E126" t="inlineStr">
        <is>
          <t>VALLENTUNA</t>
        </is>
      </c>
      <c r="G126" t="n">
        <v>10</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45994</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45994</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11950-2025</t>
        </is>
      </c>
      <c r="B129" s="1" t="n">
        <v>45728.55622685186</v>
      </c>
      <c r="C129" s="1" t="n">
        <v>45994</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row r="130" ht="15" customHeight="1">
      <c r="A130" t="inlineStr">
        <is>
          <t>A 25984-2025</t>
        </is>
      </c>
      <c r="B130" s="1" t="n">
        <v>45804.64016203704</v>
      </c>
      <c r="C130" s="1" t="n">
        <v>45994</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44988-2025</t>
        </is>
      </c>
      <c r="B131" s="1" t="n">
        <v>45918.65505787037</v>
      </c>
      <c r="C131" s="1" t="n">
        <v>45994</v>
      </c>
      <c r="D131" t="inlineStr">
        <is>
          <t>STOCKHOLMS LÄN</t>
        </is>
      </c>
      <c r="E131" t="inlineStr">
        <is>
          <t>VALLENTUNA</t>
        </is>
      </c>
      <c r="G131" t="n">
        <v>1</v>
      </c>
      <c r="H131" t="n">
        <v>0</v>
      </c>
      <c r="I131" t="n">
        <v>0</v>
      </c>
      <c r="J131" t="n">
        <v>0</v>
      </c>
      <c r="K131" t="n">
        <v>0</v>
      </c>
      <c r="L131" t="n">
        <v>0</v>
      </c>
      <c r="M131" t="n">
        <v>0</v>
      </c>
      <c r="N131" t="n">
        <v>0</v>
      </c>
      <c r="O131" t="n">
        <v>0</v>
      </c>
      <c r="P131" t="n">
        <v>0</v>
      </c>
      <c r="Q131" t="n">
        <v>0</v>
      </c>
      <c r="R131" s="2" t="inlineStr"/>
    </row>
    <row r="132" ht="15" customHeight="1">
      <c r="A132" t="inlineStr">
        <is>
          <t>A 27868-2025</t>
        </is>
      </c>
      <c r="B132" s="1" t="n">
        <v>45817</v>
      </c>
      <c r="C132" s="1" t="n">
        <v>45994</v>
      </c>
      <c r="D132" t="inlineStr">
        <is>
          <t>STOCKHOLMS LÄN</t>
        </is>
      </c>
      <c r="E132" t="inlineStr">
        <is>
          <t>VALLENTUNA</t>
        </is>
      </c>
      <c r="G132" t="n">
        <v>2.1</v>
      </c>
      <c r="H132" t="n">
        <v>0</v>
      </c>
      <c r="I132" t="n">
        <v>0</v>
      </c>
      <c r="J132" t="n">
        <v>0</v>
      </c>
      <c r="K132" t="n">
        <v>0</v>
      </c>
      <c r="L132" t="n">
        <v>0</v>
      </c>
      <c r="M132" t="n">
        <v>0</v>
      </c>
      <c r="N132" t="n">
        <v>0</v>
      </c>
      <c r="O132" t="n">
        <v>0</v>
      </c>
      <c r="P132" t="n">
        <v>0</v>
      </c>
      <c r="Q132" t="n">
        <v>0</v>
      </c>
      <c r="R132" s="2" t="inlineStr"/>
    </row>
    <row r="133" ht="15" customHeight="1">
      <c r="A133" t="inlineStr">
        <is>
          <t>A 54466-2025</t>
        </is>
      </c>
      <c r="B133" s="1" t="n">
        <v>45965.56984953704</v>
      </c>
      <c r="C133" s="1" t="n">
        <v>45994</v>
      </c>
      <c r="D133" t="inlineStr">
        <is>
          <t>STOCKHOLMS LÄN</t>
        </is>
      </c>
      <c r="E133" t="inlineStr">
        <is>
          <t>VALLENTUNA</t>
        </is>
      </c>
      <c r="G133" t="n">
        <v>3</v>
      </c>
      <c r="H133" t="n">
        <v>0</v>
      </c>
      <c r="I133" t="n">
        <v>0</v>
      </c>
      <c r="J133" t="n">
        <v>0</v>
      </c>
      <c r="K133" t="n">
        <v>0</v>
      </c>
      <c r="L133" t="n">
        <v>0</v>
      </c>
      <c r="M133" t="n">
        <v>0</v>
      </c>
      <c r="N133" t="n">
        <v>0</v>
      </c>
      <c r="O133" t="n">
        <v>0</v>
      </c>
      <c r="P133" t="n">
        <v>0</v>
      </c>
      <c r="Q133" t="n">
        <v>0</v>
      </c>
      <c r="R133" s="2" t="inlineStr"/>
    </row>
    <row r="134" ht="15" customHeight="1">
      <c r="A134" t="inlineStr">
        <is>
          <t>A 30902-2025</t>
        </is>
      </c>
      <c r="B134" s="1" t="n">
        <v>45832.36104166666</v>
      </c>
      <c r="C134" s="1" t="n">
        <v>45994</v>
      </c>
      <c r="D134" t="inlineStr">
        <is>
          <t>STOCKHOLMS LÄN</t>
        </is>
      </c>
      <c r="E134" t="inlineStr">
        <is>
          <t>VALLENTUNA</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27870-2025</t>
        </is>
      </c>
      <c r="B135" s="1" t="n">
        <v>45817</v>
      </c>
      <c r="C135" s="1" t="n">
        <v>45994</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54460-2025</t>
        </is>
      </c>
      <c r="B136" s="1" t="n">
        <v>45965.56219907408</v>
      </c>
      <c r="C136" s="1" t="n">
        <v>45994</v>
      </c>
      <c r="D136" t="inlineStr">
        <is>
          <t>STOCKHOLMS LÄN</t>
        </is>
      </c>
      <c r="E136" t="inlineStr">
        <is>
          <t>VALLENTUNA</t>
        </is>
      </c>
      <c r="G136" t="n">
        <v>22.9</v>
      </c>
      <c r="H136" t="n">
        <v>0</v>
      </c>
      <c r="I136" t="n">
        <v>0</v>
      </c>
      <c r="J136" t="n">
        <v>0</v>
      </c>
      <c r="K136" t="n">
        <v>0</v>
      </c>
      <c r="L136" t="n">
        <v>0</v>
      </c>
      <c r="M136" t="n">
        <v>0</v>
      </c>
      <c r="N136" t="n">
        <v>0</v>
      </c>
      <c r="O136" t="n">
        <v>0</v>
      </c>
      <c r="P136" t="n">
        <v>0</v>
      </c>
      <c r="Q136" t="n">
        <v>0</v>
      </c>
      <c r="R136" s="2" t="inlineStr"/>
    </row>
    <row r="137" ht="15" customHeight="1">
      <c r="A137" t="inlineStr">
        <is>
          <t>A 28431-2025</t>
        </is>
      </c>
      <c r="B137" s="1" t="n">
        <v>45819.38072916667</v>
      </c>
      <c r="C137" s="1" t="n">
        <v>45994</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48014-2025</t>
        </is>
      </c>
      <c r="B138" s="1" t="n">
        <v>45932.64520833334</v>
      </c>
      <c r="C138" s="1" t="n">
        <v>45994</v>
      </c>
      <c r="D138" t="inlineStr">
        <is>
          <t>STOCKHOLMS LÄN</t>
        </is>
      </c>
      <c r="E138" t="inlineStr">
        <is>
          <t>VALLENTUNA</t>
        </is>
      </c>
      <c r="G138" t="n">
        <v>0.6</v>
      </c>
      <c r="H138" t="n">
        <v>0</v>
      </c>
      <c r="I138" t="n">
        <v>0</v>
      </c>
      <c r="J138" t="n">
        <v>0</v>
      </c>
      <c r="K138" t="n">
        <v>0</v>
      </c>
      <c r="L138" t="n">
        <v>0</v>
      </c>
      <c r="M138" t="n">
        <v>0</v>
      </c>
      <c r="N138" t="n">
        <v>0</v>
      </c>
      <c r="O138" t="n">
        <v>0</v>
      </c>
      <c r="P138" t="n">
        <v>0</v>
      </c>
      <c r="Q138" t="n">
        <v>0</v>
      </c>
      <c r="R138" s="2" t="inlineStr"/>
    </row>
    <row r="139" ht="15" customHeight="1">
      <c r="A139" t="inlineStr">
        <is>
          <t>A 48038-2025</t>
        </is>
      </c>
      <c r="B139" s="1" t="n">
        <v>45932.66008101852</v>
      </c>
      <c r="C139" s="1" t="n">
        <v>45994</v>
      </c>
      <c r="D139" t="inlineStr">
        <is>
          <t>STOCKHOLMS LÄN</t>
        </is>
      </c>
      <c r="E139" t="inlineStr">
        <is>
          <t>VALLENTUNA</t>
        </is>
      </c>
      <c r="G139" t="n">
        <v>0.5</v>
      </c>
      <c r="H139" t="n">
        <v>0</v>
      </c>
      <c r="I139" t="n">
        <v>0</v>
      </c>
      <c r="J139" t="n">
        <v>0</v>
      </c>
      <c r="K139" t="n">
        <v>0</v>
      </c>
      <c r="L139" t="n">
        <v>0</v>
      </c>
      <c r="M139" t="n">
        <v>0</v>
      </c>
      <c r="N139" t="n">
        <v>0</v>
      </c>
      <c r="O139" t="n">
        <v>0</v>
      </c>
      <c r="P139" t="n">
        <v>0</v>
      </c>
      <c r="Q139" t="n">
        <v>0</v>
      </c>
      <c r="R139" s="2" t="inlineStr"/>
    </row>
    <row r="140" ht="15" customHeight="1">
      <c r="A140" t="inlineStr">
        <is>
          <t>A 44346-2021</t>
        </is>
      </c>
      <c r="B140" s="1" t="n">
        <v>44434</v>
      </c>
      <c r="C140" s="1" t="n">
        <v>45994</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c r="A141" t="inlineStr">
        <is>
          <t>A 50784-2025</t>
        </is>
      </c>
      <c r="B141" s="1" t="n">
        <v>45946</v>
      </c>
      <c r="C141" s="1" t="n">
        <v>45994</v>
      </c>
      <c r="D141" t="inlineStr">
        <is>
          <t>STOCKHOLMS LÄN</t>
        </is>
      </c>
      <c r="E141" t="inlineStr">
        <is>
          <t>VALLENTUNA</t>
        </is>
      </c>
      <c r="G141" t="n">
        <v>1</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2025-12-03T10:26:20Z</dcterms:created>
  <dcterms:modified xmlns:dcterms="http://purl.org/dc/terms/" xmlns:xsi="http://www.w3.org/2001/XMLSchema-instance" xsi:type="dcterms:W3CDTF">2025-12-03T10:26:20Z</dcterms:modified>
</cp:coreProperties>
</file>