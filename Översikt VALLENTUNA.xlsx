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45924</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45924</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45924</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18446-2025</t>
        </is>
      </c>
      <c r="B11" s="1" t="n">
        <v>45762</v>
      </c>
      <c r="C11" s="1" t="n">
        <v>45924</v>
      </c>
      <c r="D11" t="inlineStr">
        <is>
          <t>STOCKHOLMS LÄN</t>
        </is>
      </c>
      <c r="E11" t="inlineStr">
        <is>
          <t>VALLENTUNA</t>
        </is>
      </c>
      <c r="G11" t="n">
        <v>3.7</v>
      </c>
      <c r="H11" t="n">
        <v>2</v>
      </c>
      <c r="I11" t="n">
        <v>2</v>
      </c>
      <c r="J11" t="n">
        <v>1</v>
      </c>
      <c r="K11" t="n">
        <v>0</v>
      </c>
      <c r="L11" t="n">
        <v>0</v>
      </c>
      <c r="M11" t="n">
        <v>0</v>
      </c>
      <c r="N11" t="n">
        <v>0</v>
      </c>
      <c r="O11" t="n">
        <v>1</v>
      </c>
      <c r="P11" t="n">
        <v>0</v>
      </c>
      <c r="Q11" t="n">
        <v>4</v>
      </c>
      <c r="R11" s="2" t="inlineStr">
        <is>
          <t>Talltita
Grönpyrola
Vedticka
Blåsippa</t>
        </is>
      </c>
      <c r="S11">
        <f>HYPERLINK("https://klasma.github.io/Logging_0115/artfynd/A 18446-2025 artfynd.xlsx", "A 18446-2025")</f>
        <v/>
      </c>
      <c r="T11">
        <f>HYPERLINK("https://klasma.github.io/Logging_0115/kartor/A 18446-2025 karta.png", "A 18446-2025")</f>
        <v/>
      </c>
      <c r="V11">
        <f>HYPERLINK("https://klasma.github.io/Logging_0115/klagomål/A 18446-2025 FSC-klagomål.docx", "A 18446-2025")</f>
        <v/>
      </c>
      <c r="W11">
        <f>HYPERLINK("https://klasma.github.io/Logging_0115/klagomålsmail/A 18446-2025 FSC-klagomål mail.docx", "A 18446-2025")</f>
        <v/>
      </c>
      <c r="X11">
        <f>HYPERLINK("https://klasma.github.io/Logging_0115/tillsyn/A 18446-2025 tillsynsbegäran.docx", "A 18446-2025")</f>
        <v/>
      </c>
      <c r="Y11">
        <f>HYPERLINK("https://klasma.github.io/Logging_0115/tillsynsmail/A 18446-2025 tillsynsbegäran mail.docx", "A 18446-2025")</f>
        <v/>
      </c>
      <c r="Z11">
        <f>HYPERLINK("https://klasma.github.io/Logging_0115/fåglar/A 18446-2025 prioriterade fågelarter.docx", "A 18446-2025")</f>
        <v/>
      </c>
    </row>
    <row r="12" ht="15" customHeight="1">
      <c r="A12" t="inlineStr">
        <is>
          <t>A 8500-2022</t>
        </is>
      </c>
      <c r="B12" s="1" t="n">
        <v>44613</v>
      </c>
      <c r="C12" s="1" t="n">
        <v>45924</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42612-2025</t>
        </is>
      </c>
      <c r="B13" s="1" t="n">
        <v>45905.70087962963</v>
      </c>
      <c r="C13" s="1" t="n">
        <v>45924</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45924</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45924</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9445-2022</t>
        </is>
      </c>
      <c r="B16" s="1" t="n">
        <v>44616</v>
      </c>
      <c r="C16" s="1" t="n">
        <v>45924</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70608-2021</t>
        </is>
      </c>
      <c r="B17" s="1" t="n">
        <v>44536</v>
      </c>
      <c r="C17" s="1" t="n">
        <v>45924</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754-2024</t>
        </is>
      </c>
      <c r="B18" s="1" t="n">
        <v>45300</v>
      </c>
      <c r="C18" s="1" t="n">
        <v>45924</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9745-2022</t>
        </is>
      </c>
      <c r="B19" s="1" t="n">
        <v>44618</v>
      </c>
      <c r="C19" s="1" t="n">
        <v>45924</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41021-2023</t>
        </is>
      </c>
      <c r="B20" s="1" t="n">
        <v>45173</v>
      </c>
      <c r="C20" s="1" t="n">
        <v>45924</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45924</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8817-2025</t>
        </is>
      </c>
      <c r="B22" s="1" t="n">
        <v>45712.70987268518</v>
      </c>
      <c r="C22" s="1" t="n">
        <v>45924</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17348-2025</t>
        </is>
      </c>
      <c r="B23" s="1" t="n">
        <v>45756</v>
      </c>
      <c r="C23" s="1" t="n">
        <v>45924</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27870-2025</t>
        </is>
      </c>
      <c r="B24" s="1" t="n">
        <v>45817</v>
      </c>
      <c r="C24" s="1" t="n">
        <v>45924</v>
      </c>
      <c r="D24" t="inlineStr">
        <is>
          <t>STOCKHOLMS LÄN</t>
        </is>
      </c>
      <c r="E24" t="inlineStr">
        <is>
          <t>VALLENTUNA</t>
        </is>
      </c>
      <c r="G24" t="n">
        <v>5</v>
      </c>
      <c r="H24" t="n">
        <v>0</v>
      </c>
      <c r="I24" t="n">
        <v>0</v>
      </c>
      <c r="J24" t="n">
        <v>1</v>
      </c>
      <c r="K24" t="n">
        <v>0</v>
      </c>
      <c r="L24" t="n">
        <v>0</v>
      </c>
      <c r="M24" t="n">
        <v>0</v>
      </c>
      <c r="N24" t="n">
        <v>0</v>
      </c>
      <c r="O24" t="n">
        <v>1</v>
      </c>
      <c r="P24" t="n">
        <v>0</v>
      </c>
      <c r="Q24" t="n">
        <v>1</v>
      </c>
      <c r="R24" s="2" t="inlineStr">
        <is>
          <t>Bronspraktbagge</t>
        </is>
      </c>
      <c r="S24">
        <f>HYPERLINK("https://klasma.github.io/Logging_0115/artfynd/A 27870-2025 artfynd.xlsx", "A 27870-2025")</f>
        <v/>
      </c>
      <c r="T24">
        <f>HYPERLINK("https://klasma.github.io/Logging_0115/kartor/A 27870-2025 karta.png", "A 27870-2025")</f>
        <v/>
      </c>
      <c r="V24">
        <f>HYPERLINK("https://klasma.github.io/Logging_0115/klagomål/A 27870-2025 FSC-klagomål.docx", "A 27870-2025")</f>
        <v/>
      </c>
      <c r="W24">
        <f>HYPERLINK("https://klasma.github.io/Logging_0115/klagomålsmail/A 27870-2025 FSC-klagomål mail.docx", "A 27870-2025")</f>
        <v/>
      </c>
      <c r="X24">
        <f>HYPERLINK("https://klasma.github.io/Logging_0115/tillsyn/A 27870-2025 tillsynsbegäran.docx", "A 27870-2025")</f>
        <v/>
      </c>
      <c r="Y24">
        <f>HYPERLINK("https://klasma.github.io/Logging_0115/tillsynsmail/A 27870-2025 tillsynsbegäran mail.docx", "A 27870-2025")</f>
        <v/>
      </c>
    </row>
    <row r="25" ht="15" customHeight="1">
      <c r="A25" t="inlineStr">
        <is>
          <t>A 21-2022</t>
        </is>
      </c>
      <c r="B25" s="1" t="n">
        <v>44560</v>
      </c>
      <c r="C25" s="1" t="n">
        <v>45924</v>
      </c>
      <c r="D25" t="inlineStr">
        <is>
          <t>STOCKHOLMS LÄN</t>
        </is>
      </c>
      <c r="E25" t="inlineStr">
        <is>
          <t>VALLENTUNA</t>
        </is>
      </c>
      <c r="F25" t="inlineStr">
        <is>
          <t>Övriga Aktiebolag</t>
        </is>
      </c>
      <c r="G25" t="n">
        <v>3.5</v>
      </c>
      <c r="H25" t="n">
        <v>1</v>
      </c>
      <c r="I25" t="n">
        <v>0</v>
      </c>
      <c r="J25" t="n">
        <v>0</v>
      </c>
      <c r="K25" t="n">
        <v>0</v>
      </c>
      <c r="L25" t="n">
        <v>0</v>
      </c>
      <c r="M25" t="n">
        <v>0</v>
      </c>
      <c r="N25" t="n">
        <v>0</v>
      </c>
      <c r="O25" t="n">
        <v>0</v>
      </c>
      <c r="P25" t="n">
        <v>0</v>
      </c>
      <c r="Q25" t="n">
        <v>1</v>
      </c>
      <c r="R25" s="2" t="inlineStr">
        <is>
          <t>Nattviol</t>
        </is>
      </c>
      <c r="S25">
        <f>HYPERLINK("https://klasma.github.io/Logging_0115/artfynd/A 21-2022 artfynd.xlsx", "A 21-2022")</f>
        <v/>
      </c>
      <c r="T25">
        <f>HYPERLINK("https://klasma.github.io/Logging_0115/kartor/A 21-2022 karta.png", "A 21-2022")</f>
        <v/>
      </c>
      <c r="V25">
        <f>HYPERLINK("https://klasma.github.io/Logging_0115/klagomål/A 21-2022 FSC-klagomål.docx", "A 21-2022")</f>
        <v/>
      </c>
      <c r="W25">
        <f>HYPERLINK("https://klasma.github.io/Logging_0115/klagomålsmail/A 21-2022 FSC-klagomål mail.docx", "A 21-2022")</f>
        <v/>
      </c>
      <c r="X25">
        <f>HYPERLINK("https://klasma.github.io/Logging_0115/tillsyn/A 21-2022 tillsynsbegäran.docx", "A 21-2022")</f>
        <v/>
      </c>
      <c r="Y25">
        <f>HYPERLINK("https://klasma.github.io/Logging_0115/tillsynsmail/A 21-2022 tillsynsbegäran mail.docx", "A 21-2022")</f>
        <v/>
      </c>
    </row>
    <row r="26" ht="15" customHeight="1">
      <c r="A26" t="inlineStr">
        <is>
          <t>A 7890-2023</t>
        </is>
      </c>
      <c r="B26" s="1" t="n">
        <v>44973</v>
      </c>
      <c r="C26" s="1" t="n">
        <v>45924</v>
      </c>
      <c r="D26" t="inlineStr">
        <is>
          <t>STOCKHOLMS LÄN</t>
        </is>
      </c>
      <c r="E26" t="inlineStr">
        <is>
          <t>VALLENTUNA</t>
        </is>
      </c>
      <c r="G26" t="n">
        <v>0.5</v>
      </c>
      <c r="H26" t="n">
        <v>0</v>
      </c>
      <c r="I26" t="n">
        <v>0</v>
      </c>
      <c r="J26" t="n">
        <v>1</v>
      </c>
      <c r="K26" t="n">
        <v>0</v>
      </c>
      <c r="L26" t="n">
        <v>0</v>
      </c>
      <c r="M26" t="n">
        <v>0</v>
      </c>
      <c r="N26" t="n">
        <v>0</v>
      </c>
      <c r="O26" t="n">
        <v>1</v>
      </c>
      <c r="P26" t="n">
        <v>0</v>
      </c>
      <c r="Q26" t="n">
        <v>1</v>
      </c>
      <c r="R26" s="2" t="inlineStr">
        <is>
          <t>Ullticka</t>
        </is>
      </c>
      <c r="S26">
        <f>HYPERLINK("https://klasma.github.io/Logging_0115/artfynd/A 7890-2023 artfynd.xlsx", "A 7890-2023")</f>
        <v/>
      </c>
      <c r="T26">
        <f>HYPERLINK("https://klasma.github.io/Logging_0115/kartor/A 7890-2023 karta.png", "A 7890-2023")</f>
        <v/>
      </c>
      <c r="V26">
        <f>HYPERLINK("https://klasma.github.io/Logging_0115/klagomål/A 7890-2023 FSC-klagomål.docx", "A 7890-2023")</f>
        <v/>
      </c>
      <c r="W26">
        <f>HYPERLINK("https://klasma.github.io/Logging_0115/klagomålsmail/A 7890-2023 FSC-klagomål mail.docx", "A 7890-2023")</f>
        <v/>
      </c>
      <c r="X26">
        <f>HYPERLINK("https://klasma.github.io/Logging_0115/tillsyn/A 7890-2023 tillsynsbegäran.docx", "A 7890-2023")</f>
        <v/>
      </c>
      <c r="Y26">
        <f>HYPERLINK("https://klasma.github.io/Logging_0115/tillsynsmail/A 7890-2023 tillsynsbegäran mail.docx", "A 7890-2023")</f>
        <v/>
      </c>
    </row>
    <row r="27" ht="15" customHeight="1">
      <c r="A27" t="inlineStr">
        <is>
          <t>A 22830-2024</t>
        </is>
      </c>
      <c r="B27" s="1" t="n">
        <v>45448.56583333333</v>
      </c>
      <c r="C27" s="1" t="n">
        <v>45924</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8946-2025</t>
        </is>
      </c>
      <c r="B28" s="1" t="n">
        <v>45712</v>
      </c>
      <c r="C28" s="1" t="n">
        <v>45924</v>
      </c>
      <c r="D28" t="inlineStr">
        <is>
          <t>STOCKHOLMS LÄN</t>
        </is>
      </c>
      <c r="E28" t="inlineStr">
        <is>
          <t>VALLENTUNA</t>
        </is>
      </c>
      <c r="G28" t="n">
        <v>4.4</v>
      </c>
      <c r="H28" t="n">
        <v>0</v>
      </c>
      <c r="I28" t="n">
        <v>0</v>
      </c>
      <c r="J28" t="n">
        <v>1</v>
      </c>
      <c r="K28" t="n">
        <v>0</v>
      </c>
      <c r="L28" t="n">
        <v>0</v>
      </c>
      <c r="M28" t="n">
        <v>0</v>
      </c>
      <c r="N28" t="n">
        <v>0</v>
      </c>
      <c r="O28" t="n">
        <v>1</v>
      </c>
      <c r="P28" t="n">
        <v>0</v>
      </c>
      <c r="Q28" t="n">
        <v>1</v>
      </c>
      <c r="R28" s="2" t="inlineStr">
        <is>
          <t>Granticka</t>
        </is>
      </c>
      <c r="S28">
        <f>HYPERLINK("https://klasma.github.io/Logging_0115/artfynd/A 8946-2025 artfynd.xlsx", "A 8946-2025")</f>
        <v/>
      </c>
      <c r="T28">
        <f>HYPERLINK("https://klasma.github.io/Logging_0115/kartor/A 8946-2025 karta.png", "A 8946-2025")</f>
        <v/>
      </c>
      <c r="V28">
        <f>HYPERLINK("https://klasma.github.io/Logging_0115/klagomål/A 8946-2025 FSC-klagomål.docx", "A 8946-2025")</f>
        <v/>
      </c>
      <c r="W28">
        <f>HYPERLINK("https://klasma.github.io/Logging_0115/klagomålsmail/A 8946-2025 FSC-klagomål mail.docx", "A 8946-2025")</f>
        <v/>
      </c>
      <c r="X28">
        <f>HYPERLINK("https://klasma.github.io/Logging_0115/tillsyn/A 8946-2025 tillsynsbegäran.docx", "A 8946-2025")</f>
        <v/>
      </c>
      <c r="Y28">
        <f>HYPERLINK("https://klasma.github.io/Logging_0115/tillsynsmail/A 8946-2025 tillsynsbegäran mail.docx", "A 8946-2025")</f>
        <v/>
      </c>
    </row>
    <row r="29" ht="15" customHeight="1">
      <c r="A29" t="inlineStr">
        <is>
          <t>A 17341-2025</t>
        </is>
      </c>
      <c r="B29" s="1" t="n">
        <v>45756</v>
      </c>
      <c r="C29" s="1" t="n">
        <v>45924</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14508-2024</t>
        </is>
      </c>
      <c r="B30" s="1" t="n">
        <v>45394.61583333334</v>
      </c>
      <c r="C30" s="1" t="n">
        <v>45924</v>
      </c>
      <c r="D30" t="inlineStr">
        <is>
          <t>STOCKHOLMS LÄN</t>
        </is>
      </c>
      <c r="E30" t="inlineStr">
        <is>
          <t>VALLENTUNA</t>
        </is>
      </c>
      <c r="G30" t="n">
        <v>1.7</v>
      </c>
      <c r="H30" t="n">
        <v>1</v>
      </c>
      <c r="I30" t="n">
        <v>0</v>
      </c>
      <c r="J30" t="n">
        <v>1</v>
      </c>
      <c r="K30" t="n">
        <v>0</v>
      </c>
      <c r="L30" t="n">
        <v>0</v>
      </c>
      <c r="M30" t="n">
        <v>0</v>
      </c>
      <c r="N30" t="n">
        <v>0</v>
      </c>
      <c r="O30" t="n">
        <v>1</v>
      </c>
      <c r="P30" t="n">
        <v>0</v>
      </c>
      <c r="Q30" t="n">
        <v>1</v>
      </c>
      <c r="R30" s="2" t="inlineStr">
        <is>
          <t>Mindre hackspett</t>
        </is>
      </c>
      <c r="S30">
        <f>HYPERLINK("https://klasma.github.io/Logging_0115/artfynd/A 14508-2024 artfynd.xlsx", "A 14508-2024")</f>
        <v/>
      </c>
      <c r="T30">
        <f>HYPERLINK("https://klasma.github.io/Logging_0115/kartor/A 14508-2024 karta.png", "A 14508-2024")</f>
        <v/>
      </c>
      <c r="V30">
        <f>HYPERLINK("https://klasma.github.io/Logging_0115/klagomål/A 14508-2024 FSC-klagomål.docx", "A 14508-2024")</f>
        <v/>
      </c>
      <c r="W30">
        <f>HYPERLINK("https://klasma.github.io/Logging_0115/klagomålsmail/A 14508-2024 FSC-klagomål mail.docx", "A 14508-2024")</f>
        <v/>
      </c>
      <c r="X30">
        <f>HYPERLINK("https://klasma.github.io/Logging_0115/tillsyn/A 14508-2024 tillsynsbegäran.docx", "A 14508-2024")</f>
        <v/>
      </c>
      <c r="Y30">
        <f>HYPERLINK("https://klasma.github.io/Logging_0115/tillsynsmail/A 14508-2024 tillsynsbegäran mail.docx", "A 14508-2024")</f>
        <v/>
      </c>
      <c r="Z30">
        <f>HYPERLINK("https://klasma.github.io/Logging_0115/fåglar/A 14508-2024 prioriterade fågelarter.docx", "A 14508-2024")</f>
        <v/>
      </c>
    </row>
    <row r="31" ht="15" customHeight="1">
      <c r="A31" t="inlineStr">
        <is>
          <t>A 21439-2025</t>
        </is>
      </c>
      <c r="B31" s="1" t="n">
        <v>45782.52939814814</v>
      </c>
      <c r="C31" s="1" t="n">
        <v>45924</v>
      </c>
      <c r="D31" t="inlineStr">
        <is>
          <t>STOCKHOLMS LÄN</t>
        </is>
      </c>
      <c r="E31" t="inlineStr">
        <is>
          <t>VALLENTUNA</t>
        </is>
      </c>
      <c r="G31" t="n">
        <v>2.1</v>
      </c>
      <c r="H31" t="n">
        <v>0</v>
      </c>
      <c r="I31" t="n">
        <v>1</v>
      </c>
      <c r="J31" t="n">
        <v>0</v>
      </c>
      <c r="K31" t="n">
        <v>0</v>
      </c>
      <c r="L31" t="n">
        <v>0</v>
      </c>
      <c r="M31" t="n">
        <v>0</v>
      </c>
      <c r="N31" t="n">
        <v>0</v>
      </c>
      <c r="O31" t="n">
        <v>0</v>
      </c>
      <c r="P31" t="n">
        <v>0</v>
      </c>
      <c r="Q31" t="n">
        <v>1</v>
      </c>
      <c r="R31" s="2" t="inlineStr">
        <is>
          <t>Mindre märgborre</t>
        </is>
      </c>
      <c r="S31">
        <f>HYPERLINK("https://klasma.github.io/Logging_0115/artfynd/A 21439-2025 artfynd.xlsx", "A 21439-2025")</f>
        <v/>
      </c>
      <c r="T31">
        <f>HYPERLINK("https://klasma.github.io/Logging_0115/kartor/A 21439-2025 karta.png", "A 21439-2025")</f>
        <v/>
      </c>
      <c r="V31">
        <f>HYPERLINK("https://klasma.github.io/Logging_0115/klagomål/A 21439-2025 FSC-klagomål.docx", "A 21439-2025")</f>
        <v/>
      </c>
      <c r="W31">
        <f>HYPERLINK("https://klasma.github.io/Logging_0115/klagomålsmail/A 21439-2025 FSC-klagomål mail.docx", "A 21439-2025")</f>
        <v/>
      </c>
      <c r="X31">
        <f>HYPERLINK("https://klasma.github.io/Logging_0115/tillsyn/A 21439-2025 tillsynsbegäran.docx", "A 21439-2025")</f>
        <v/>
      </c>
      <c r="Y31">
        <f>HYPERLINK("https://klasma.github.io/Logging_0115/tillsynsmail/A 21439-2025 tillsynsbegäran mail.docx", "A 21439-2025")</f>
        <v/>
      </c>
    </row>
    <row r="32" ht="15" customHeight="1">
      <c r="A32" t="inlineStr">
        <is>
          <t>A 22936-2025</t>
        </is>
      </c>
      <c r="B32" s="1" t="n">
        <v>45790.45738425926</v>
      </c>
      <c r="C32" s="1" t="n">
        <v>45924</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20612-2021</t>
        </is>
      </c>
      <c r="B33" s="1" t="n">
        <v>44315</v>
      </c>
      <c r="C33" s="1" t="n">
        <v>45924</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45924</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45924</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45924</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45924</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45924</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45924</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45924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45924</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45924</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45924</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45924</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14430-2021</t>
        </is>
      </c>
      <c r="B45" s="1" t="n">
        <v>44279.4665625</v>
      </c>
      <c r="C45" s="1" t="n">
        <v>45924</v>
      </c>
      <c r="D45" t="inlineStr">
        <is>
          <t>STOCKHOLMS LÄN</t>
        </is>
      </c>
      <c r="E45" t="inlineStr">
        <is>
          <t>VALLENTUNA</t>
        </is>
      </c>
      <c r="G45" t="n">
        <v>1.1</v>
      </c>
      <c r="H45" t="n">
        <v>0</v>
      </c>
      <c r="I45" t="n">
        <v>0</v>
      </c>
      <c r="J45" t="n">
        <v>0</v>
      </c>
      <c r="K45" t="n">
        <v>0</v>
      </c>
      <c r="L45" t="n">
        <v>0</v>
      </c>
      <c r="M45" t="n">
        <v>0</v>
      </c>
      <c r="N45" t="n">
        <v>0</v>
      </c>
      <c r="O45" t="n">
        <v>0</v>
      </c>
      <c r="P45" t="n">
        <v>0</v>
      </c>
      <c r="Q45" t="n">
        <v>0</v>
      </c>
      <c r="R45" s="2" t="inlineStr"/>
    </row>
    <row r="46" ht="15" customHeight="1">
      <c r="A46" t="inlineStr">
        <is>
          <t>A 14443-2021</t>
        </is>
      </c>
      <c r="B46" s="1" t="n">
        <v>44279</v>
      </c>
      <c r="C46" s="1" t="n">
        <v>45924</v>
      </c>
      <c r="D46" t="inlineStr">
        <is>
          <t>STOCKHOLMS LÄN</t>
        </is>
      </c>
      <c r="E46" t="inlineStr">
        <is>
          <t>VALLENTUNA</t>
        </is>
      </c>
      <c r="G46" t="n">
        <v>3.5</v>
      </c>
      <c r="H46" t="n">
        <v>0</v>
      </c>
      <c r="I46" t="n">
        <v>0</v>
      </c>
      <c r="J46" t="n">
        <v>0</v>
      </c>
      <c r="K46" t="n">
        <v>0</v>
      </c>
      <c r="L46" t="n">
        <v>0</v>
      </c>
      <c r="M46" t="n">
        <v>0</v>
      </c>
      <c r="N46" t="n">
        <v>0</v>
      </c>
      <c r="O46" t="n">
        <v>0</v>
      </c>
      <c r="P46" t="n">
        <v>0</v>
      </c>
      <c r="Q46" t="n">
        <v>0</v>
      </c>
      <c r="R46" s="2" t="inlineStr"/>
    </row>
    <row r="47" ht="15" customHeight="1">
      <c r="A47" t="inlineStr">
        <is>
          <t>A 14447-2021</t>
        </is>
      </c>
      <c r="B47" s="1" t="n">
        <v>44279</v>
      </c>
      <c r="C47" s="1" t="n">
        <v>45924</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45924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37657-2021</t>
        </is>
      </c>
      <c r="B49" s="1" t="n">
        <v>44400</v>
      </c>
      <c r="C49" s="1" t="n">
        <v>45924</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44346-2021</t>
        </is>
      </c>
      <c r="B50" s="1" t="n">
        <v>44434</v>
      </c>
      <c r="C50" s="1" t="n">
        <v>45924</v>
      </c>
      <c r="D50" t="inlineStr">
        <is>
          <t>STOCKHOLMS LÄN</t>
        </is>
      </c>
      <c r="E50" t="inlineStr">
        <is>
          <t>VALLENTUNA</t>
        </is>
      </c>
      <c r="G50" t="n">
        <v>3</v>
      </c>
      <c r="H50" t="n">
        <v>0</v>
      </c>
      <c r="I50" t="n">
        <v>0</v>
      </c>
      <c r="J50" t="n">
        <v>0</v>
      </c>
      <c r="K50" t="n">
        <v>0</v>
      </c>
      <c r="L50" t="n">
        <v>0</v>
      </c>
      <c r="M50" t="n">
        <v>0</v>
      </c>
      <c r="N50" t="n">
        <v>0</v>
      </c>
      <c r="O50" t="n">
        <v>0</v>
      </c>
      <c r="P50" t="n">
        <v>0</v>
      </c>
      <c r="Q50" t="n">
        <v>0</v>
      </c>
      <c r="R50" s="2" t="inlineStr"/>
    </row>
    <row r="51" ht="15" customHeight="1">
      <c r="A51" t="inlineStr">
        <is>
          <t>A 14725-2022</t>
        </is>
      </c>
      <c r="B51" s="1" t="n">
        <v>44655</v>
      </c>
      <c r="C51" s="1" t="n">
        <v>45924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7276-2022</t>
        </is>
      </c>
      <c r="B52" s="1" t="n">
        <v>44606</v>
      </c>
      <c r="C52" s="1" t="n">
        <v>45924</v>
      </c>
      <c r="D52" t="inlineStr">
        <is>
          <t>STOCKHOLMS LÄN</t>
        </is>
      </c>
      <c r="E52" t="inlineStr">
        <is>
          <t>VALLENTUNA</t>
        </is>
      </c>
      <c r="G52" t="n">
        <v>1.7</v>
      </c>
      <c r="H52" t="n">
        <v>0</v>
      </c>
      <c r="I52" t="n">
        <v>0</v>
      </c>
      <c r="J52" t="n">
        <v>0</v>
      </c>
      <c r="K52" t="n">
        <v>0</v>
      </c>
      <c r="L52" t="n">
        <v>0</v>
      </c>
      <c r="M52" t="n">
        <v>0</v>
      </c>
      <c r="N52" t="n">
        <v>0</v>
      </c>
      <c r="O52" t="n">
        <v>0</v>
      </c>
      <c r="P52" t="n">
        <v>0</v>
      </c>
      <c r="Q52" t="n">
        <v>0</v>
      </c>
      <c r="R52" s="2" t="inlineStr"/>
    </row>
    <row r="53" ht="15" customHeight="1">
      <c r="A53" t="inlineStr">
        <is>
          <t>A 7085-2022</t>
        </is>
      </c>
      <c r="B53" s="1" t="n">
        <v>44603</v>
      </c>
      <c r="C53" s="1" t="n">
        <v>45924</v>
      </c>
      <c r="D53" t="inlineStr">
        <is>
          <t>STOCKHOLMS LÄN</t>
        </is>
      </c>
      <c r="E53" t="inlineStr">
        <is>
          <t>VALLENTUNA</t>
        </is>
      </c>
      <c r="G53" t="n">
        <v>1.6</v>
      </c>
      <c r="H53" t="n">
        <v>0</v>
      </c>
      <c r="I53" t="n">
        <v>0</v>
      </c>
      <c r="J53" t="n">
        <v>0</v>
      </c>
      <c r="K53" t="n">
        <v>0</v>
      </c>
      <c r="L53" t="n">
        <v>0</v>
      </c>
      <c r="M53" t="n">
        <v>0</v>
      </c>
      <c r="N53" t="n">
        <v>0</v>
      </c>
      <c r="O53" t="n">
        <v>0</v>
      </c>
      <c r="P53" t="n">
        <v>0</v>
      </c>
      <c r="Q53" t="n">
        <v>0</v>
      </c>
      <c r="R53" s="2" t="inlineStr"/>
    </row>
    <row r="54" ht="15" customHeight="1">
      <c r="A54" t="inlineStr">
        <is>
          <t>A 21445-2023</t>
        </is>
      </c>
      <c r="B54" s="1" t="n">
        <v>45063</v>
      </c>
      <c r="C54" s="1" t="n">
        <v>45924</v>
      </c>
      <c r="D54" t="inlineStr">
        <is>
          <t>STOCKHOLMS LÄN</t>
        </is>
      </c>
      <c r="E54" t="inlineStr">
        <is>
          <t>VALLENTUNA</t>
        </is>
      </c>
      <c r="G54" t="n">
        <v>3.1</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45924</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23923-2025</t>
        </is>
      </c>
      <c r="B56" s="1" t="n">
        <v>45795.39648148148</v>
      </c>
      <c r="C56" s="1" t="n">
        <v>45924</v>
      </c>
      <c r="D56" t="inlineStr">
        <is>
          <t>STOCKHOLMS LÄN</t>
        </is>
      </c>
      <c r="E56" t="inlineStr">
        <is>
          <t>VALLENTUNA</t>
        </is>
      </c>
      <c r="G56" t="n">
        <v>2.3</v>
      </c>
      <c r="H56" t="n">
        <v>0</v>
      </c>
      <c r="I56" t="n">
        <v>0</v>
      </c>
      <c r="J56" t="n">
        <v>0</v>
      </c>
      <c r="K56" t="n">
        <v>0</v>
      </c>
      <c r="L56" t="n">
        <v>0</v>
      </c>
      <c r="M56" t="n">
        <v>0</v>
      </c>
      <c r="N56" t="n">
        <v>0</v>
      </c>
      <c r="O56" t="n">
        <v>0</v>
      </c>
      <c r="P56" t="n">
        <v>0</v>
      </c>
      <c r="Q56" t="n">
        <v>0</v>
      </c>
      <c r="R56" s="2" t="inlineStr"/>
    </row>
    <row r="57" ht="15" customHeight="1">
      <c r="A57" t="inlineStr">
        <is>
          <t>A 34441-2023</t>
        </is>
      </c>
      <c r="B57" s="1" t="n">
        <v>45139</v>
      </c>
      <c r="C57" s="1" t="n">
        <v>45924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34445-2023</t>
        </is>
      </c>
      <c r="B58" s="1" t="n">
        <v>45139</v>
      </c>
      <c r="C58" s="1" t="n">
        <v>45924</v>
      </c>
      <c r="D58" t="inlineStr">
        <is>
          <t>STOCKHOLMS LÄN</t>
        </is>
      </c>
      <c r="E58" t="inlineStr">
        <is>
          <t>VALLENTUNA</t>
        </is>
      </c>
      <c r="G58" t="n">
        <v>0.9</v>
      </c>
      <c r="H58" t="n">
        <v>0</v>
      </c>
      <c r="I58" t="n">
        <v>0</v>
      </c>
      <c r="J58" t="n">
        <v>0</v>
      </c>
      <c r="K58" t="n">
        <v>0</v>
      </c>
      <c r="L58" t="n">
        <v>0</v>
      </c>
      <c r="M58" t="n">
        <v>0</v>
      </c>
      <c r="N58" t="n">
        <v>0</v>
      </c>
      <c r="O58" t="n">
        <v>0</v>
      </c>
      <c r="P58" t="n">
        <v>0</v>
      </c>
      <c r="Q58" t="n">
        <v>0</v>
      </c>
      <c r="R58" s="2" t="inlineStr"/>
    </row>
    <row r="59" ht="15" customHeight="1">
      <c r="A59" t="inlineStr">
        <is>
          <t>A 34460-2023</t>
        </is>
      </c>
      <c r="B59" s="1" t="n">
        <v>45139</v>
      </c>
      <c r="C59" s="1" t="n">
        <v>45924</v>
      </c>
      <c r="D59" t="inlineStr">
        <is>
          <t>STOCKHOLMS LÄN</t>
        </is>
      </c>
      <c r="E59" t="inlineStr">
        <is>
          <t>VALLENTUNA</t>
        </is>
      </c>
      <c r="G59" t="n">
        <v>1.7</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45924</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26390-2023</t>
        </is>
      </c>
      <c r="B61" s="1" t="n">
        <v>45086</v>
      </c>
      <c r="C61" s="1" t="n">
        <v>45924</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735-2024</t>
        </is>
      </c>
      <c r="B62" s="1" t="n">
        <v>45300</v>
      </c>
      <c r="C62" s="1" t="n">
        <v>45924</v>
      </c>
      <c r="D62" t="inlineStr">
        <is>
          <t>STOCKHOLMS LÄN</t>
        </is>
      </c>
      <c r="E62" t="inlineStr">
        <is>
          <t>VALLENTUNA</t>
        </is>
      </c>
      <c r="G62" t="n">
        <v>1.7</v>
      </c>
      <c r="H62" t="n">
        <v>0</v>
      </c>
      <c r="I62" t="n">
        <v>0</v>
      </c>
      <c r="J62" t="n">
        <v>0</v>
      </c>
      <c r="K62" t="n">
        <v>0</v>
      </c>
      <c r="L62" t="n">
        <v>0</v>
      </c>
      <c r="M62" t="n">
        <v>0</v>
      </c>
      <c r="N62" t="n">
        <v>0</v>
      </c>
      <c r="O62" t="n">
        <v>0</v>
      </c>
      <c r="P62" t="n">
        <v>0</v>
      </c>
      <c r="Q62" t="n">
        <v>0</v>
      </c>
      <c r="R62" s="2" t="inlineStr"/>
    </row>
    <row r="63" ht="15" customHeight="1">
      <c r="A63" t="inlineStr">
        <is>
          <t>A 25984-2025</t>
        </is>
      </c>
      <c r="B63" s="1" t="n">
        <v>45804.64016203704</v>
      </c>
      <c r="C63" s="1" t="n">
        <v>45924</v>
      </c>
      <c r="D63" t="inlineStr">
        <is>
          <t>STOCKHOLMS LÄN</t>
        </is>
      </c>
      <c r="E63" t="inlineStr">
        <is>
          <t>VALLENTUNA</t>
        </is>
      </c>
      <c r="G63" t="n">
        <v>2.5</v>
      </c>
      <c r="H63" t="n">
        <v>0</v>
      </c>
      <c r="I63" t="n">
        <v>0</v>
      </c>
      <c r="J63" t="n">
        <v>0</v>
      </c>
      <c r="K63" t="n">
        <v>0</v>
      </c>
      <c r="L63" t="n">
        <v>0</v>
      </c>
      <c r="M63" t="n">
        <v>0</v>
      </c>
      <c r="N63" t="n">
        <v>0</v>
      </c>
      <c r="O63" t="n">
        <v>0</v>
      </c>
      <c r="P63" t="n">
        <v>0</v>
      </c>
      <c r="Q63" t="n">
        <v>0</v>
      </c>
      <c r="R63" s="2" t="inlineStr"/>
    </row>
    <row r="64" ht="15" customHeight="1">
      <c r="A64" t="inlineStr">
        <is>
          <t>A 12585-2023</t>
        </is>
      </c>
      <c r="B64" s="1" t="n">
        <v>45000.41373842592</v>
      </c>
      <c r="C64" s="1" t="n">
        <v>45924</v>
      </c>
      <c r="D64" t="inlineStr">
        <is>
          <t>STOCKHOLMS LÄN</t>
        </is>
      </c>
      <c r="E64" t="inlineStr">
        <is>
          <t>VALLENTUNA</t>
        </is>
      </c>
      <c r="G64" t="n">
        <v>3.7</v>
      </c>
      <c r="H64" t="n">
        <v>0</v>
      </c>
      <c r="I64" t="n">
        <v>0</v>
      </c>
      <c r="J64" t="n">
        <v>0</v>
      </c>
      <c r="K64" t="n">
        <v>0</v>
      </c>
      <c r="L64" t="n">
        <v>0</v>
      </c>
      <c r="M64" t="n">
        <v>0</v>
      </c>
      <c r="N64" t="n">
        <v>0</v>
      </c>
      <c r="O64" t="n">
        <v>0</v>
      </c>
      <c r="P64" t="n">
        <v>0</v>
      </c>
      <c r="Q64" t="n">
        <v>0</v>
      </c>
      <c r="R64" s="2" t="inlineStr"/>
    </row>
    <row r="65" ht="15" customHeight="1">
      <c r="A65" t="inlineStr">
        <is>
          <t>A 68938-2020</t>
        </is>
      </c>
      <c r="B65" s="1" t="n">
        <v>44187</v>
      </c>
      <c r="C65" s="1" t="n">
        <v>45924</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8077-2022</t>
        </is>
      </c>
      <c r="B66" s="1" t="n">
        <v>44609</v>
      </c>
      <c r="C66" s="1" t="n">
        <v>45924</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47140-2024</t>
        </is>
      </c>
      <c r="B67" s="1" t="n">
        <v>45586.58753472222</v>
      </c>
      <c r="C67" s="1" t="n">
        <v>45924</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45924</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30902-2025</t>
        </is>
      </c>
      <c r="B69" s="1" t="n">
        <v>45832.36104166666</v>
      </c>
      <c r="C69" s="1" t="n">
        <v>45924</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45924</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68935-2020</t>
        </is>
      </c>
      <c r="B71" s="1" t="n">
        <v>44187</v>
      </c>
      <c r="C71" s="1" t="n">
        <v>45924</v>
      </c>
      <c r="D71" t="inlineStr">
        <is>
          <t>STOCKHOLMS LÄN</t>
        </is>
      </c>
      <c r="E71" t="inlineStr">
        <is>
          <t>VALLENTUNA</t>
        </is>
      </c>
      <c r="G71" t="n">
        <v>7.8</v>
      </c>
      <c r="H71" t="n">
        <v>0</v>
      </c>
      <c r="I71" t="n">
        <v>0</v>
      </c>
      <c r="J71" t="n">
        <v>0</v>
      </c>
      <c r="K71" t="n">
        <v>0</v>
      </c>
      <c r="L71" t="n">
        <v>0</v>
      </c>
      <c r="M71" t="n">
        <v>0</v>
      </c>
      <c r="N71" t="n">
        <v>0</v>
      </c>
      <c r="O71" t="n">
        <v>0</v>
      </c>
      <c r="P71" t="n">
        <v>0</v>
      </c>
      <c r="Q71" t="n">
        <v>0</v>
      </c>
      <c r="R71" s="2" t="inlineStr"/>
    </row>
    <row r="72" ht="15" customHeight="1">
      <c r="A72" t="inlineStr">
        <is>
          <t>A 28431-2025</t>
        </is>
      </c>
      <c r="B72" s="1" t="n">
        <v>45819.38072916667</v>
      </c>
      <c r="C72" s="1" t="n">
        <v>45924</v>
      </c>
      <c r="D72" t="inlineStr">
        <is>
          <t>STOCKHOLMS LÄN</t>
        </is>
      </c>
      <c r="E72" t="inlineStr">
        <is>
          <t>VALLENTUNA</t>
        </is>
      </c>
      <c r="G72" t="n">
        <v>1.5</v>
      </c>
      <c r="H72" t="n">
        <v>0</v>
      </c>
      <c r="I72" t="n">
        <v>0</v>
      </c>
      <c r="J72" t="n">
        <v>0</v>
      </c>
      <c r="K72" t="n">
        <v>0</v>
      </c>
      <c r="L72" t="n">
        <v>0</v>
      </c>
      <c r="M72" t="n">
        <v>0</v>
      </c>
      <c r="N72" t="n">
        <v>0</v>
      </c>
      <c r="O72" t="n">
        <v>0</v>
      </c>
      <c r="P72" t="n">
        <v>0</v>
      </c>
      <c r="Q72" t="n">
        <v>0</v>
      </c>
      <c r="R72" s="2" t="inlineStr"/>
    </row>
    <row r="73" ht="15" customHeight="1">
      <c r="A73" t="inlineStr">
        <is>
          <t>A 61655-2020</t>
        </is>
      </c>
      <c r="B73" s="1" t="n">
        <v>44158</v>
      </c>
      <c r="C73" s="1" t="n">
        <v>45924</v>
      </c>
      <c r="D73" t="inlineStr">
        <is>
          <t>STOCKHOLMS LÄN</t>
        </is>
      </c>
      <c r="E73" t="inlineStr">
        <is>
          <t>VALLENTUNA</t>
        </is>
      </c>
      <c r="G73" t="n">
        <v>1.6</v>
      </c>
      <c r="H73" t="n">
        <v>0</v>
      </c>
      <c r="I73" t="n">
        <v>0</v>
      </c>
      <c r="J73" t="n">
        <v>0</v>
      </c>
      <c r="K73" t="n">
        <v>0</v>
      </c>
      <c r="L73" t="n">
        <v>0</v>
      </c>
      <c r="M73" t="n">
        <v>0</v>
      </c>
      <c r="N73" t="n">
        <v>0</v>
      </c>
      <c r="O73" t="n">
        <v>0</v>
      </c>
      <c r="P73" t="n">
        <v>0</v>
      </c>
      <c r="Q73" t="n">
        <v>0</v>
      </c>
      <c r="R73" s="2" t="inlineStr"/>
    </row>
    <row r="74" ht="15" customHeight="1">
      <c r="A74" t="inlineStr">
        <is>
          <t>A 17342-2025</t>
        </is>
      </c>
      <c r="B74" s="1" t="n">
        <v>45756</v>
      </c>
      <c r="C74" s="1" t="n">
        <v>45924</v>
      </c>
      <c r="D74" t="inlineStr">
        <is>
          <t>STOCKHOLMS LÄN</t>
        </is>
      </c>
      <c r="E74" t="inlineStr">
        <is>
          <t>VALLENTUNA</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21765-2023</t>
        </is>
      </c>
      <c r="B75" s="1" t="n">
        <v>45064</v>
      </c>
      <c r="C75" s="1" t="n">
        <v>45924</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21614-2022</t>
        </is>
      </c>
      <c r="B76" s="1" t="n">
        <v>44706</v>
      </c>
      <c r="C76" s="1" t="n">
        <v>45924</v>
      </c>
      <c r="D76" t="inlineStr">
        <is>
          <t>STOCKHOLMS LÄN</t>
        </is>
      </c>
      <c r="E76" t="inlineStr">
        <is>
          <t>VALLENTUNA</t>
        </is>
      </c>
      <c r="G76" t="n">
        <v>4</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45924</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14480-2024</t>
        </is>
      </c>
      <c r="B78" s="1" t="n">
        <v>45394.56777777777</v>
      </c>
      <c r="C78" s="1" t="n">
        <v>45924</v>
      </c>
      <c r="D78" t="inlineStr">
        <is>
          <t>STOCKHOLMS LÄN</t>
        </is>
      </c>
      <c r="E78" t="inlineStr">
        <is>
          <t>VALLENTUNA</t>
        </is>
      </c>
      <c r="G78" t="n">
        <v>1.8</v>
      </c>
      <c r="H78" t="n">
        <v>0</v>
      </c>
      <c r="I78" t="n">
        <v>0</v>
      </c>
      <c r="J78" t="n">
        <v>0</v>
      </c>
      <c r="K78" t="n">
        <v>0</v>
      </c>
      <c r="L78" t="n">
        <v>0</v>
      </c>
      <c r="M78" t="n">
        <v>0</v>
      </c>
      <c r="N78" t="n">
        <v>0</v>
      </c>
      <c r="O78" t="n">
        <v>0</v>
      </c>
      <c r="P78" t="n">
        <v>0</v>
      </c>
      <c r="Q78" t="n">
        <v>0</v>
      </c>
      <c r="R78" s="2" t="inlineStr"/>
    </row>
    <row r="79" ht="15" customHeight="1">
      <c r="A79" t="inlineStr">
        <is>
          <t>A 23986-2023</t>
        </is>
      </c>
      <c r="B79" s="1" t="n">
        <v>45078</v>
      </c>
      <c r="C79" s="1" t="n">
        <v>45924</v>
      </c>
      <c r="D79" t="inlineStr">
        <is>
          <t>STOCKHOLMS LÄN</t>
        </is>
      </c>
      <c r="E79" t="inlineStr">
        <is>
          <t>VALLENTUNA</t>
        </is>
      </c>
      <c r="F79" t="inlineStr">
        <is>
          <t>Kyrkan</t>
        </is>
      </c>
      <c r="G79" t="n">
        <v>5.7</v>
      </c>
      <c r="H79" t="n">
        <v>0</v>
      </c>
      <c r="I79" t="n">
        <v>0</v>
      </c>
      <c r="J79" t="n">
        <v>0</v>
      </c>
      <c r="K79" t="n">
        <v>0</v>
      </c>
      <c r="L79" t="n">
        <v>0</v>
      </c>
      <c r="M79" t="n">
        <v>0</v>
      </c>
      <c r="N79" t="n">
        <v>0</v>
      </c>
      <c r="O79" t="n">
        <v>0</v>
      </c>
      <c r="P79" t="n">
        <v>0</v>
      </c>
      <c r="Q79" t="n">
        <v>0</v>
      </c>
      <c r="R79" s="2" t="inlineStr"/>
    </row>
    <row r="80" ht="15" customHeight="1">
      <c r="A80" t="inlineStr">
        <is>
          <t>A 17340-2025</t>
        </is>
      </c>
      <c r="B80" s="1" t="n">
        <v>45756</v>
      </c>
      <c r="C80" s="1" t="n">
        <v>45924</v>
      </c>
      <c r="D80" t="inlineStr">
        <is>
          <t>STOCKHOLMS LÄN</t>
        </is>
      </c>
      <c r="E80" t="inlineStr">
        <is>
          <t>VALLENTUNA</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56152-2024</t>
        </is>
      </c>
      <c r="B81" s="1" t="n">
        <v>45624.52403935185</v>
      </c>
      <c r="C81" s="1" t="n">
        <v>45924</v>
      </c>
      <c r="D81" t="inlineStr">
        <is>
          <t>STOCKHOLMS LÄN</t>
        </is>
      </c>
      <c r="E81" t="inlineStr">
        <is>
          <t>VALLENTUNA</t>
        </is>
      </c>
      <c r="G81" t="n">
        <v>1.6</v>
      </c>
      <c r="H81" t="n">
        <v>0</v>
      </c>
      <c r="I81" t="n">
        <v>0</v>
      </c>
      <c r="J81" t="n">
        <v>0</v>
      </c>
      <c r="K81" t="n">
        <v>0</v>
      </c>
      <c r="L81" t="n">
        <v>0</v>
      </c>
      <c r="M81" t="n">
        <v>0</v>
      </c>
      <c r="N81" t="n">
        <v>0</v>
      </c>
      <c r="O81" t="n">
        <v>0</v>
      </c>
      <c r="P81" t="n">
        <v>0</v>
      </c>
      <c r="Q81" t="n">
        <v>0</v>
      </c>
      <c r="R81" s="2" t="inlineStr"/>
    </row>
    <row r="82" ht="15" customHeight="1">
      <c r="A82" t="inlineStr">
        <is>
          <t>A 30913-2021</t>
        </is>
      </c>
      <c r="B82" s="1" t="n">
        <v>44365</v>
      </c>
      <c r="C82" s="1" t="n">
        <v>45924</v>
      </c>
      <c r="D82" t="inlineStr">
        <is>
          <t>STOCKHOLMS LÄN</t>
        </is>
      </c>
      <c r="E82" t="inlineStr">
        <is>
          <t>VALLENTUNA</t>
        </is>
      </c>
      <c r="F82" t="inlineStr">
        <is>
          <t>Övriga Aktiebolag</t>
        </is>
      </c>
      <c r="G82" t="n">
        <v>3.3</v>
      </c>
      <c r="H82" t="n">
        <v>0</v>
      </c>
      <c r="I82" t="n">
        <v>0</v>
      </c>
      <c r="J82" t="n">
        <v>0</v>
      </c>
      <c r="K82" t="n">
        <v>0</v>
      </c>
      <c r="L82" t="n">
        <v>0</v>
      </c>
      <c r="M82" t="n">
        <v>0</v>
      </c>
      <c r="N82" t="n">
        <v>0</v>
      </c>
      <c r="O82" t="n">
        <v>0</v>
      </c>
      <c r="P82" t="n">
        <v>0</v>
      </c>
      <c r="Q82" t="n">
        <v>0</v>
      </c>
      <c r="R82" s="2" t="inlineStr"/>
    </row>
    <row r="83" ht="15" customHeight="1">
      <c r="A83" t="inlineStr">
        <is>
          <t>A 45496-2023</t>
        </is>
      </c>
      <c r="B83" s="1" t="n">
        <v>45194</v>
      </c>
      <c r="C83" s="1" t="n">
        <v>45924</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34458-2023</t>
        </is>
      </c>
      <c r="B84" s="1" t="n">
        <v>45139</v>
      </c>
      <c r="C84" s="1" t="n">
        <v>45924</v>
      </c>
      <c r="D84" t="inlineStr">
        <is>
          <t>STOCKHOLMS LÄN</t>
        </is>
      </c>
      <c r="E84" t="inlineStr">
        <is>
          <t>VALLENTUNA</t>
        </is>
      </c>
      <c r="G84" t="n">
        <v>2.5</v>
      </c>
      <c r="H84" t="n">
        <v>0</v>
      </c>
      <c r="I84" t="n">
        <v>0</v>
      </c>
      <c r="J84" t="n">
        <v>0</v>
      </c>
      <c r="K84" t="n">
        <v>0</v>
      </c>
      <c r="L84" t="n">
        <v>0</v>
      </c>
      <c r="M84" t="n">
        <v>0</v>
      </c>
      <c r="N84" t="n">
        <v>0</v>
      </c>
      <c r="O84" t="n">
        <v>0</v>
      </c>
      <c r="P84" t="n">
        <v>0</v>
      </c>
      <c r="Q84" t="n">
        <v>0</v>
      </c>
      <c r="R84" s="2" t="inlineStr"/>
    </row>
    <row r="85" ht="15" customHeight="1">
      <c r="A85" t="inlineStr">
        <is>
          <t>A 29704-2023</t>
        </is>
      </c>
      <c r="B85" s="1" t="n">
        <v>45107</v>
      </c>
      <c r="C85" s="1" t="n">
        <v>45924</v>
      </c>
      <c r="D85" t="inlineStr">
        <is>
          <t>STOCKHOLMS LÄN</t>
        </is>
      </c>
      <c r="E85" t="inlineStr">
        <is>
          <t>VALLENTUNA</t>
        </is>
      </c>
      <c r="G85" t="n">
        <v>3.7</v>
      </c>
      <c r="H85" t="n">
        <v>0</v>
      </c>
      <c r="I85" t="n">
        <v>0</v>
      </c>
      <c r="J85" t="n">
        <v>0</v>
      </c>
      <c r="K85" t="n">
        <v>0</v>
      </c>
      <c r="L85" t="n">
        <v>0</v>
      </c>
      <c r="M85" t="n">
        <v>0</v>
      </c>
      <c r="N85" t="n">
        <v>0</v>
      </c>
      <c r="O85" t="n">
        <v>0</v>
      </c>
      <c r="P85" t="n">
        <v>0</v>
      </c>
      <c r="Q85" t="n">
        <v>0</v>
      </c>
      <c r="R85" s="2" t="inlineStr"/>
    </row>
    <row r="86" ht="15" customHeight="1">
      <c r="A86" t="inlineStr">
        <is>
          <t>A 41206-2025</t>
        </is>
      </c>
      <c r="B86" s="1" t="n">
        <v>45898</v>
      </c>
      <c r="C86" s="1" t="n">
        <v>45924</v>
      </c>
      <c r="D86" t="inlineStr">
        <is>
          <t>STOCKHOLMS LÄN</t>
        </is>
      </c>
      <c r="E86" t="inlineStr">
        <is>
          <t>VALLENTUNA</t>
        </is>
      </c>
      <c r="G86" t="n">
        <v>10</v>
      </c>
      <c r="H86" t="n">
        <v>0</v>
      </c>
      <c r="I86" t="n">
        <v>0</v>
      </c>
      <c r="J86" t="n">
        <v>0</v>
      </c>
      <c r="K86" t="n">
        <v>0</v>
      </c>
      <c r="L86" t="n">
        <v>0</v>
      </c>
      <c r="M86" t="n">
        <v>0</v>
      </c>
      <c r="N86" t="n">
        <v>0</v>
      </c>
      <c r="O86" t="n">
        <v>0</v>
      </c>
      <c r="P86" t="n">
        <v>0</v>
      </c>
      <c r="Q86" t="n">
        <v>0</v>
      </c>
      <c r="R86" s="2" t="inlineStr"/>
    </row>
    <row r="87" ht="15" customHeight="1">
      <c r="A87" t="inlineStr">
        <is>
          <t>A 24068-2024</t>
        </is>
      </c>
      <c r="B87" s="1" t="n">
        <v>45456</v>
      </c>
      <c r="C87" s="1" t="n">
        <v>45924</v>
      </c>
      <c r="D87" t="inlineStr">
        <is>
          <t>STOCKHOLMS LÄN</t>
        </is>
      </c>
      <c r="E87" t="inlineStr">
        <is>
          <t>VALLENTUNA</t>
        </is>
      </c>
      <c r="G87" t="n">
        <v>7.4</v>
      </c>
      <c r="H87" t="n">
        <v>0</v>
      </c>
      <c r="I87" t="n">
        <v>0</v>
      </c>
      <c r="J87" t="n">
        <v>0</v>
      </c>
      <c r="K87" t="n">
        <v>0</v>
      </c>
      <c r="L87" t="n">
        <v>0</v>
      </c>
      <c r="M87" t="n">
        <v>0</v>
      </c>
      <c r="N87" t="n">
        <v>0</v>
      </c>
      <c r="O87" t="n">
        <v>0</v>
      </c>
      <c r="P87" t="n">
        <v>0</v>
      </c>
      <c r="Q87" t="n">
        <v>0</v>
      </c>
      <c r="R87" s="2" t="inlineStr"/>
    </row>
    <row r="88" ht="15" customHeight="1">
      <c r="A88" t="inlineStr">
        <is>
          <t>A 42613-2025</t>
        </is>
      </c>
      <c r="B88" s="1" t="n">
        <v>45905.70616898148</v>
      </c>
      <c r="C88" s="1" t="n">
        <v>45924</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3937-2022</t>
        </is>
      </c>
      <c r="B89" s="1" t="n">
        <v>44587</v>
      </c>
      <c r="C89" s="1" t="n">
        <v>45924</v>
      </c>
      <c r="D89" t="inlineStr">
        <is>
          <t>STOCKHOLMS LÄN</t>
        </is>
      </c>
      <c r="E89" t="inlineStr">
        <is>
          <t>VALLENTUNA</t>
        </is>
      </c>
      <c r="G89" t="n">
        <v>6.6</v>
      </c>
      <c r="H89" t="n">
        <v>0</v>
      </c>
      <c r="I89" t="n">
        <v>0</v>
      </c>
      <c r="J89" t="n">
        <v>0</v>
      </c>
      <c r="K89" t="n">
        <v>0</v>
      </c>
      <c r="L89" t="n">
        <v>0</v>
      </c>
      <c r="M89" t="n">
        <v>0</v>
      </c>
      <c r="N89" t="n">
        <v>0</v>
      </c>
      <c r="O89" t="n">
        <v>0</v>
      </c>
      <c r="P89" t="n">
        <v>0</v>
      </c>
      <c r="Q89" t="n">
        <v>0</v>
      </c>
      <c r="R89" s="2" t="inlineStr"/>
    </row>
    <row r="90" ht="15" customHeight="1">
      <c r="A90" t="inlineStr">
        <is>
          <t>A 23013-2024</t>
        </is>
      </c>
      <c r="B90" s="1" t="n">
        <v>45450.35116898148</v>
      </c>
      <c r="C90" s="1" t="n">
        <v>45924</v>
      </c>
      <c r="D90" t="inlineStr">
        <is>
          <t>STOCKHOLMS LÄN</t>
        </is>
      </c>
      <c r="E90" t="inlineStr">
        <is>
          <t>VALLENTUNA</t>
        </is>
      </c>
      <c r="G90" t="n">
        <v>0.4</v>
      </c>
      <c r="H90" t="n">
        <v>0</v>
      </c>
      <c r="I90" t="n">
        <v>0</v>
      </c>
      <c r="J90" t="n">
        <v>0</v>
      </c>
      <c r="K90" t="n">
        <v>0</v>
      </c>
      <c r="L90" t="n">
        <v>0</v>
      </c>
      <c r="M90" t="n">
        <v>0</v>
      </c>
      <c r="N90" t="n">
        <v>0</v>
      </c>
      <c r="O90" t="n">
        <v>0</v>
      </c>
      <c r="P90" t="n">
        <v>0</v>
      </c>
      <c r="Q90" t="n">
        <v>0</v>
      </c>
      <c r="R90" s="2" t="inlineStr"/>
    </row>
    <row r="91" ht="15" customHeight="1">
      <c r="A91" t="inlineStr">
        <is>
          <t>A 3078-2023</t>
        </is>
      </c>
      <c r="B91" s="1" t="n">
        <v>44946.41527777778</v>
      </c>
      <c r="C91" s="1" t="n">
        <v>45924</v>
      </c>
      <c r="D91" t="inlineStr">
        <is>
          <t>STOCKHOLMS LÄN</t>
        </is>
      </c>
      <c r="E91" t="inlineStr">
        <is>
          <t>VALLENTUNA</t>
        </is>
      </c>
      <c r="G91" t="n">
        <v>3.9</v>
      </c>
      <c r="H91" t="n">
        <v>0</v>
      </c>
      <c r="I91" t="n">
        <v>0</v>
      </c>
      <c r="J91" t="n">
        <v>0</v>
      </c>
      <c r="K91" t="n">
        <v>0</v>
      </c>
      <c r="L91" t="n">
        <v>0</v>
      </c>
      <c r="M91" t="n">
        <v>0</v>
      </c>
      <c r="N91" t="n">
        <v>0</v>
      </c>
      <c r="O91" t="n">
        <v>0</v>
      </c>
      <c r="P91" t="n">
        <v>0</v>
      </c>
      <c r="Q91" t="n">
        <v>0</v>
      </c>
      <c r="R91" s="2" t="inlineStr"/>
    </row>
    <row r="92" ht="15" customHeight="1">
      <c r="A92" t="inlineStr">
        <is>
          <t>A 12609-2024</t>
        </is>
      </c>
      <c r="B92" s="1" t="n">
        <v>45382.8109375</v>
      </c>
      <c r="C92" s="1" t="n">
        <v>45924</v>
      </c>
      <c r="D92" t="inlineStr">
        <is>
          <t>STOCKHOLMS LÄN</t>
        </is>
      </c>
      <c r="E92" t="inlineStr">
        <is>
          <t>VALLENTUNA</t>
        </is>
      </c>
      <c r="G92" t="n">
        <v>0.9</v>
      </c>
      <c r="H92" t="n">
        <v>0</v>
      </c>
      <c r="I92" t="n">
        <v>0</v>
      </c>
      <c r="J92" t="n">
        <v>0</v>
      </c>
      <c r="K92" t="n">
        <v>0</v>
      </c>
      <c r="L92" t="n">
        <v>0</v>
      </c>
      <c r="M92" t="n">
        <v>0</v>
      </c>
      <c r="N92" t="n">
        <v>0</v>
      </c>
      <c r="O92" t="n">
        <v>0</v>
      </c>
      <c r="P92" t="n">
        <v>0</v>
      </c>
      <c r="Q92" t="n">
        <v>0</v>
      </c>
      <c r="R92" s="2" t="inlineStr"/>
    </row>
    <row r="93" ht="15" customHeight="1">
      <c r="A93" t="inlineStr">
        <is>
          <t>A 6593-2021</t>
        </is>
      </c>
      <c r="B93" s="1" t="n">
        <v>44236</v>
      </c>
      <c r="C93" s="1" t="n">
        <v>45924</v>
      </c>
      <c r="D93" t="inlineStr">
        <is>
          <t>STOCKHOLMS LÄN</t>
        </is>
      </c>
      <c r="E93" t="inlineStr">
        <is>
          <t>VALLENTUNA</t>
        </is>
      </c>
      <c r="G93" t="n">
        <v>2.3</v>
      </c>
      <c r="H93" t="n">
        <v>0</v>
      </c>
      <c r="I93" t="n">
        <v>0</v>
      </c>
      <c r="J93" t="n">
        <v>0</v>
      </c>
      <c r="K93" t="n">
        <v>0</v>
      </c>
      <c r="L93" t="n">
        <v>0</v>
      </c>
      <c r="M93" t="n">
        <v>0</v>
      </c>
      <c r="N93" t="n">
        <v>0</v>
      </c>
      <c r="O93" t="n">
        <v>0</v>
      </c>
      <c r="P93" t="n">
        <v>0</v>
      </c>
      <c r="Q93" t="n">
        <v>0</v>
      </c>
      <c r="R93" s="2" t="inlineStr"/>
    </row>
    <row r="94" ht="15" customHeight="1">
      <c r="A94" t="inlineStr">
        <is>
          <t>A 48717-2024</t>
        </is>
      </c>
      <c r="B94" s="1" t="n">
        <v>45593</v>
      </c>
      <c r="C94" s="1" t="n">
        <v>45924</v>
      </c>
      <c r="D94" t="inlineStr">
        <is>
          <t>STOCKHOLMS LÄN</t>
        </is>
      </c>
      <c r="E94" t="inlineStr">
        <is>
          <t>VALLENTUNA</t>
        </is>
      </c>
      <c r="G94" t="n">
        <v>6.2</v>
      </c>
      <c r="H94" t="n">
        <v>0</v>
      </c>
      <c r="I94" t="n">
        <v>0</v>
      </c>
      <c r="J94" t="n">
        <v>0</v>
      </c>
      <c r="K94" t="n">
        <v>0</v>
      </c>
      <c r="L94" t="n">
        <v>0</v>
      </c>
      <c r="M94" t="n">
        <v>0</v>
      </c>
      <c r="N94" t="n">
        <v>0</v>
      </c>
      <c r="O94" t="n">
        <v>0</v>
      </c>
      <c r="P94" t="n">
        <v>0</v>
      </c>
      <c r="Q94" t="n">
        <v>0</v>
      </c>
      <c r="R94" s="2" t="inlineStr"/>
    </row>
    <row r="95" ht="15" customHeight="1">
      <c r="A95" t="inlineStr">
        <is>
          <t>A 13836-2022</t>
        </is>
      </c>
      <c r="B95" s="1" t="n">
        <v>44649</v>
      </c>
      <c r="C95" s="1" t="n">
        <v>45924</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45924</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45924</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27868-2025</t>
        </is>
      </c>
      <c r="B98" s="1" t="n">
        <v>45817</v>
      </c>
      <c r="C98" s="1" t="n">
        <v>45924</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44988-2025</t>
        </is>
      </c>
      <c r="B99" s="1" t="n">
        <v>45918.65505787037</v>
      </c>
      <c r="C99" s="1" t="n">
        <v>45924</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21612-2021</t>
        </is>
      </c>
      <c r="B100" s="1" t="n">
        <v>44321</v>
      </c>
      <c r="C100" s="1" t="n">
        <v>45924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4803-2024</t>
        </is>
      </c>
      <c r="B101" s="1" t="n">
        <v>45328</v>
      </c>
      <c r="C101" s="1" t="n">
        <v>45924</v>
      </c>
      <c r="D101" t="inlineStr">
        <is>
          <t>STOCKHOLMS LÄN</t>
        </is>
      </c>
      <c r="E101" t="inlineStr">
        <is>
          <t>VALLENTUNA</t>
        </is>
      </c>
      <c r="G101" t="n">
        <v>4.6</v>
      </c>
      <c r="H101" t="n">
        <v>0</v>
      </c>
      <c r="I101" t="n">
        <v>0</v>
      </c>
      <c r="J101" t="n">
        <v>0</v>
      </c>
      <c r="K101" t="n">
        <v>0</v>
      </c>
      <c r="L101" t="n">
        <v>0</v>
      </c>
      <c r="M101" t="n">
        <v>0</v>
      </c>
      <c r="N101" t="n">
        <v>0</v>
      </c>
      <c r="O101" t="n">
        <v>0</v>
      </c>
      <c r="P101" t="n">
        <v>0</v>
      </c>
      <c r="Q101" t="n">
        <v>0</v>
      </c>
      <c r="R101" s="2" t="inlineStr"/>
    </row>
    <row r="102" ht="15" customHeight="1">
      <c r="A102" t="inlineStr">
        <is>
          <t>A 24707-2023</t>
        </is>
      </c>
      <c r="B102" s="1" t="n">
        <v>45084</v>
      </c>
      <c r="C102" s="1" t="n">
        <v>45924</v>
      </c>
      <c r="D102" t="inlineStr">
        <is>
          <t>STOCKHOLMS LÄN</t>
        </is>
      </c>
      <c r="E102" t="inlineStr">
        <is>
          <t>VALLENTUNA</t>
        </is>
      </c>
      <c r="G102" t="n">
        <v>1.1</v>
      </c>
      <c r="H102" t="n">
        <v>0</v>
      </c>
      <c r="I102" t="n">
        <v>0</v>
      </c>
      <c r="J102" t="n">
        <v>0</v>
      </c>
      <c r="K102" t="n">
        <v>0</v>
      </c>
      <c r="L102" t="n">
        <v>0</v>
      </c>
      <c r="M102" t="n">
        <v>0</v>
      </c>
      <c r="N102" t="n">
        <v>0</v>
      </c>
      <c r="O102" t="n">
        <v>0</v>
      </c>
      <c r="P102" t="n">
        <v>0</v>
      </c>
      <c r="Q102" t="n">
        <v>0</v>
      </c>
      <c r="R102" s="2" t="inlineStr"/>
    </row>
    <row r="103" ht="15" customHeight="1">
      <c r="A103" t="inlineStr">
        <is>
          <t>A 3698-2022</t>
        </is>
      </c>
      <c r="B103" s="1" t="n">
        <v>44586</v>
      </c>
      <c r="C103" s="1" t="n">
        <v>45924</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38102-2024</t>
        </is>
      </c>
      <c r="B104" s="1" t="n">
        <v>45545.36349537037</v>
      </c>
      <c r="C104" s="1" t="n">
        <v>45924</v>
      </c>
      <c r="D104" t="inlineStr">
        <is>
          <t>STOCKHOLMS LÄN</t>
        </is>
      </c>
      <c r="E104" t="inlineStr">
        <is>
          <t>VALLENTUNA</t>
        </is>
      </c>
      <c r="G104" t="n">
        <v>3.2</v>
      </c>
      <c r="H104" t="n">
        <v>0</v>
      </c>
      <c r="I104" t="n">
        <v>0</v>
      </c>
      <c r="J104" t="n">
        <v>0</v>
      </c>
      <c r="K104" t="n">
        <v>0</v>
      </c>
      <c r="L104" t="n">
        <v>0</v>
      </c>
      <c r="M104" t="n">
        <v>0</v>
      </c>
      <c r="N104" t="n">
        <v>0</v>
      </c>
      <c r="O104" t="n">
        <v>0</v>
      </c>
      <c r="P104" t="n">
        <v>0</v>
      </c>
      <c r="Q104" t="n">
        <v>0</v>
      </c>
      <c r="R104" s="2" t="inlineStr"/>
    </row>
    <row r="105" ht="15" customHeight="1">
      <c r="A105" t="inlineStr">
        <is>
          <t>A 12234-2022</t>
        </is>
      </c>
      <c r="B105" s="1" t="n">
        <v>44637</v>
      </c>
      <c r="C105" s="1" t="n">
        <v>45924</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45924</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62402-2022</t>
        </is>
      </c>
      <c r="B107" s="1" t="n">
        <v>44923</v>
      </c>
      <c r="C107" s="1" t="n">
        <v>45924</v>
      </c>
      <c r="D107" t="inlineStr">
        <is>
          <t>STOCKHOLMS LÄN</t>
        </is>
      </c>
      <c r="E107" t="inlineStr">
        <is>
          <t>VALLENTUNA</t>
        </is>
      </c>
      <c r="G107" t="n">
        <v>3.8</v>
      </c>
      <c r="H107" t="n">
        <v>0</v>
      </c>
      <c r="I107" t="n">
        <v>0</v>
      </c>
      <c r="J107" t="n">
        <v>0</v>
      </c>
      <c r="K107" t="n">
        <v>0</v>
      </c>
      <c r="L107" t="n">
        <v>0</v>
      </c>
      <c r="M107" t="n">
        <v>0</v>
      </c>
      <c r="N107" t="n">
        <v>0</v>
      </c>
      <c r="O107" t="n">
        <v>0</v>
      </c>
      <c r="P107" t="n">
        <v>0</v>
      </c>
      <c r="Q107" t="n">
        <v>0</v>
      </c>
      <c r="R107" s="2" t="inlineStr"/>
    </row>
    <row r="108" ht="15" customHeight="1">
      <c r="A108" t="inlineStr">
        <is>
          <t>A 5910-2022</t>
        </is>
      </c>
      <c r="B108" s="1" t="n">
        <v>44597</v>
      </c>
      <c r="C108" s="1" t="n">
        <v>45924</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24994-2021</t>
        </is>
      </c>
      <c r="B109" s="1" t="n">
        <v>44341</v>
      </c>
      <c r="C109" s="1" t="n">
        <v>45924</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60795-2023</t>
        </is>
      </c>
      <c r="B110" s="1" t="n">
        <v>45260</v>
      </c>
      <c r="C110" s="1" t="n">
        <v>45924</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60997-2022</t>
        </is>
      </c>
      <c r="B111" s="1" t="n">
        <v>44914.70746527778</v>
      </c>
      <c r="C111" s="1" t="n">
        <v>45924</v>
      </c>
      <c r="D111" t="inlineStr">
        <is>
          <t>STOCKHOLMS LÄN</t>
        </is>
      </c>
      <c r="E111" t="inlineStr">
        <is>
          <t>VALLENTUNA</t>
        </is>
      </c>
      <c r="G111" t="n">
        <v>1.8</v>
      </c>
      <c r="H111" t="n">
        <v>0</v>
      </c>
      <c r="I111" t="n">
        <v>0</v>
      </c>
      <c r="J111" t="n">
        <v>0</v>
      </c>
      <c r="K111" t="n">
        <v>0</v>
      </c>
      <c r="L111" t="n">
        <v>0</v>
      </c>
      <c r="M111" t="n">
        <v>0</v>
      </c>
      <c r="N111" t="n">
        <v>0</v>
      </c>
      <c r="O111" t="n">
        <v>0</v>
      </c>
      <c r="P111" t="n">
        <v>0</v>
      </c>
      <c r="Q111" t="n">
        <v>0</v>
      </c>
      <c r="R111" s="2" t="inlineStr"/>
    </row>
    <row r="112" ht="15" customHeight="1">
      <c r="A112" t="inlineStr">
        <is>
          <t>A 22683-2023</t>
        </is>
      </c>
      <c r="B112" s="1" t="n">
        <v>45071</v>
      </c>
      <c r="C112" s="1" t="n">
        <v>45924</v>
      </c>
      <c r="D112" t="inlineStr">
        <is>
          <t>STOCKHOLMS LÄN</t>
        </is>
      </c>
      <c r="E112" t="inlineStr">
        <is>
          <t>VALLENTUNA</t>
        </is>
      </c>
      <c r="G112" t="n">
        <v>1.2</v>
      </c>
      <c r="H112" t="n">
        <v>0</v>
      </c>
      <c r="I112" t="n">
        <v>0</v>
      </c>
      <c r="J112" t="n">
        <v>0</v>
      </c>
      <c r="K112" t="n">
        <v>0</v>
      </c>
      <c r="L112" t="n">
        <v>0</v>
      </c>
      <c r="M112" t="n">
        <v>0</v>
      </c>
      <c r="N112" t="n">
        <v>0</v>
      </c>
      <c r="O112" t="n">
        <v>0</v>
      </c>
      <c r="P112" t="n">
        <v>0</v>
      </c>
      <c r="Q112" t="n">
        <v>0</v>
      </c>
      <c r="R112" s="2" t="inlineStr"/>
    </row>
    <row r="113" ht="15" customHeight="1">
      <c r="A113" t="inlineStr">
        <is>
          <t>A 14775-2024</t>
        </is>
      </c>
      <c r="B113" s="1" t="n">
        <v>45397.73675925926</v>
      </c>
      <c r="C113" s="1" t="n">
        <v>45924</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17411-2023</t>
        </is>
      </c>
      <c r="B114" s="1" t="n">
        <v>45035.82512731481</v>
      </c>
      <c r="C114" s="1" t="n">
        <v>45924</v>
      </c>
      <c r="D114" t="inlineStr">
        <is>
          <t>STOCKHOLMS LÄN</t>
        </is>
      </c>
      <c r="E114" t="inlineStr">
        <is>
          <t>VALLENTUNA</t>
        </is>
      </c>
      <c r="G114" t="n">
        <v>0.7</v>
      </c>
      <c r="H114" t="n">
        <v>0</v>
      </c>
      <c r="I114" t="n">
        <v>0</v>
      </c>
      <c r="J114" t="n">
        <v>0</v>
      </c>
      <c r="K114" t="n">
        <v>0</v>
      </c>
      <c r="L114" t="n">
        <v>0</v>
      </c>
      <c r="M114" t="n">
        <v>0</v>
      </c>
      <c r="N114" t="n">
        <v>0</v>
      </c>
      <c r="O114" t="n">
        <v>0</v>
      </c>
      <c r="P114" t="n">
        <v>0</v>
      </c>
      <c r="Q114" t="n">
        <v>0</v>
      </c>
      <c r="R114" s="2" t="inlineStr"/>
    </row>
    <row r="115" ht="15" customHeight="1">
      <c r="A115" t="inlineStr">
        <is>
          <t>A 8565-2025</t>
        </is>
      </c>
      <c r="B115" s="1" t="n">
        <v>45709</v>
      </c>
      <c r="C115" s="1" t="n">
        <v>45924</v>
      </c>
      <c r="D115" t="inlineStr">
        <is>
          <t>STOCKHOLMS LÄN</t>
        </is>
      </c>
      <c r="E115" t="inlineStr">
        <is>
          <t>VALLENTUNA</t>
        </is>
      </c>
      <c r="F115" t="inlineStr">
        <is>
          <t>Kommuner</t>
        </is>
      </c>
      <c r="G115" t="n">
        <v>4.2</v>
      </c>
      <c r="H115" t="n">
        <v>0</v>
      </c>
      <c r="I115" t="n">
        <v>0</v>
      </c>
      <c r="J115" t="n">
        <v>0</v>
      </c>
      <c r="K115" t="n">
        <v>0</v>
      </c>
      <c r="L115" t="n">
        <v>0</v>
      </c>
      <c r="M115" t="n">
        <v>0</v>
      </c>
      <c r="N115" t="n">
        <v>0</v>
      </c>
      <c r="O115" t="n">
        <v>0</v>
      </c>
      <c r="P115" t="n">
        <v>0</v>
      </c>
      <c r="Q115" t="n">
        <v>0</v>
      </c>
      <c r="R115" s="2" t="inlineStr"/>
    </row>
    <row r="116" ht="15" customHeight="1">
      <c r="A116" t="inlineStr">
        <is>
          <t>A 8787-2024</t>
        </is>
      </c>
      <c r="B116" s="1" t="n">
        <v>45356</v>
      </c>
      <c r="C116" s="1" t="n">
        <v>45924</v>
      </c>
      <c r="D116" t="inlineStr">
        <is>
          <t>STOCKHOLMS LÄN</t>
        </is>
      </c>
      <c r="E116" t="inlineStr">
        <is>
          <t>VALLENTUNA</t>
        </is>
      </c>
      <c r="G116" t="n">
        <v>1.2</v>
      </c>
      <c r="H116" t="n">
        <v>0</v>
      </c>
      <c r="I116" t="n">
        <v>0</v>
      </c>
      <c r="J116" t="n">
        <v>0</v>
      </c>
      <c r="K116" t="n">
        <v>0</v>
      </c>
      <c r="L116" t="n">
        <v>0</v>
      </c>
      <c r="M116" t="n">
        <v>0</v>
      </c>
      <c r="N116" t="n">
        <v>0</v>
      </c>
      <c r="O116" t="n">
        <v>0</v>
      </c>
      <c r="P116" t="n">
        <v>0</v>
      </c>
      <c r="Q116" t="n">
        <v>0</v>
      </c>
      <c r="R116" s="2" t="inlineStr"/>
    </row>
    <row r="117" ht="15" customHeight="1">
      <c r="A117" t="inlineStr">
        <is>
          <t>A 14782-2024</t>
        </is>
      </c>
      <c r="B117" s="1" t="n">
        <v>45397.74266203704</v>
      </c>
      <c r="C117" s="1" t="n">
        <v>45924</v>
      </c>
      <c r="D117" t="inlineStr">
        <is>
          <t>STOCKHOLMS LÄN</t>
        </is>
      </c>
      <c r="E117" t="inlineStr">
        <is>
          <t>VALLENTUNA</t>
        </is>
      </c>
      <c r="G117" t="n">
        <v>3.1</v>
      </c>
      <c r="H117" t="n">
        <v>0</v>
      </c>
      <c r="I117" t="n">
        <v>0</v>
      </c>
      <c r="J117" t="n">
        <v>0</v>
      </c>
      <c r="K117" t="n">
        <v>0</v>
      </c>
      <c r="L117" t="n">
        <v>0</v>
      </c>
      <c r="M117" t="n">
        <v>0</v>
      </c>
      <c r="N117" t="n">
        <v>0</v>
      </c>
      <c r="O117" t="n">
        <v>0</v>
      </c>
      <c r="P117" t="n">
        <v>0</v>
      </c>
      <c r="Q117" t="n">
        <v>0</v>
      </c>
      <c r="R117" s="2" t="inlineStr"/>
    </row>
    <row r="118" ht="15" customHeight="1">
      <c r="A118" t="inlineStr">
        <is>
          <t>A 52562-2023</t>
        </is>
      </c>
      <c r="B118" s="1" t="n">
        <v>45225</v>
      </c>
      <c r="C118" s="1" t="n">
        <v>45924</v>
      </c>
      <c r="D118" t="inlineStr">
        <is>
          <t>STOCKHOLMS LÄN</t>
        </is>
      </c>
      <c r="E118" t="inlineStr">
        <is>
          <t>VALLENTUNA</t>
        </is>
      </c>
      <c r="G118" t="n">
        <v>3.4</v>
      </c>
      <c r="H118" t="n">
        <v>0</v>
      </c>
      <c r="I118" t="n">
        <v>0</v>
      </c>
      <c r="J118" t="n">
        <v>0</v>
      </c>
      <c r="K118" t="n">
        <v>0</v>
      </c>
      <c r="L118" t="n">
        <v>0</v>
      </c>
      <c r="M118" t="n">
        <v>0</v>
      </c>
      <c r="N118" t="n">
        <v>0</v>
      </c>
      <c r="O118" t="n">
        <v>0</v>
      </c>
      <c r="P118" t="n">
        <v>0</v>
      </c>
      <c r="Q118" t="n">
        <v>0</v>
      </c>
      <c r="R118" s="2" t="inlineStr"/>
    </row>
    <row r="119" ht="15" customHeight="1">
      <c r="A119" t="inlineStr">
        <is>
          <t>A 49530-2023</t>
        </is>
      </c>
      <c r="B119" s="1" t="n">
        <v>45205</v>
      </c>
      <c r="C119" s="1" t="n">
        <v>45924</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1385-2024</t>
        </is>
      </c>
      <c r="B120" s="1" t="n">
        <v>45303</v>
      </c>
      <c r="C120" s="1" t="n">
        <v>45924</v>
      </c>
      <c r="D120" t="inlineStr">
        <is>
          <t>STOCKHOLMS LÄN</t>
        </is>
      </c>
      <c r="E120" t="inlineStr">
        <is>
          <t>VALLENTUNA</t>
        </is>
      </c>
      <c r="G120" t="n">
        <v>2.6</v>
      </c>
      <c r="H120" t="n">
        <v>0</v>
      </c>
      <c r="I120" t="n">
        <v>0</v>
      </c>
      <c r="J120" t="n">
        <v>0</v>
      </c>
      <c r="K120" t="n">
        <v>0</v>
      </c>
      <c r="L120" t="n">
        <v>0</v>
      </c>
      <c r="M120" t="n">
        <v>0</v>
      </c>
      <c r="N120" t="n">
        <v>0</v>
      </c>
      <c r="O120" t="n">
        <v>0</v>
      </c>
      <c r="P120" t="n">
        <v>0</v>
      </c>
      <c r="Q120" t="n">
        <v>0</v>
      </c>
      <c r="R120" s="2" t="inlineStr"/>
    </row>
    <row r="121" ht="15" customHeight="1">
      <c r="A121" t="inlineStr">
        <is>
          <t>A 52542-2023</t>
        </is>
      </c>
      <c r="B121" s="1" t="n">
        <v>45225</v>
      </c>
      <c r="C121" s="1" t="n">
        <v>45924</v>
      </c>
      <c r="D121" t="inlineStr">
        <is>
          <t>STOCKHOLMS LÄN</t>
        </is>
      </c>
      <c r="E121" t="inlineStr">
        <is>
          <t>VALLENTUNA</t>
        </is>
      </c>
      <c r="G121" t="n">
        <v>3.8</v>
      </c>
      <c r="H121" t="n">
        <v>0</v>
      </c>
      <c r="I121" t="n">
        <v>0</v>
      </c>
      <c r="J121" t="n">
        <v>0</v>
      </c>
      <c r="K121" t="n">
        <v>0</v>
      </c>
      <c r="L121" t="n">
        <v>0</v>
      </c>
      <c r="M121" t="n">
        <v>0</v>
      </c>
      <c r="N121" t="n">
        <v>0</v>
      </c>
      <c r="O121" t="n">
        <v>0</v>
      </c>
      <c r="P121" t="n">
        <v>0</v>
      </c>
      <c r="Q121" t="n">
        <v>0</v>
      </c>
      <c r="R121" s="2" t="inlineStr"/>
    </row>
    <row r="122" ht="15" customHeight="1">
      <c r="A122" t="inlineStr">
        <is>
          <t>A 2318-2024</t>
        </is>
      </c>
      <c r="B122" s="1" t="n">
        <v>45310</v>
      </c>
      <c r="C122" s="1" t="n">
        <v>45924</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9063-2024</t>
        </is>
      </c>
      <c r="B123" s="1" t="n">
        <v>45357.72652777778</v>
      </c>
      <c r="C123" s="1" t="n">
        <v>45924</v>
      </c>
      <c r="D123" t="inlineStr">
        <is>
          <t>STOCKHOLMS LÄN</t>
        </is>
      </c>
      <c r="E123" t="inlineStr">
        <is>
          <t>VALLENTUNA</t>
        </is>
      </c>
      <c r="G123" t="n">
        <v>4.1</v>
      </c>
      <c r="H123" t="n">
        <v>0</v>
      </c>
      <c r="I123" t="n">
        <v>0</v>
      </c>
      <c r="J123" t="n">
        <v>0</v>
      </c>
      <c r="K123" t="n">
        <v>0</v>
      </c>
      <c r="L123" t="n">
        <v>0</v>
      </c>
      <c r="M123" t="n">
        <v>0</v>
      </c>
      <c r="N123" t="n">
        <v>0</v>
      </c>
      <c r="O123" t="n">
        <v>0</v>
      </c>
      <c r="P123" t="n">
        <v>0</v>
      </c>
      <c r="Q123" t="n">
        <v>0</v>
      </c>
      <c r="R123" s="2" t="inlineStr"/>
    </row>
    <row r="124" ht="15" customHeight="1">
      <c r="A124" t="inlineStr">
        <is>
          <t>A 60818-2023</t>
        </is>
      </c>
      <c r="B124" s="1" t="n">
        <v>45259</v>
      </c>
      <c r="C124" s="1" t="n">
        <v>45924</v>
      </c>
      <c r="D124" t="inlineStr">
        <is>
          <t>STOCKHOLMS LÄN</t>
        </is>
      </c>
      <c r="E124" t="inlineStr">
        <is>
          <t>VALLENTUNA</t>
        </is>
      </c>
      <c r="G124" t="n">
        <v>9.4</v>
      </c>
      <c r="H124" t="n">
        <v>0</v>
      </c>
      <c r="I124" t="n">
        <v>0</v>
      </c>
      <c r="J124" t="n">
        <v>0</v>
      </c>
      <c r="K124" t="n">
        <v>0</v>
      </c>
      <c r="L124" t="n">
        <v>0</v>
      </c>
      <c r="M124" t="n">
        <v>0</v>
      </c>
      <c r="N124" t="n">
        <v>0</v>
      </c>
      <c r="O124" t="n">
        <v>0</v>
      </c>
      <c r="P124" t="n">
        <v>0</v>
      </c>
      <c r="Q124" t="n">
        <v>0</v>
      </c>
      <c r="R124" s="2" t="inlineStr"/>
    </row>
    <row r="125" ht="15" customHeight="1">
      <c r="A125" t="inlineStr">
        <is>
          <t>A 7264-2022</t>
        </is>
      </c>
      <c r="B125" s="1" t="n">
        <v>44606</v>
      </c>
      <c r="C125" s="1" t="n">
        <v>45924</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19356-2025</t>
        </is>
      </c>
      <c r="B126" s="1" t="n">
        <v>45769.62061342593</v>
      </c>
      <c r="C126" s="1" t="n">
        <v>45924</v>
      </c>
      <c r="D126" t="inlineStr">
        <is>
          <t>STOCKHOLMS LÄN</t>
        </is>
      </c>
      <c r="E126" t="inlineStr">
        <is>
          <t>VALLENTUNA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11950-2025</t>
        </is>
      </c>
      <c r="B127" s="1" t="n">
        <v>45728.55622685186</v>
      </c>
      <c r="C127" s="1" t="n">
        <v>45924</v>
      </c>
      <c r="D127" t="inlineStr">
        <is>
          <t>STOCKHOLMS LÄN</t>
        </is>
      </c>
      <c r="E127" t="inlineStr">
        <is>
          <t>VALLENTUNA</t>
        </is>
      </c>
      <c r="G127" t="n">
        <v>1.4</v>
      </c>
      <c r="H127" t="n">
        <v>0</v>
      </c>
      <c r="I127" t="n">
        <v>0</v>
      </c>
      <c r="J127" t="n">
        <v>0</v>
      </c>
      <c r="K127" t="n">
        <v>0</v>
      </c>
      <c r="L127" t="n">
        <v>0</v>
      </c>
      <c r="M127" t="n">
        <v>0</v>
      </c>
      <c r="N127" t="n">
        <v>0</v>
      </c>
      <c r="O127" t="n">
        <v>0</v>
      </c>
      <c r="P127" t="n">
        <v>0</v>
      </c>
      <c r="Q127" t="n">
        <v>0</v>
      </c>
      <c r="R127" s="2" t="inlineStr"/>
    </row>
    <row r="128" ht="15" customHeight="1">
      <c r="A128" t="inlineStr">
        <is>
          <t>A 14489-2024</t>
        </is>
      </c>
      <c r="B128" s="1" t="n">
        <v>45394.58053240741</v>
      </c>
      <c r="C128" s="1" t="n">
        <v>45924</v>
      </c>
      <c r="D128" t="inlineStr">
        <is>
          <t>STOCKHOLMS LÄN</t>
        </is>
      </c>
      <c r="E128" t="inlineStr">
        <is>
          <t>VALLENTUNA</t>
        </is>
      </c>
      <c r="G128" t="n">
        <v>2.3</v>
      </c>
      <c r="H128" t="n">
        <v>0</v>
      </c>
      <c r="I128" t="n">
        <v>0</v>
      </c>
      <c r="J128" t="n">
        <v>0</v>
      </c>
      <c r="K128" t="n">
        <v>0</v>
      </c>
      <c r="L128" t="n">
        <v>0</v>
      </c>
      <c r="M128" t="n">
        <v>0</v>
      </c>
      <c r="N128" t="n">
        <v>0</v>
      </c>
      <c r="O128" t="n">
        <v>0</v>
      </c>
      <c r="P128" t="n">
        <v>0</v>
      </c>
      <c r="Q128" t="n">
        <v>0</v>
      </c>
      <c r="R128" s="2" t="inlineStr"/>
    </row>
    <row r="129" ht="15" customHeight="1">
      <c r="A129" t="inlineStr">
        <is>
          <t>A 15268-2023</t>
        </is>
      </c>
      <c r="B129" s="1" t="n">
        <v>45019.41045138889</v>
      </c>
      <c r="C129" s="1" t="n">
        <v>45924</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61442-2024</t>
        </is>
      </c>
      <c r="B130" s="1" t="n">
        <v>45646.47003472222</v>
      </c>
      <c r="C130" s="1" t="n">
        <v>45924</v>
      </c>
      <c r="D130" t="inlineStr">
        <is>
          <t>STOCKHOLMS LÄN</t>
        </is>
      </c>
      <c r="E130" t="inlineStr">
        <is>
          <t>VALLENTUNA</t>
        </is>
      </c>
      <c r="G130" t="n">
        <v>4.6</v>
      </c>
      <c r="H130" t="n">
        <v>0</v>
      </c>
      <c r="I130" t="n">
        <v>0</v>
      </c>
      <c r="J130" t="n">
        <v>0</v>
      </c>
      <c r="K130" t="n">
        <v>0</v>
      </c>
      <c r="L130" t="n">
        <v>0</v>
      </c>
      <c r="M130" t="n">
        <v>0</v>
      </c>
      <c r="N130" t="n">
        <v>0</v>
      </c>
      <c r="O130" t="n">
        <v>0</v>
      </c>
      <c r="P130" t="n">
        <v>0</v>
      </c>
      <c r="Q130" t="n">
        <v>0</v>
      </c>
      <c r="R130" s="2" t="inlineStr"/>
    </row>
    <row r="131" ht="15" customHeight="1">
      <c r="A131" t="inlineStr">
        <is>
          <t>A 48068-2021</t>
        </is>
      </c>
      <c r="B131" s="1" t="n">
        <v>44449.42270833333</v>
      </c>
      <c r="C131" s="1" t="n">
        <v>45924</v>
      </c>
      <c r="D131" t="inlineStr">
        <is>
          <t>STOCKHOLMS LÄN</t>
        </is>
      </c>
      <c r="E131" t="inlineStr">
        <is>
          <t>VALLENTUNA</t>
        </is>
      </c>
      <c r="G131" t="n">
        <v>1.3</v>
      </c>
      <c r="H131" t="n">
        <v>0</v>
      </c>
      <c r="I131" t="n">
        <v>0</v>
      </c>
      <c r="J131" t="n">
        <v>0</v>
      </c>
      <c r="K131" t="n">
        <v>0</v>
      </c>
      <c r="L131" t="n">
        <v>0</v>
      </c>
      <c r="M131" t="n">
        <v>0</v>
      </c>
      <c r="N131" t="n">
        <v>0</v>
      </c>
      <c r="O131" t="n">
        <v>0</v>
      </c>
      <c r="P131" t="n">
        <v>0</v>
      </c>
      <c r="Q131" t="n">
        <v>0</v>
      </c>
      <c r="R131" s="2" t="inlineStr"/>
    </row>
    <row r="132" ht="15" customHeight="1">
      <c r="A132" t="inlineStr">
        <is>
          <t>A 45499-2023</t>
        </is>
      </c>
      <c r="B132" s="1" t="n">
        <v>45194</v>
      </c>
      <c r="C132" s="1" t="n">
        <v>45924</v>
      </c>
      <c r="D132" t="inlineStr">
        <is>
          <t>STOCKHOLMS LÄN</t>
        </is>
      </c>
      <c r="E132" t="inlineStr">
        <is>
          <t>VALLENTUNA</t>
        </is>
      </c>
      <c r="G132" t="n">
        <v>2.5</v>
      </c>
      <c r="H132" t="n">
        <v>0</v>
      </c>
      <c r="I132" t="n">
        <v>0</v>
      </c>
      <c r="J132" t="n">
        <v>0</v>
      </c>
      <c r="K132" t="n">
        <v>0</v>
      </c>
      <c r="L132" t="n">
        <v>0</v>
      </c>
      <c r="M132" t="n">
        <v>0</v>
      </c>
      <c r="N132" t="n">
        <v>0</v>
      </c>
      <c r="O132" t="n">
        <v>0</v>
      </c>
      <c r="P132" t="n">
        <v>0</v>
      </c>
      <c r="Q132" t="n">
        <v>0</v>
      </c>
      <c r="R132" s="2" t="inlineStr"/>
    </row>
    <row r="133" ht="15" customHeight="1">
      <c r="A133" t="inlineStr">
        <is>
          <t>A 47204-2024</t>
        </is>
      </c>
      <c r="B133" s="1" t="n">
        <v>45586.63575231482</v>
      </c>
      <c r="C133" s="1" t="n">
        <v>45924</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34452-2021</t>
        </is>
      </c>
      <c r="B134" s="1" t="n">
        <v>44381</v>
      </c>
      <c r="C134" s="1" t="n">
        <v>45924</v>
      </c>
      <c r="D134" t="inlineStr">
        <is>
          <t>STOCKHOLMS LÄN</t>
        </is>
      </c>
      <c r="E134" t="inlineStr">
        <is>
          <t>VALLENTUNA</t>
        </is>
      </c>
      <c r="G134" t="n">
        <v>14.7</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45924</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45924</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45924</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20789-2025</t>
        </is>
      </c>
      <c r="B138" s="1" t="n">
        <v>45776.62518518518</v>
      </c>
      <c r="C138" s="1" t="n">
        <v>45924</v>
      </c>
      <c r="D138" t="inlineStr">
        <is>
          <t>STOCKHOLMS LÄN</t>
        </is>
      </c>
      <c r="E138" t="inlineStr">
        <is>
          <t>VALLENTUNA</t>
        </is>
      </c>
      <c r="G138" t="n">
        <v>1</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45924</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45924</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c r="A141" t="inlineStr">
        <is>
          <t>A 61027-2023</t>
        </is>
      </c>
      <c r="B141" s="1" t="n">
        <v>45261</v>
      </c>
      <c r="C141" s="1" t="n">
        <v>45924</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2025-09-24T10:12:07Z</dcterms:created>
  <dcterms:modified xmlns:dcterms="http://purl.org/dc/terms/" xmlns:xsi="http://www.w3.org/2001/XMLSchema-instance" xsi:type="dcterms:W3CDTF">2025-09-24T10:12:07Z</dcterms:modified>
</cp:coreProperties>
</file>