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46204</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46204</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46204</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42922-2023</t>
        </is>
      </c>
      <c r="B5" s="1" t="n">
        <v>45182</v>
      </c>
      <c r="C5" s="1" t="n">
        <v>46204</v>
      </c>
      <c r="D5" t="inlineStr">
        <is>
          <t>STOCKHOLMS LÄN</t>
        </is>
      </c>
      <c r="E5" t="inlineStr">
        <is>
          <t>VALLENTUNA</t>
        </is>
      </c>
      <c r="G5" t="n">
        <v>4.2</v>
      </c>
      <c r="H5" t="n">
        <v>4</v>
      </c>
      <c r="I5" t="n">
        <v>7</v>
      </c>
      <c r="J5" t="n">
        <v>5</v>
      </c>
      <c r="K5" t="n">
        <v>1</v>
      </c>
      <c r="L5" t="n">
        <v>0</v>
      </c>
      <c r="M5" t="n">
        <v>0</v>
      </c>
      <c r="N5" t="n">
        <v>0</v>
      </c>
      <c r="O5" t="n">
        <v>6</v>
      </c>
      <c r="P5" t="n">
        <v>1</v>
      </c>
      <c r="Q5" t="n">
        <v>16</v>
      </c>
      <c r="R5" s="2" t="inlineStr">
        <is>
          <t>Ostticka
Fjällig taggsvamp s.str.
Motaggsvamp
Orange taggsvamp
Talltita
Tjockfotad fingersvamp
Björksplintborre
Granbarkgnagare
Grönpyrola
Mindre märgborre
Rödgul trumpetsvamp
Vedticka
Vågbandad barkbock
Blåsippa
Spillkråka
Kungsfågel</t>
        </is>
      </c>
      <c r="S5">
        <f>HYPERLINK("https://klasma.github.io/Logging_0115/artfynd/A 42922-2023 artfynd.xlsx", "A 42922-2023")</f>
        <v/>
      </c>
      <c r="T5">
        <f>HYPERLINK("https://klasma.github.io/Logging_0115/kartor/A 42922-2023 karta.png", "A 42922-2023")</f>
        <v/>
      </c>
      <c r="V5">
        <f>HYPERLINK("https://klasma.github.io/Logging_0115/klagomål/A 42922-2023 FSC-klagomål.docx", "A 42922-2023")</f>
        <v/>
      </c>
      <c r="W5">
        <f>HYPERLINK("https://klasma.github.io/Logging_0115/klagomålsmail/A 42922-2023 FSC-klagomål mail.docx", "A 42922-2023")</f>
        <v/>
      </c>
      <c r="X5">
        <f>HYPERLINK("https://klasma.github.io/Logging_0115/tillsyn/A 42922-2023 tillsynsbegäran.docx", "A 42922-2023")</f>
        <v/>
      </c>
      <c r="Y5">
        <f>HYPERLINK("https://klasma.github.io/Logging_0115/tillsynsmail/A 42922-2023 tillsynsbegäran mail.docx", "A 42922-2023")</f>
        <v/>
      </c>
      <c r="Z5">
        <f>HYPERLINK("https://klasma.github.io/Logging_0115/fåglar/A 42922-2023 prioriterade fågelarter.docx", "A 42922-2023")</f>
        <v/>
      </c>
    </row>
    <row r="6" ht="15" customHeight="1">
      <c r="A6" t="inlineStr">
        <is>
          <t>A 55825-2023</t>
        </is>
      </c>
      <c r="B6" s="1" t="n">
        <v>45239</v>
      </c>
      <c r="C6" s="1" t="n">
        <v>46204</v>
      </c>
      <c r="D6" t="inlineStr">
        <is>
          <t>STOCKHOLMS LÄN</t>
        </is>
      </c>
      <c r="E6" t="inlineStr">
        <is>
          <t>VALLENTUNA</t>
        </is>
      </c>
      <c r="G6" t="n">
        <v>4.9</v>
      </c>
      <c r="H6" t="n">
        <v>7</v>
      </c>
      <c r="I6" t="n">
        <v>6</v>
      </c>
      <c r="J6" t="n">
        <v>3</v>
      </c>
      <c r="K6" t="n">
        <v>2</v>
      </c>
      <c r="L6" t="n">
        <v>0</v>
      </c>
      <c r="M6" t="n">
        <v>0</v>
      </c>
      <c r="N6" t="n">
        <v>0</v>
      </c>
      <c r="O6" t="n">
        <v>5</v>
      </c>
      <c r="P6" t="n">
        <v>2</v>
      </c>
      <c r="Q6" t="n">
        <v>16</v>
      </c>
      <c r="R6" s="2" t="inlineStr">
        <is>
          <t>Garnlav
Knärot
Talltita
Ullticka
Vedskivlav
Björksplintborre
Blodticka
Flagellkvastmossa
Jättesvampmal
Mindre märgborre
Vedticka
Mattlummer
Spillkråka
Tjäder
Fläcknycklar
Revlummer</t>
        </is>
      </c>
      <c r="S6">
        <f>HYPERLINK("https://klasma.github.io/Logging_0115/artfynd/A 55825-2023 artfynd.xlsx", "A 55825-2023")</f>
        <v/>
      </c>
      <c r="T6">
        <f>HYPERLINK("https://klasma.github.io/Logging_0115/kartor/A 55825-2023 karta.png", "A 55825-2023")</f>
        <v/>
      </c>
      <c r="U6">
        <f>HYPERLINK("https://klasma.github.io/Logging_0115/knärot/A 55825-2023 karta knärot.png", "A 55825-2023")</f>
        <v/>
      </c>
      <c r="V6">
        <f>HYPERLINK("https://klasma.github.io/Logging_0115/klagomål/A 55825-2023 FSC-klagomål.docx", "A 55825-2023")</f>
        <v/>
      </c>
      <c r="W6">
        <f>HYPERLINK("https://klasma.github.io/Logging_0115/klagomålsmail/A 55825-2023 FSC-klagomål mail.docx", "A 55825-2023")</f>
        <v/>
      </c>
      <c r="X6">
        <f>HYPERLINK("https://klasma.github.io/Logging_0115/tillsyn/A 55825-2023 tillsynsbegäran.docx", "A 55825-2023")</f>
        <v/>
      </c>
      <c r="Y6">
        <f>HYPERLINK("https://klasma.github.io/Logging_0115/tillsynsmail/A 55825-2023 tillsynsbegäran mail.docx", "A 55825-2023")</f>
        <v/>
      </c>
      <c r="Z6">
        <f>HYPERLINK("https://klasma.github.io/Logging_0115/fåglar/A 55825-2023 prioriterade fågelarter.docx", "A 55825-2023")</f>
        <v/>
      </c>
    </row>
    <row r="7" ht="15" customHeight="1">
      <c r="A7" t="inlineStr">
        <is>
          <t>A 50718-2023</t>
        </is>
      </c>
      <c r="B7" s="1" t="n">
        <v>45217</v>
      </c>
      <c r="C7" s="1" t="n">
        <v>46204</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50435-2024</t>
        </is>
      </c>
      <c r="B8" s="1" t="n">
        <v>45601</v>
      </c>
      <c r="C8" s="1" t="n">
        <v>46204</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46204</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46204</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46204</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46204</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46204</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9745-2022</t>
        </is>
      </c>
      <c r="B14" s="1" t="n">
        <v>44618</v>
      </c>
      <c r="C14" s="1" t="n">
        <v>46204</v>
      </c>
      <c r="D14" t="inlineStr">
        <is>
          <t>STOCKHOLMS LÄN</t>
        </is>
      </c>
      <c r="E14" t="inlineStr">
        <is>
          <t>VALLENTUNA</t>
        </is>
      </c>
      <c r="G14" t="n">
        <v>5.9</v>
      </c>
      <c r="H14" t="n">
        <v>1</v>
      </c>
      <c r="I14" t="n">
        <v>2</v>
      </c>
      <c r="J14" t="n">
        <v>0</v>
      </c>
      <c r="K14" t="n">
        <v>0</v>
      </c>
      <c r="L14" t="n">
        <v>0</v>
      </c>
      <c r="M14" t="n">
        <v>0</v>
      </c>
      <c r="N14" t="n">
        <v>0</v>
      </c>
      <c r="O14" t="n">
        <v>0</v>
      </c>
      <c r="P14" t="n">
        <v>0</v>
      </c>
      <c r="Q14" t="n">
        <v>3</v>
      </c>
      <c r="R14" s="2" t="inlineStr">
        <is>
          <t>Björksplintborre
Vedticka
Spillkråka</t>
        </is>
      </c>
      <c r="S14">
        <f>HYPERLINK("https://klasma.github.io/Logging_0115/artfynd/A 9745-2022 artfynd.xlsx", "A 9745-2022")</f>
        <v/>
      </c>
      <c r="T14">
        <f>HYPERLINK("https://klasma.github.io/Logging_0115/kartor/A 9745-2022 karta.png", "A 9745-2022")</f>
        <v/>
      </c>
      <c r="V14">
        <f>HYPERLINK("https://klasma.github.io/Logging_0115/klagomål/A 9745-2022 FSC-klagomål.docx", "A 9745-2022")</f>
        <v/>
      </c>
      <c r="W14">
        <f>HYPERLINK("https://klasma.github.io/Logging_0115/klagomålsmail/A 9745-2022 FSC-klagomål mail.docx", "A 9745-2022")</f>
        <v/>
      </c>
      <c r="X14">
        <f>HYPERLINK("https://klasma.github.io/Logging_0115/tillsyn/A 9745-2022 tillsynsbegäran.docx", "A 9745-2022")</f>
        <v/>
      </c>
      <c r="Y14">
        <f>HYPERLINK("https://klasma.github.io/Logging_0115/tillsynsmail/A 9745-2022 tillsynsbegäran mail.docx", "A 9745-2022")</f>
        <v/>
      </c>
      <c r="Z14">
        <f>HYPERLINK("https://klasma.github.io/Logging_0115/fåglar/A 9745-2022 prioriterade fågelarter.docx", "A 9745-2022")</f>
        <v/>
      </c>
    </row>
    <row r="15" ht="15" customHeight="1">
      <c r="A15" t="inlineStr">
        <is>
          <t>A 9807-2026</t>
        </is>
      </c>
      <c r="B15" s="1" t="n">
        <v>46072</v>
      </c>
      <c r="C15" s="1" t="n">
        <v>46204</v>
      </c>
      <c r="D15" t="inlineStr">
        <is>
          <t>STOCKHOLMS LÄN</t>
        </is>
      </c>
      <c r="E15" t="inlineStr">
        <is>
          <t>VALLENTUNA</t>
        </is>
      </c>
      <c r="G15" t="n">
        <v>2.1</v>
      </c>
      <c r="H15" t="n">
        <v>3</v>
      </c>
      <c r="I15" t="n">
        <v>0</v>
      </c>
      <c r="J15" t="n">
        <v>1</v>
      </c>
      <c r="K15" t="n">
        <v>0</v>
      </c>
      <c r="L15" t="n">
        <v>0</v>
      </c>
      <c r="M15" t="n">
        <v>0</v>
      </c>
      <c r="N15" t="n">
        <v>0</v>
      </c>
      <c r="O15" t="n">
        <v>1</v>
      </c>
      <c r="P15" t="n">
        <v>0</v>
      </c>
      <c r="Q15" t="n">
        <v>3</v>
      </c>
      <c r="R15" s="2" t="inlineStr">
        <is>
          <t>Järnsparv
Grönsiska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63543-2025</t>
        </is>
      </c>
      <c r="B16" s="1" t="n">
        <v>46013</v>
      </c>
      <c r="C16" s="1" t="n">
        <v>46204</v>
      </c>
      <c r="D16" t="inlineStr">
        <is>
          <t>STOCKHOLMS LÄN</t>
        </is>
      </c>
      <c r="E16" t="inlineStr">
        <is>
          <t>VALLENTUNA</t>
        </is>
      </c>
      <c r="G16" t="n">
        <v>3.4</v>
      </c>
      <c r="H16" t="n">
        <v>0</v>
      </c>
      <c r="I16" t="n">
        <v>1</v>
      </c>
      <c r="J16" t="n">
        <v>2</v>
      </c>
      <c r="K16" t="n">
        <v>0</v>
      </c>
      <c r="L16" t="n">
        <v>0</v>
      </c>
      <c r="M16" t="n">
        <v>0</v>
      </c>
      <c r="N16" t="n">
        <v>0</v>
      </c>
      <c r="O16" t="n">
        <v>2</v>
      </c>
      <c r="P16" t="n">
        <v>0</v>
      </c>
      <c r="Q16" t="n">
        <v>3</v>
      </c>
      <c r="R16" s="2" t="inlineStr">
        <is>
          <t>Tallticka
Vedskivlav
Björksplintborre</t>
        </is>
      </c>
      <c r="S16">
        <f>HYPERLINK("https://klasma.github.io/Logging_0115/artfynd/A 63543-2025 artfynd.xlsx", "A 63543-2025")</f>
        <v/>
      </c>
      <c r="T16">
        <f>HYPERLINK("https://klasma.github.io/Logging_0115/kartor/A 63543-2025 karta.png", "A 63543-2025")</f>
        <v/>
      </c>
      <c r="V16">
        <f>HYPERLINK("https://klasma.github.io/Logging_0115/klagomål/A 63543-2025 FSC-klagomål.docx", "A 63543-2025")</f>
        <v/>
      </c>
      <c r="W16">
        <f>HYPERLINK("https://klasma.github.io/Logging_0115/klagomålsmail/A 63543-2025 FSC-klagomål mail.docx", "A 63543-2025")</f>
        <v/>
      </c>
      <c r="X16">
        <f>HYPERLINK("https://klasma.github.io/Logging_0115/tillsyn/A 63543-2025 tillsynsbegäran.docx", "A 63543-2025")</f>
        <v/>
      </c>
      <c r="Y16">
        <f>HYPERLINK("https://klasma.github.io/Logging_0115/tillsynsmail/A 63543-2025 tillsynsbegäran mail.docx", "A 63543-2025")</f>
        <v/>
      </c>
    </row>
    <row r="17" ht="15" customHeight="1">
      <c r="A17" t="inlineStr">
        <is>
          <t>A 48717-2024</t>
        </is>
      </c>
      <c r="B17" s="1" t="n">
        <v>45593</v>
      </c>
      <c r="C17" s="1" t="n">
        <v>46204</v>
      </c>
      <c r="D17" t="inlineStr">
        <is>
          <t>STOCKHOLMS LÄN</t>
        </is>
      </c>
      <c r="E17" t="inlineStr">
        <is>
          <t>VALLENTUNA</t>
        </is>
      </c>
      <c r="G17" t="n">
        <v>6.2</v>
      </c>
      <c r="H17" t="n">
        <v>2</v>
      </c>
      <c r="I17" t="n">
        <v>0</v>
      </c>
      <c r="J17" t="n">
        <v>1</v>
      </c>
      <c r="K17" t="n">
        <v>0</v>
      </c>
      <c r="L17" t="n">
        <v>0</v>
      </c>
      <c r="M17" t="n">
        <v>0</v>
      </c>
      <c r="N17" t="n">
        <v>0</v>
      </c>
      <c r="O17" t="n">
        <v>1</v>
      </c>
      <c r="P17" t="n">
        <v>0</v>
      </c>
      <c r="Q17" t="n">
        <v>3</v>
      </c>
      <c r="R17" s="2" t="inlineStr">
        <is>
          <t>Ullticka
Tjäder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46204</v>
      </c>
      <c r="D18" t="inlineStr">
        <is>
          <t>STOCKHOLMS LÄN</t>
        </is>
      </c>
      <c r="E18" t="inlineStr">
        <is>
          <t>VALLENTUNA</t>
        </is>
      </c>
      <c r="F18" t="inlineStr">
        <is>
          <t>Övriga Aktiebolag</t>
        </is>
      </c>
      <c r="G18" t="n">
        <v>3.3</v>
      </c>
      <c r="H18" t="n">
        <v>1</v>
      </c>
      <c r="I18" t="n">
        <v>0</v>
      </c>
      <c r="J18" t="n">
        <v>2</v>
      </c>
      <c r="K18" t="n">
        <v>0</v>
      </c>
      <c r="L18" t="n">
        <v>0</v>
      </c>
      <c r="M18" t="n">
        <v>0</v>
      </c>
      <c r="N18" t="n">
        <v>0</v>
      </c>
      <c r="O18" t="n">
        <v>2</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14508-2024</t>
        </is>
      </c>
      <c r="B19" s="1" t="n">
        <v>45394</v>
      </c>
      <c r="C19" s="1" t="n">
        <v>46204</v>
      </c>
      <c r="D19" t="inlineStr">
        <is>
          <t>STOCKHOLMS LÄN</t>
        </is>
      </c>
      <c r="E19" t="inlineStr">
        <is>
          <t>VALLENTUNA</t>
        </is>
      </c>
      <c r="G19" t="n">
        <v>1.7</v>
      </c>
      <c r="H19" t="n">
        <v>2</v>
      </c>
      <c r="I19" t="n">
        <v>0</v>
      </c>
      <c r="J19" t="n">
        <v>2</v>
      </c>
      <c r="K19" t="n">
        <v>1</v>
      </c>
      <c r="L19" t="n">
        <v>0</v>
      </c>
      <c r="M19" t="n">
        <v>0</v>
      </c>
      <c r="N19" t="n">
        <v>0</v>
      </c>
      <c r="O19" t="n">
        <v>3</v>
      </c>
      <c r="P19" t="n">
        <v>1</v>
      </c>
      <c r="Q19" t="n">
        <v>3</v>
      </c>
      <c r="R19" s="2" t="inlineStr">
        <is>
          <t>Hussvala
Berggräsfjäril
Mindre hackspett</t>
        </is>
      </c>
      <c r="S19">
        <f>HYPERLINK("https://klasma.github.io/Logging_0115/artfynd/A 14508-2024 artfynd.xlsx", "A 14508-2024")</f>
        <v/>
      </c>
      <c r="T19">
        <f>HYPERLINK("https://klasma.github.io/Logging_0115/kartor/A 14508-2024 karta.png", "A 14508-2024")</f>
        <v/>
      </c>
      <c r="V19">
        <f>HYPERLINK("https://klasma.github.io/Logging_0115/klagomål/A 14508-2024 FSC-klagomål.docx", "A 14508-2024")</f>
        <v/>
      </c>
      <c r="W19">
        <f>HYPERLINK("https://klasma.github.io/Logging_0115/klagomålsmail/A 14508-2024 FSC-klagomål mail.docx", "A 14508-2024")</f>
        <v/>
      </c>
      <c r="X19">
        <f>HYPERLINK("https://klasma.github.io/Logging_0115/tillsyn/A 14508-2024 tillsynsbegäran.docx", "A 14508-2024")</f>
        <v/>
      </c>
      <c r="Y19">
        <f>HYPERLINK("https://klasma.github.io/Logging_0115/tillsynsmail/A 14508-2024 tillsynsbegäran mail.docx", "A 14508-2024")</f>
        <v/>
      </c>
      <c r="Z19">
        <f>HYPERLINK("https://klasma.github.io/Logging_0115/fåglar/A 14508-2024 prioriterade fågelarter.docx", "A 14508-2024")</f>
        <v/>
      </c>
    </row>
    <row r="20" ht="15" customHeight="1">
      <c r="A20" t="inlineStr">
        <is>
          <t>A 34452-2021</t>
        </is>
      </c>
      <c r="B20" s="1" t="n">
        <v>44381</v>
      </c>
      <c r="C20" s="1" t="n">
        <v>46204</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46204</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46204</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46204</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41021-2023</t>
        </is>
      </c>
      <c r="B24" s="1" t="n">
        <v>45173</v>
      </c>
      <c r="C24" s="1" t="n">
        <v>46204</v>
      </c>
      <c r="D24" t="inlineStr">
        <is>
          <t>STOCKHOLMS LÄN</t>
        </is>
      </c>
      <c r="E24" t="inlineStr">
        <is>
          <t>VALLENTUNA</t>
        </is>
      </c>
      <c r="G24" t="n">
        <v>3</v>
      </c>
      <c r="H24" t="n">
        <v>0</v>
      </c>
      <c r="I24" t="n">
        <v>0</v>
      </c>
      <c r="J24" t="n">
        <v>2</v>
      </c>
      <c r="K24" t="n">
        <v>0</v>
      </c>
      <c r="L24" t="n">
        <v>0</v>
      </c>
      <c r="M24" t="n">
        <v>0</v>
      </c>
      <c r="N24" t="n">
        <v>0</v>
      </c>
      <c r="O24" t="n">
        <v>2</v>
      </c>
      <c r="P24" t="n">
        <v>0</v>
      </c>
      <c r="Q24" t="n">
        <v>2</v>
      </c>
      <c r="R24" s="2" t="inlineStr">
        <is>
          <t>Fjällig taggsvamp s.str.
Orange taggsvamp</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34460-2023</t>
        </is>
      </c>
      <c r="B25" s="1" t="n">
        <v>45139</v>
      </c>
      <c r="C25" s="1" t="n">
        <v>46204</v>
      </c>
      <c r="D25" t="inlineStr">
        <is>
          <t>STOCKHOLMS LÄN</t>
        </is>
      </c>
      <c r="E25" t="inlineStr">
        <is>
          <t>VALLENTUNA</t>
        </is>
      </c>
      <c r="G25" t="n">
        <v>1.7</v>
      </c>
      <c r="H25" t="n">
        <v>0</v>
      </c>
      <c r="I25" t="n">
        <v>0</v>
      </c>
      <c r="J25" t="n">
        <v>2</v>
      </c>
      <c r="K25" t="n">
        <v>0</v>
      </c>
      <c r="L25" t="n">
        <v>0</v>
      </c>
      <c r="M25" t="n">
        <v>0</v>
      </c>
      <c r="N25" t="n">
        <v>0</v>
      </c>
      <c r="O25" t="n">
        <v>2</v>
      </c>
      <c r="P25" t="n">
        <v>0</v>
      </c>
      <c r="Q25" t="n">
        <v>2</v>
      </c>
      <c r="R25" s="2" t="inlineStr">
        <is>
          <t>Motaggsvamp
Orange taggsvamp</t>
        </is>
      </c>
      <c r="S25">
        <f>HYPERLINK("https://klasma.github.io/Logging_0115/artfynd/A 34460-2023 artfynd.xlsx", "A 34460-2023")</f>
        <v/>
      </c>
      <c r="T25">
        <f>HYPERLINK("https://klasma.github.io/Logging_0115/kartor/A 34460-2023 karta.png", "A 34460-2023")</f>
        <v/>
      </c>
      <c r="V25">
        <f>HYPERLINK("https://klasma.github.io/Logging_0115/klagomål/A 34460-2023 FSC-klagomål.docx", "A 34460-2023")</f>
        <v/>
      </c>
      <c r="W25">
        <f>HYPERLINK("https://klasma.github.io/Logging_0115/klagomålsmail/A 34460-2023 FSC-klagomål mail.docx", "A 34460-2023")</f>
        <v/>
      </c>
      <c r="X25">
        <f>HYPERLINK("https://klasma.github.io/Logging_0115/tillsyn/A 34460-2023 tillsynsbegäran.docx", "A 34460-2023")</f>
        <v/>
      </c>
      <c r="Y25">
        <f>HYPERLINK("https://klasma.github.io/Logging_0115/tillsynsmail/A 34460-2023 tillsynsbegäran mail.docx", "A 34460-2023")</f>
        <v/>
      </c>
    </row>
    <row r="26" ht="15" customHeight="1">
      <c r="A26" t="inlineStr">
        <is>
          <t>A 63539-2025</t>
        </is>
      </c>
      <c r="B26" s="1" t="n">
        <v>46013</v>
      </c>
      <c r="C26" s="1" t="n">
        <v>46204</v>
      </c>
      <c r="D26" t="inlineStr">
        <is>
          <t>STOCKHOLMS LÄN</t>
        </is>
      </c>
      <c r="E26" t="inlineStr">
        <is>
          <t>VALLENTUNA</t>
        </is>
      </c>
      <c r="G26" t="n">
        <v>1.1</v>
      </c>
      <c r="H26" t="n">
        <v>0</v>
      </c>
      <c r="I26" t="n">
        <v>0</v>
      </c>
      <c r="J26" t="n">
        <v>2</v>
      </c>
      <c r="K26" t="n">
        <v>0</v>
      </c>
      <c r="L26" t="n">
        <v>0</v>
      </c>
      <c r="M26" t="n">
        <v>0</v>
      </c>
      <c r="N26" t="n">
        <v>0</v>
      </c>
      <c r="O26" t="n">
        <v>2</v>
      </c>
      <c r="P26" t="n">
        <v>0</v>
      </c>
      <c r="Q26" t="n">
        <v>2</v>
      </c>
      <c r="R26" s="2" t="inlineStr">
        <is>
          <t>Tallticka
Vårärt</t>
        </is>
      </c>
      <c r="S26">
        <f>HYPERLINK("https://klasma.github.io/Logging_0115/artfynd/A 63539-2025 artfynd.xlsx", "A 63539-2025")</f>
        <v/>
      </c>
      <c r="T26">
        <f>HYPERLINK("https://klasma.github.io/Logging_0115/kartor/A 63539-2025 karta.png", "A 63539-2025")</f>
        <v/>
      </c>
      <c r="V26">
        <f>HYPERLINK("https://klasma.github.io/Logging_0115/klagomål/A 63539-2025 FSC-klagomål.docx", "A 63539-2025")</f>
        <v/>
      </c>
      <c r="W26">
        <f>HYPERLINK("https://klasma.github.io/Logging_0115/klagomålsmail/A 63539-2025 FSC-klagomål mail.docx", "A 63539-2025")</f>
        <v/>
      </c>
      <c r="X26">
        <f>HYPERLINK("https://klasma.github.io/Logging_0115/tillsyn/A 63539-2025 tillsynsbegäran.docx", "A 63539-2025")</f>
        <v/>
      </c>
      <c r="Y26">
        <f>HYPERLINK("https://klasma.github.io/Logging_0115/tillsynsmail/A 63539-2025 tillsynsbegäran mail.docx", "A 63539-2025")</f>
        <v/>
      </c>
    </row>
    <row r="27" ht="15" customHeight="1">
      <c r="A27" t="inlineStr">
        <is>
          <t>A 27935-2026</t>
        </is>
      </c>
      <c r="B27" s="1" t="n">
        <v>46191</v>
      </c>
      <c r="C27" s="1" t="n">
        <v>46204</v>
      </c>
      <c r="D27" t="inlineStr">
        <is>
          <t>STOCKHOLMS LÄN</t>
        </is>
      </c>
      <c r="E27" t="inlineStr">
        <is>
          <t>VALLENTUNA</t>
        </is>
      </c>
      <c r="G27" t="n">
        <v>5</v>
      </c>
      <c r="H27" t="n">
        <v>2</v>
      </c>
      <c r="I27" t="n">
        <v>0</v>
      </c>
      <c r="J27" t="n">
        <v>0</v>
      </c>
      <c r="K27" t="n">
        <v>0</v>
      </c>
      <c r="L27" t="n">
        <v>0</v>
      </c>
      <c r="M27" t="n">
        <v>0</v>
      </c>
      <c r="N27" t="n">
        <v>0</v>
      </c>
      <c r="O27" t="n">
        <v>0</v>
      </c>
      <c r="P27" t="n">
        <v>0</v>
      </c>
      <c r="Q27" t="n">
        <v>2</v>
      </c>
      <c r="R27" s="2" t="inlineStr">
        <is>
          <t>Större vattensalamander
Mindre vattensalamander</t>
        </is>
      </c>
      <c r="S27">
        <f>HYPERLINK("https://klasma.github.io/Logging_0115/artfynd/A 27935-2026 artfynd.xlsx", "A 27935-2026")</f>
        <v/>
      </c>
      <c r="T27">
        <f>HYPERLINK("https://klasma.github.io/Logging_0115/kartor/A 27935-2026 karta.png", "A 27935-2026")</f>
        <v/>
      </c>
      <c r="V27">
        <f>HYPERLINK("https://klasma.github.io/Logging_0115/klagomål/A 27935-2026 FSC-klagomål.docx", "A 27935-2026")</f>
        <v/>
      </c>
      <c r="W27">
        <f>HYPERLINK("https://klasma.github.io/Logging_0115/klagomålsmail/A 27935-2026 FSC-klagomål mail.docx", "A 27935-2026")</f>
        <v/>
      </c>
      <c r="X27">
        <f>HYPERLINK("https://klasma.github.io/Logging_0115/tillsyn/A 27935-2026 tillsynsbegäran.docx", "A 27935-2026")</f>
        <v/>
      </c>
      <c r="Y27">
        <f>HYPERLINK("https://klasma.github.io/Logging_0115/tillsynsmail/A 27935-2026 tillsynsbegäran mail.docx", "A 27935-2026")</f>
        <v/>
      </c>
    </row>
    <row r="28" ht="15" customHeight="1">
      <c r="A28" t="inlineStr">
        <is>
          <t>A 23923-2025</t>
        </is>
      </c>
      <c r="B28" s="1" t="n">
        <v>45795</v>
      </c>
      <c r="C28" s="1" t="n">
        <v>46204</v>
      </c>
      <c r="D28" t="inlineStr">
        <is>
          <t>STOCKHOLMS LÄN</t>
        </is>
      </c>
      <c r="E28" t="inlineStr">
        <is>
          <t>VALLENTUNA</t>
        </is>
      </c>
      <c r="G28" t="n">
        <v>2.3</v>
      </c>
      <c r="H28" t="n">
        <v>2</v>
      </c>
      <c r="I28" t="n">
        <v>0</v>
      </c>
      <c r="J28" t="n">
        <v>1</v>
      </c>
      <c r="K28" t="n">
        <v>0</v>
      </c>
      <c r="L28" t="n">
        <v>0</v>
      </c>
      <c r="M28" t="n">
        <v>0</v>
      </c>
      <c r="N28" t="n">
        <v>0</v>
      </c>
      <c r="O28" t="n">
        <v>1</v>
      </c>
      <c r="P28" t="n">
        <v>0</v>
      </c>
      <c r="Q28" t="n">
        <v>2</v>
      </c>
      <c r="R28" s="2" t="inlineStr">
        <is>
          <t>Gulsparv
Kråka</t>
        </is>
      </c>
      <c r="S28">
        <f>HYPERLINK("https://klasma.github.io/Logging_0115/artfynd/A 23923-2025 artfynd.xlsx", "A 23923-2025")</f>
        <v/>
      </c>
      <c r="T28">
        <f>HYPERLINK("https://klasma.github.io/Logging_0115/kartor/A 23923-2025 karta.png", "A 23923-2025")</f>
        <v/>
      </c>
      <c r="V28">
        <f>HYPERLINK("https://klasma.github.io/Logging_0115/klagomål/A 23923-2025 FSC-klagomål.docx", "A 23923-2025")</f>
        <v/>
      </c>
      <c r="W28">
        <f>HYPERLINK("https://klasma.github.io/Logging_0115/klagomålsmail/A 23923-2025 FSC-klagomål mail.docx", "A 23923-2025")</f>
        <v/>
      </c>
      <c r="X28">
        <f>HYPERLINK("https://klasma.github.io/Logging_0115/tillsyn/A 23923-2025 tillsynsbegäran.docx", "A 23923-2025")</f>
        <v/>
      </c>
      <c r="Y28">
        <f>HYPERLINK("https://klasma.github.io/Logging_0115/tillsynsmail/A 23923-2025 tillsynsbegäran mail.docx", "A 23923-2025")</f>
        <v/>
      </c>
      <c r="Z28">
        <f>HYPERLINK("https://klasma.github.io/Logging_0115/fåglar/A 23923-2025 prioriterade fågelarter.docx", "A 23923-2025")</f>
        <v/>
      </c>
    </row>
    <row r="29" ht="15" customHeight="1">
      <c r="A29" t="inlineStr">
        <is>
          <t>A 8817-2025</t>
        </is>
      </c>
      <c r="B29" s="1" t="n">
        <v>45712</v>
      </c>
      <c r="C29" s="1" t="n">
        <v>46204</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7890-2023</t>
        </is>
      </c>
      <c r="B30" s="1" t="n">
        <v>44973</v>
      </c>
      <c r="C30" s="1" t="n">
        <v>46204</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12401-2026</t>
        </is>
      </c>
      <c r="B31" s="1" t="n">
        <v>46090</v>
      </c>
      <c r="C31" s="1" t="n">
        <v>46204</v>
      </c>
      <c r="D31" t="inlineStr">
        <is>
          <t>STOCKHOLMS LÄN</t>
        </is>
      </c>
      <c r="E31" t="inlineStr">
        <is>
          <t>VALLENTUNA</t>
        </is>
      </c>
      <c r="G31" t="n">
        <v>5.9</v>
      </c>
      <c r="H31" t="n">
        <v>1</v>
      </c>
      <c r="I31" t="n">
        <v>0</v>
      </c>
      <c r="J31" t="n">
        <v>0</v>
      </c>
      <c r="K31" t="n">
        <v>0</v>
      </c>
      <c r="L31" t="n">
        <v>0</v>
      </c>
      <c r="M31" t="n">
        <v>0</v>
      </c>
      <c r="N31" t="n">
        <v>0</v>
      </c>
      <c r="O31" t="n">
        <v>0</v>
      </c>
      <c r="P31" t="n">
        <v>0</v>
      </c>
      <c r="Q31" t="n">
        <v>1</v>
      </c>
      <c r="R31" s="2" t="inlineStr">
        <is>
          <t>Spillkråka</t>
        </is>
      </c>
      <c r="S31">
        <f>HYPERLINK("https://klasma.github.io/Logging_0115/artfynd/A 12401-2026 artfynd.xlsx", "A 12401-2026")</f>
        <v/>
      </c>
      <c r="T31">
        <f>HYPERLINK("https://klasma.github.io/Logging_0115/kartor/A 12401-2026 karta.png", "A 12401-2026")</f>
        <v/>
      </c>
      <c r="V31">
        <f>HYPERLINK("https://klasma.github.io/Logging_0115/klagomål/A 12401-2026 FSC-klagomål.docx", "A 12401-2026")</f>
        <v/>
      </c>
      <c r="W31">
        <f>HYPERLINK("https://klasma.github.io/Logging_0115/klagomålsmail/A 12401-2026 FSC-klagomål mail.docx", "A 12401-2026")</f>
        <v/>
      </c>
      <c r="X31">
        <f>HYPERLINK("https://klasma.github.io/Logging_0115/tillsyn/A 12401-2026 tillsynsbegäran.docx", "A 12401-2026")</f>
        <v/>
      </c>
      <c r="Y31">
        <f>HYPERLINK("https://klasma.github.io/Logging_0115/tillsynsmail/A 12401-2026 tillsynsbegäran mail.docx", "A 12401-2026")</f>
        <v/>
      </c>
      <c r="Z31">
        <f>HYPERLINK("https://klasma.github.io/Logging_0115/fåglar/A 12401-2026 prioriterade fågelarter.docx", "A 12401-2026")</f>
        <v/>
      </c>
    </row>
    <row r="32" ht="15" customHeight="1">
      <c r="A32" t="inlineStr">
        <is>
          <t>A 12396-2026</t>
        </is>
      </c>
      <c r="B32" s="1" t="n">
        <v>46090</v>
      </c>
      <c r="C32" s="1" t="n">
        <v>46204</v>
      </c>
      <c r="D32" t="inlineStr">
        <is>
          <t>STOCKHOLMS LÄN</t>
        </is>
      </c>
      <c r="E32" t="inlineStr">
        <is>
          <t>VALLENTUNA</t>
        </is>
      </c>
      <c r="G32" t="n">
        <v>3</v>
      </c>
      <c r="H32" t="n">
        <v>1</v>
      </c>
      <c r="I32" t="n">
        <v>0</v>
      </c>
      <c r="J32" t="n">
        <v>0</v>
      </c>
      <c r="K32" t="n">
        <v>0</v>
      </c>
      <c r="L32" t="n">
        <v>0</v>
      </c>
      <c r="M32" t="n">
        <v>0</v>
      </c>
      <c r="N32" t="n">
        <v>0</v>
      </c>
      <c r="O32" t="n">
        <v>0</v>
      </c>
      <c r="P32" t="n">
        <v>0</v>
      </c>
      <c r="Q32" t="n">
        <v>1</v>
      </c>
      <c r="R32" s="2" t="inlineStr">
        <is>
          <t>Spillkråka</t>
        </is>
      </c>
      <c r="S32">
        <f>HYPERLINK("https://klasma.github.io/Logging_0115/artfynd/A 12396-2026 artfynd.xlsx", "A 12396-2026")</f>
        <v/>
      </c>
      <c r="T32">
        <f>HYPERLINK("https://klasma.github.io/Logging_0115/kartor/A 12396-2026 karta.png", "A 12396-2026")</f>
        <v/>
      </c>
      <c r="V32">
        <f>HYPERLINK("https://klasma.github.io/Logging_0115/klagomål/A 12396-2026 FSC-klagomål.docx", "A 12396-2026")</f>
        <v/>
      </c>
      <c r="W32">
        <f>HYPERLINK("https://klasma.github.io/Logging_0115/klagomålsmail/A 12396-2026 FSC-klagomål mail.docx", "A 12396-2026")</f>
        <v/>
      </c>
      <c r="X32">
        <f>HYPERLINK("https://klasma.github.io/Logging_0115/tillsyn/A 12396-2026 tillsynsbegäran.docx", "A 12396-2026")</f>
        <v/>
      </c>
      <c r="Y32">
        <f>HYPERLINK("https://klasma.github.io/Logging_0115/tillsynsmail/A 12396-2026 tillsynsbegäran mail.docx", "A 12396-2026")</f>
        <v/>
      </c>
      <c r="Z32">
        <f>HYPERLINK("https://klasma.github.io/Logging_0115/fåglar/A 12396-2026 prioriterade fågelarter.docx", "A 12396-2026")</f>
        <v/>
      </c>
    </row>
    <row r="33" ht="15" customHeight="1">
      <c r="A33" t="inlineStr">
        <is>
          <t>A 22830-2024</t>
        </is>
      </c>
      <c r="B33" s="1" t="n">
        <v>45448</v>
      </c>
      <c r="C33" s="1" t="n">
        <v>46204</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54460-2025</t>
        </is>
      </c>
      <c r="B34" s="1" t="n">
        <v>45965</v>
      </c>
      <c r="C34" s="1" t="n">
        <v>46204</v>
      </c>
      <c r="D34" t="inlineStr">
        <is>
          <t>STOCKHOLMS LÄN</t>
        </is>
      </c>
      <c r="E34" t="inlineStr">
        <is>
          <t>VALLENTUNA</t>
        </is>
      </c>
      <c r="G34" t="n">
        <v>22.9</v>
      </c>
      <c r="H34" t="n">
        <v>0</v>
      </c>
      <c r="I34" t="n">
        <v>0</v>
      </c>
      <c r="J34" t="n">
        <v>1</v>
      </c>
      <c r="K34" t="n">
        <v>0</v>
      </c>
      <c r="L34" t="n">
        <v>0</v>
      </c>
      <c r="M34" t="n">
        <v>0</v>
      </c>
      <c r="N34" t="n">
        <v>0</v>
      </c>
      <c r="O34" t="n">
        <v>1</v>
      </c>
      <c r="P34" t="n">
        <v>0</v>
      </c>
      <c r="Q34" t="n">
        <v>1</v>
      </c>
      <c r="R34" s="2" t="inlineStr">
        <is>
          <t>Gullklöver</t>
        </is>
      </c>
      <c r="S34">
        <f>HYPERLINK("https://klasma.github.io/Logging_0115/artfynd/A 54460-2025 artfynd.xlsx", "A 54460-2025")</f>
        <v/>
      </c>
      <c r="T34">
        <f>HYPERLINK("https://klasma.github.io/Logging_0115/kartor/A 54460-2025 karta.png", "A 54460-2025")</f>
        <v/>
      </c>
      <c r="V34">
        <f>HYPERLINK("https://klasma.github.io/Logging_0115/klagomål/A 54460-2025 FSC-klagomål.docx", "A 54460-2025")</f>
        <v/>
      </c>
      <c r="W34">
        <f>HYPERLINK("https://klasma.github.io/Logging_0115/klagomålsmail/A 54460-2025 FSC-klagomål mail.docx", "A 54460-2025")</f>
        <v/>
      </c>
      <c r="X34">
        <f>HYPERLINK("https://klasma.github.io/Logging_0115/tillsyn/A 54460-2025 tillsynsbegäran.docx", "A 54460-2025")</f>
        <v/>
      </c>
      <c r="Y34">
        <f>HYPERLINK("https://klasma.github.io/Logging_0115/tillsynsmail/A 54460-2025 tillsynsbegäran mail.docx", "A 54460-2025")</f>
        <v/>
      </c>
    </row>
    <row r="35" ht="15" customHeight="1">
      <c r="A35" t="inlineStr">
        <is>
          <t>A 54481-2025</t>
        </is>
      </c>
      <c r="B35" s="1" t="n">
        <v>45965</v>
      </c>
      <c r="C35" s="1" t="n">
        <v>46204</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17348-2025</t>
        </is>
      </c>
      <c r="B36" s="1" t="n">
        <v>45756</v>
      </c>
      <c r="C36" s="1" t="n">
        <v>46204</v>
      </c>
      <c r="D36" t="inlineStr">
        <is>
          <t>STOCKHOLMS LÄN</t>
        </is>
      </c>
      <c r="E36" t="inlineStr">
        <is>
          <t>VALLENTUNA</t>
        </is>
      </c>
      <c r="F36" t="inlineStr">
        <is>
          <t>Övriga Aktiebolag</t>
        </is>
      </c>
      <c r="G36" t="n">
        <v>2.2</v>
      </c>
      <c r="H36" t="n">
        <v>0</v>
      </c>
      <c r="I36" t="n">
        <v>1</v>
      </c>
      <c r="J36" t="n">
        <v>0</v>
      </c>
      <c r="K36" t="n">
        <v>0</v>
      </c>
      <c r="L36" t="n">
        <v>0</v>
      </c>
      <c r="M36" t="n">
        <v>0</v>
      </c>
      <c r="N36" t="n">
        <v>0</v>
      </c>
      <c r="O36" t="n">
        <v>0</v>
      </c>
      <c r="P36" t="n">
        <v>0</v>
      </c>
      <c r="Q36" t="n">
        <v>1</v>
      </c>
      <c r="R36" s="2" t="inlineStr">
        <is>
          <t>Björksplintborre</t>
        </is>
      </c>
      <c r="S36">
        <f>HYPERLINK("https://klasma.github.io/Logging_0115/artfynd/A 17348-2025 artfynd.xlsx", "A 17348-2025")</f>
        <v/>
      </c>
      <c r="T36">
        <f>HYPERLINK("https://klasma.github.io/Logging_0115/kartor/A 17348-2025 karta.png", "A 17348-2025")</f>
        <v/>
      </c>
      <c r="V36">
        <f>HYPERLINK("https://klasma.github.io/Logging_0115/klagomål/A 17348-2025 FSC-klagomål.docx", "A 17348-2025")</f>
        <v/>
      </c>
      <c r="W36">
        <f>HYPERLINK("https://klasma.github.io/Logging_0115/klagomålsmail/A 17348-2025 FSC-klagomål mail.docx", "A 17348-2025")</f>
        <v/>
      </c>
      <c r="X36">
        <f>HYPERLINK("https://klasma.github.io/Logging_0115/tillsyn/A 17348-2025 tillsynsbegäran.docx", "A 17348-2025")</f>
        <v/>
      </c>
      <c r="Y36">
        <f>HYPERLINK("https://klasma.github.io/Logging_0115/tillsynsmail/A 17348-2025 tillsynsbegäran mail.docx", "A 17348-2025")</f>
        <v/>
      </c>
    </row>
    <row r="37" ht="15" customHeight="1">
      <c r="A37" t="inlineStr">
        <is>
          <t>A 34458-2023</t>
        </is>
      </c>
      <c r="B37" s="1" t="n">
        <v>45139</v>
      </c>
      <c r="C37" s="1" t="n">
        <v>46204</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24068-2024</t>
        </is>
      </c>
      <c r="B38" s="1" t="n">
        <v>45456</v>
      </c>
      <c r="C38" s="1" t="n">
        <v>46204</v>
      </c>
      <c r="D38" t="inlineStr">
        <is>
          <t>STOCKHOLMS LÄN</t>
        </is>
      </c>
      <c r="E38" t="inlineStr">
        <is>
          <t>VALLENTUNA</t>
        </is>
      </c>
      <c r="G38" t="n">
        <v>7.4</v>
      </c>
      <c r="H38" t="n">
        <v>0</v>
      </c>
      <c r="I38" t="n">
        <v>0</v>
      </c>
      <c r="J38" t="n">
        <v>1</v>
      </c>
      <c r="K38" t="n">
        <v>0</v>
      </c>
      <c r="L38" t="n">
        <v>0</v>
      </c>
      <c r="M38" t="n">
        <v>0</v>
      </c>
      <c r="N38" t="n">
        <v>0</v>
      </c>
      <c r="O38" t="n">
        <v>1</v>
      </c>
      <c r="P38" t="n">
        <v>0</v>
      </c>
      <c r="Q38" t="n">
        <v>1</v>
      </c>
      <c r="R38" s="2" t="inlineStr">
        <is>
          <t>Vedskivlav</t>
        </is>
      </c>
      <c r="S38">
        <f>HYPERLINK("https://klasma.github.io/Logging_0115/artfynd/A 24068-2024 artfynd.xlsx", "A 24068-2024")</f>
        <v/>
      </c>
      <c r="T38">
        <f>HYPERLINK("https://klasma.github.io/Logging_0115/kartor/A 24068-2024 karta.png", "A 24068-2024")</f>
        <v/>
      </c>
      <c r="V38">
        <f>HYPERLINK("https://klasma.github.io/Logging_0115/klagomål/A 24068-2024 FSC-klagomål.docx", "A 24068-2024")</f>
        <v/>
      </c>
      <c r="W38">
        <f>HYPERLINK("https://klasma.github.io/Logging_0115/klagomålsmail/A 24068-2024 FSC-klagomål mail.docx", "A 24068-2024")</f>
        <v/>
      </c>
      <c r="X38">
        <f>HYPERLINK("https://klasma.github.io/Logging_0115/tillsyn/A 24068-2024 tillsynsbegäran.docx", "A 24068-2024")</f>
        <v/>
      </c>
      <c r="Y38">
        <f>HYPERLINK("https://klasma.github.io/Logging_0115/tillsynsmail/A 24068-2024 tillsynsbegäran mail.docx", "A 24068-2024")</f>
        <v/>
      </c>
    </row>
    <row r="39" ht="15" customHeight="1">
      <c r="A39" t="inlineStr">
        <is>
          <t>A 21-2022</t>
        </is>
      </c>
      <c r="B39" s="1" t="n">
        <v>44560</v>
      </c>
      <c r="C39" s="1" t="n">
        <v>46204</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20910-2026</t>
        </is>
      </c>
      <c r="B40" s="1" t="n">
        <v>46142</v>
      </c>
      <c r="C40" s="1" t="n">
        <v>46204</v>
      </c>
      <c r="D40" t="inlineStr">
        <is>
          <t>STOCKHOLMS LÄN</t>
        </is>
      </c>
      <c r="E40" t="inlineStr">
        <is>
          <t>VALLENTUNA</t>
        </is>
      </c>
      <c r="G40" t="n">
        <v>1.8</v>
      </c>
      <c r="H40" t="n">
        <v>1</v>
      </c>
      <c r="I40" t="n">
        <v>0</v>
      </c>
      <c r="J40" t="n">
        <v>0</v>
      </c>
      <c r="K40" t="n">
        <v>0</v>
      </c>
      <c r="L40" t="n">
        <v>0</v>
      </c>
      <c r="M40" t="n">
        <v>0</v>
      </c>
      <c r="N40" t="n">
        <v>0</v>
      </c>
      <c r="O40" t="n">
        <v>0</v>
      </c>
      <c r="P40" t="n">
        <v>0</v>
      </c>
      <c r="Q40" t="n">
        <v>1</v>
      </c>
      <c r="R40" s="2" t="inlineStr">
        <is>
          <t>Revlummer</t>
        </is>
      </c>
      <c r="S40">
        <f>HYPERLINK("https://klasma.github.io/Logging_0115/artfynd/A 20910-2026 artfynd.xlsx", "A 20910-2026")</f>
        <v/>
      </c>
      <c r="T40">
        <f>HYPERLINK("https://klasma.github.io/Logging_0115/kartor/A 20910-2026 karta.png", "A 20910-2026")</f>
        <v/>
      </c>
      <c r="V40">
        <f>HYPERLINK("https://klasma.github.io/Logging_0115/klagomål/A 20910-2026 FSC-klagomål.docx", "A 20910-2026")</f>
        <v/>
      </c>
      <c r="W40">
        <f>HYPERLINK("https://klasma.github.io/Logging_0115/klagomålsmail/A 20910-2026 FSC-klagomål mail.docx", "A 20910-2026")</f>
        <v/>
      </c>
      <c r="X40">
        <f>HYPERLINK("https://klasma.github.io/Logging_0115/tillsyn/A 20910-2026 tillsynsbegäran.docx", "A 20910-2026")</f>
        <v/>
      </c>
      <c r="Y40">
        <f>HYPERLINK("https://klasma.github.io/Logging_0115/tillsynsmail/A 20910-2026 tillsynsbegäran mail.docx", "A 20910-2026")</f>
        <v/>
      </c>
    </row>
    <row r="41" ht="15" customHeight="1">
      <c r="A41" t="inlineStr">
        <is>
          <t>A 20914-2026</t>
        </is>
      </c>
      <c r="B41" s="1" t="n">
        <v>46142</v>
      </c>
      <c r="C41" s="1" t="n">
        <v>46204</v>
      </c>
      <c r="D41" t="inlineStr">
        <is>
          <t>STOCKHOLMS LÄN</t>
        </is>
      </c>
      <c r="E41" t="inlineStr">
        <is>
          <t>VALLENTUNA</t>
        </is>
      </c>
      <c r="G41" t="n">
        <v>1.1</v>
      </c>
      <c r="H41" t="n">
        <v>0</v>
      </c>
      <c r="I41" t="n">
        <v>0</v>
      </c>
      <c r="J41" t="n">
        <v>1</v>
      </c>
      <c r="K41" t="n">
        <v>0</v>
      </c>
      <c r="L41" t="n">
        <v>0</v>
      </c>
      <c r="M41" t="n">
        <v>0</v>
      </c>
      <c r="N41" t="n">
        <v>0</v>
      </c>
      <c r="O41" t="n">
        <v>1</v>
      </c>
      <c r="P41" t="n">
        <v>0</v>
      </c>
      <c r="Q41" t="n">
        <v>1</v>
      </c>
      <c r="R41" s="2" t="inlineStr">
        <is>
          <t>Tallticka</t>
        </is>
      </c>
      <c r="S41">
        <f>HYPERLINK("https://klasma.github.io/Logging_0115/artfynd/A 20914-2026 artfynd.xlsx", "A 20914-2026")</f>
        <v/>
      </c>
      <c r="T41">
        <f>HYPERLINK("https://klasma.github.io/Logging_0115/kartor/A 20914-2026 karta.png", "A 20914-2026")</f>
        <v/>
      </c>
      <c r="V41">
        <f>HYPERLINK("https://klasma.github.io/Logging_0115/klagomål/A 20914-2026 FSC-klagomål.docx", "A 20914-2026")</f>
        <v/>
      </c>
      <c r="W41">
        <f>HYPERLINK("https://klasma.github.io/Logging_0115/klagomålsmail/A 20914-2026 FSC-klagomål mail.docx", "A 20914-2026")</f>
        <v/>
      </c>
      <c r="X41">
        <f>HYPERLINK("https://klasma.github.io/Logging_0115/tillsyn/A 20914-2026 tillsynsbegäran.docx", "A 20914-2026")</f>
        <v/>
      </c>
      <c r="Y41">
        <f>HYPERLINK("https://klasma.github.io/Logging_0115/tillsynsmail/A 20914-2026 tillsynsbegäran mail.docx", "A 20914-2026")</f>
        <v/>
      </c>
    </row>
    <row r="42" ht="15" customHeight="1">
      <c r="A42" t="inlineStr">
        <is>
          <t>A 17341-2025</t>
        </is>
      </c>
      <c r="B42" s="1" t="n">
        <v>45756</v>
      </c>
      <c r="C42" s="1" t="n">
        <v>46204</v>
      </c>
      <c r="D42" t="inlineStr">
        <is>
          <t>STOCKHOLMS LÄN</t>
        </is>
      </c>
      <c r="E42" t="inlineStr">
        <is>
          <t>VALLENTUNA</t>
        </is>
      </c>
      <c r="F42" t="inlineStr">
        <is>
          <t>Övriga Aktiebolag</t>
        </is>
      </c>
      <c r="G42" t="n">
        <v>5.2</v>
      </c>
      <c r="H42" t="n">
        <v>0</v>
      </c>
      <c r="I42" t="n">
        <v>1</v>
      </c>
      <c r="J42" t="n">
        <v>0</v>
      </c>
      <c r="K42" t="n">
        <v>0</v>
      </c>
      <c r="L42" t="n">
        <v>0</v>
      </c>
      <c r="M42" t="n">
        <v>0</v>
      </c>
      <c r="N42" t="n">
        <v>0</v>
      </c>
      <c r="O42" t="n">
        <v>0</v>
      </c>
      <c r="P42" t="n">
        <v>0</v>
      </c>
      <c r="Q42" t="n">
        <v>1</v>
      </c>
      <c r="R42" s="2" t="inlineStr">
        <is>
          <t>Björksplintborre</t>
        </is>
      </c>
      <c r="S42">
        <f>HYPERLINK("https://klasma.github.io/Logging_0115/artfynd/A 17341-2025 artfynd.xlsx", "A 17341-2025")</f>
        <v/>
      </c>
      <c r="T42">
        <f>HYPERLINK("https://klasma.github.io/Logging_0115/kartor/A 17341-2025 karta.png", "A 17341-2025")</f>
        <v/>
      </c>
      <c r="V42">
        <f>HYPERLINK("https://klasma.github.io/Logging_0115/klagomål/A 17341-2025 FSC-klagomål.docx", "A 17341-2025")</f>
        <v/>
      </c>
      <c r="W42">
        <f>HYPERLINK("https://klasma.github.io/Logging_0115/klagomålsmail/A 17341-2025 FSC-klagomål mail.docx", "A 17341-2025")</f>
        <v/>
      </c>
      <c r="X42">
        <f>HYPERLINK("https://klasma.github.io/Logging_0115/tillsyn/A 17341-2025 tillsynsbegäran.docx", "A 17341-2025")</f>
        <v/>
      </c>
      <c r="Y42">
        <f>HYPERLINK("https://klasma.github.io/Logging_0115/tillsynsmail/A 17341-2025 tillsynsbegäran mail.docx", "A 17341-2025")</f>
        <v/>
      </c>
    </row>
    <row r="43" ht="15" customHeight="1">
      <c r="A43" t="inlineStr">
        <is>
          <t>A 23009-2024</t>
        </is>
      </c>
      <c r="B43" s="1" t="n">
        <v>45450</v>
      </c>
      <c r="C43" s="1" t="n">
        <v>46204</v>
      </c>
      <c r="D43" t="inlineStr">
        <is>
          <t>STOCKHOLMS LÄN</t>
        </is>
      </c>
      <c r="E43" t="inlineStr">
        <is>
          <t>VALLENTUNA</t>
        </is>
      </c>
      <c r="G43" t="n">
        <v>1.4</v>
      </c>
      <c r="H43" t="n">
        <v>0</v>
      </c>
      <c r="I43" t="n">
        <v>1</v>
      </c>
      <c r="J43" t="n">
        <v>0</v>
      </c>
      <c r="K43" t="n">
        <v>0</v>
      </c>
      <c r="L43" t="n">
        <v>0</v>
      </c>
      <c r="M43" t="n">
        <v>0</v>
      </c>
      <c r="N43" t="n">
        <v>0</v>
      </c>
      <c r="O43" t="n">
        <v>0</v>
      </c>
      <c r="P43" t="n">
        <v>0</v>
      </c>
      <c r="Q43" t="n">
        <v>1</v>
      </c>
      <c r="R43" s="2" t="inlineStr">
        <is>
          <t>Tibast</t>
        </is>
      </c>
      <c r="S43">
        <f>HYPERLINK("https://klasma.github.io/Logging_0115/artfynd/A 23009-2024 artfynd.xlsx", "A 23009-2024")</f>
        <v/>
      </c>
      <c r="T43">
        <f>HYPERLINK("https://klasma.github.io/Logging_0115/kartor/A 23009-2024 karta.png", "A 23009-2024")</f>
        <v/>
      </c>
      <c r="V43">
        <f>HYPERLINK("https://klasma.github.io/Logging_0115/klagomål/A 23009-2024 FSC-klagomål.docx", "A 23009-2024")</f>
        <v/>
      </c>
      <c r="W43">
        <f>HYPERLINK("https://klasma.github.io/Logging_0115/klagomålsmail/A 23009-2024 FSC-klagomål mail.docx", "A 23009-2024")</f>
        <v/>
      </c>
      <c r="X43">
        <f>HYPERLINK("https://klasma.github.io/Logging_0115/tillsyn/A 23009-2024 tillsynsbegäran.docx", "A 23009-2024")</f>
        <v/>
      </c>
      <c r="Y43">
        <f>HYPERLINK("https://klasma.github.io/Logging_0115/tillsynsmail/A 23009-2024 tillsynsbegäran mail.docx", "A 23009-2024")</f>
        <v/>
      </c>
    </row>
    <row r="44" ht="15" customHeight="1">
      <c r="A44" t="inlineStr">
        <is>
          <t>A 8089-2022</t>
        </is>
      </c>
      <c r="B44" s="1" t="n">
        <v>44609</v>
      </c>
      <c r="C44" s="1" t="n">
        <v>46204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46204</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46204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46204</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46204</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46204</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46204</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46204</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46204</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46204</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46204</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46204</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26390-2023</t>
        </is>
      </c>
      <c r="B56" s="1" t="n">
        <v>45086</v>
      </c>
      <c r="C56" s="1" t="n">
        <v>46204</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46204</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61742-2022</t>
        </is>
      </c>
      <c r="B58" s="1" t="n">
        <v>44917</v>
      </c>
      <c r="C58" s="1" t="n">
        <v>46204</v>
      </c>
      <c r="D58" t="inlineStr">
        <is>
          <t>STOCKHOLMS LÄN</t>
        </is>
      </c>
      <c r="E58" t="inlineStr">
        <is>
          <t>VALLENTUNA</t>
        </is>
      </c>
      <c r="G58" t="n">
        <v>0.5</v>
      </c>
      <c r="H58" t="n">
        <v>0</v>
      </c>
      <c r="I58" t="n">
        <v>0</v>
      </c>
      <c r="J58" t="n">
        <v>0</v>
      </c>
      <c r="K58" t="n">
        <v>0</v>
      </c>
      <c r="L58" t="n">
        <v>0</v>
      </c>
      <c r="M58" t="n">
        <v>0</v>
      </c>
      <c r="N58" t="n">
        <v>0</v>
      </c>
      <c r="O58" t="n">
        <v>0</v>
      </c>
      <c r="P58" t="n">
        <v>0</v>
      </c>
      <c r="Q58" t="n">
        <v>0</v>
      </c>
      <c r="R58" s="2" t="inlineStr"/>
    </row>
    <row r="59" ht="15" customHeight="1">
      <c r="A59" t="inlineStr">
        <is>
          <t>A 12562-2023</t>
        </is>
      </c>
      <c r="B59" s="1" t="n">
        <v>45000</v>
      </c>
      <c r="C59" s="1" t="n">
        <v>46204</v>
      </c>
      <c r="D59" t="inlineStr">
        <is>
          <t>STOCKHOLMS LÄN</t>
        </is>
      </c>
      <c r="E59" t="inlineStr">
        <is>
          <t>VALLENTUNA</t>
        </is>
      </c>
      <c r="G59" t="n">
        <v>2.1</v>
      </c>
      <c r="H59" t="n">
        <v>0</v>
      </c>
      <c r="I59" t="n">
        <v>0</v>
      </c>
      <c r="J59" t="n">
        <v>0</v>
      </c>
      <c r="K59" t="n">
        <v>0</v>
      </c>
      <c r="L59" t="n">
        <v>0</v>
      </c>
      <c r="M59" t="n">
        <v>0</v>
      </c>
      <c r="N59" t="n">
        <v>0</v>
      </c>
      <c r="O59" t="n">
        <v>0</v>
      </c>
      <c r="P59" t="n">
        <v>0</v>
      </c>
      <c r="Q59" t="n">
        <v>0</v>
      </c>
      <c r="R59" s="2" t="inlineStr"/>
    </row>
    <row r="60" ht="15" customHeight="1">
      <c r="A60" t="inlineStr">
        <is>
          <t>A 14480-2024</t>
        </is>
      </c>
      <c r="B60" s="1" t="n">
        <v>45394</v>
      </c>
      <c r="C60" s="1" t="n">
        <v>46204</v>
      </c>
      <c r="D60" t="inlineStr">
        <is>
          <t>STOCKHOLMS LÄN</t>
        </is>
      </c>
      <c r="E60" t="inlineStr">
        <is>
          <t>VALLENTUNA</t>
        </is>
      </c>
      <c r="G60" t="n">
        <v>1.8</v>
      </c>
      <c r="H60" t="n">
        <v>0</v>
      </c>
      <c r="I60" t="n">
        <v>0</v>
      </c>
      <c r="J60" t="n">
        <v>0</v>
      </c>
      <c r="K60" t="n">
        <v>0</v>
      </c>
      <c r="L60" t="n">
        <v>0</v>
      </c>
      <c r="M60" t="n">
        <v>0</v>
      </c>
      <c r="N60" t="n">
        <v>0</v>
      </c>
      <c r="O60" t="n">
        <v>0</v>
      </c>
      <c r="P60" t="n">
        <v>0</v>
      </c>
      <c r="Q60" t="n">
        <v>0</v>
      </c>
      <c r="R60" s="2" t="inlineStr"/>
    </row>
    <row r="61" ht="15" customHeight="1">
      <c r="A61" t="inlineStr">
        <is>
          <t>A 17340-2025</t>
        </is>
      </c>
      <c r="B61" s="1" t="n">
        <v>45756</v>
      </c>
      <c r="C61" s="1" t="n">
        <v>46204</v>
      </c>
      <c r="D61" t="inlineStr">
        <is>
          <t>STOCKHOLMS LÄN</t>
        </is>
      </c>
      <c r="E61" t="inlineStr">
        <is>
          <t>VALLENTUNA</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30902-2025</t>
        </is>
      </c>
      <c r="B62" s="1" t="n">
        <v>45832</v>
      </c>
      <c r="C62" s="1" t="n">
        <v>46204</v>
      </c>
      <c r="D62" t="inlineStr">
        <is>
          <t>STOCKHOLMS LÄN</t>
        </is>
      </c>
      <c r="E62" t="inlineStr">
        <is>
          <t>VALLENTUNA</t>
        </is>
      </c>
      <c r="G62" t="n">
        <v>8.199999999999999</v>
      </c>
      <c r="H62" t="n">
        <v>0</v>
      </c>
      <c r="I62" t="n">
        <v>0</v>
      </c>
      <c r="J62" t="n">
        <v>0</v>
      </c>
      <c r="K62" t="n">
        <v>0</v>
      </c>
      <c r="L62" t="n">
        <v>0</v>
      </c>
      <c r="M62" t="n">
        <v>0</v>
      </c>
      <c r="N62" t="n">
        <v>0</v>
      </c>
      <c r="O62" t="n">
        <v>0</v>
      </c>
      <c r="P62" t="n">
        <v>0</v>
      </c>
      <c r="Q62" t="n">
        <v>0</v>
      </c>
      <c r="R62" s="2" t="inlineStr"/>
    </row>
    <row r="63" ht="15" customHeight="1">
      <c r="A63" t="inlineStr">
        <is>
          <t>A 45496-2023</t>
        </is>
      </c>
      <c r="B63" s="1" t="n">
        <v>45194</v>
      </c>
      <c r="C63" s="1" t="n">
        <v>46204</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29704-2023</t>
        </is>
      </c>
      <c r="B64" s="1" t="n">
        <v>45107</v>
      </c>
      <c r="C64" s="1" t="n">
        <v>46204</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28431-2025</t>
        </is>
      </c>
      <c r="B65" s="1" t="n">
        <v>45819</v>
      </c>
      <c r="C65" s="1" t="n">
        <v>46204</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12609-2024</t>
        </is>
      </c>
      <c r="B66" s="1" t="n">
        <v>45382</v>
      </c>
      <c r="C66" s="1" t="n">
        <v>46204</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13836-2022</t>
        </is>
      </c>
      <c r="B67" s="1" t="n">
        <v>44649</v>
      </c>
      <c r="C67" s="1" t="n">
        <v>46204</v>
      </c>
      <c r="D67" t="inlineStr">
        <is>
          <t>STOCKHOLMS LÄN</t>
        </is>
      </c>
      <c r="E67" t="inlineStr">
        <is>
          <t>VALLENTUNA</t>
        </is>
      </c>
      <c r="G67" t="n">
        <v>3.5</v>
      </c>
      <c r="H67" t="n">
        <v>0</v>
      </c>
      <c r="I67" t="n">
        <v>0</v>
      </c>
      <c r="J67" t="n">
        <v>0</v>
      </c>
      <c r="K67" t="n">
        <v>0</v>
      </c>
      <c r="L67" t="n">
        <v>0</v>
      </c>
      <c r="M67" t="n">
        <v>0</v>
      </c>
      <c r="N67" t="n">
        <v>0</v>
      </c>
      <c r="O67" t="n">
        <v>0</v>
      </c>
      <c r="P67" t="n">
        <v>0</v>
      </c>
      <c r="Q67" t="n">
        <v>0</v>
      </c>
      <c r="R67" s="2" t="inlineStr"/>
    </row>
    <row r="68" ht="15" customHeight="1">
      <c r="A68" t="inlineStr">
        <is>
          <t>A 44346-2021</t>
        </is>
      </c>
      <c r="B68" s="1" t="n">
        <v>44434</v>
      </c>
      <c r="C68" s="1" t="n">
        <v>46204</v>
      </c>
      <c r="D68" t="inlineStr">
        <is>
          <t>STOCKHOLMS LÄN</t>
        </is>
      </c>
      <c r="E68" t="inlineStr">
        <is>
          <t>VALLENTUNA</t>
        </is>
      </c>
      <c r="G68" t="n">
        <v>3</v>
      </c>
      <c r="H68" t="n">
        <v>0</v>
      </c>
      <c r="I68" t="n">
        <v>0</v>
      </c>
      <c r="J68" t="n">
        <v>0</v>
      </c>
      <c r="K68" t="n">
        <v>0</v>
      </c>
      <c r="L68" t="n">
        <v>0</v>
      </c>
      <c r="M68" t="n">
        <v>0</v>
      </c>
      <c r="N68" t="n">
        <v>0</v>
      </c>
      <c r="O68" t="n">
        <v>0</v>
      </c>
      <c r="P68" t="n">
        <v>0</v>
      </c>
      <c r="Q68" t="n">
        <v>0</v>
      </c>
      <c r="R68" s="2" t="inlineStr"/>
    </row>
    <row r="69" ht="15" customHeight="1">
      <c r="A69" t="inlineStr">
        <is>
          <t>A 48014-2025</t>
        </is>
      </c>
      <c r="B69" s="1" t="n">
        <v>45932</v>
      </c>
      <c r="C69" s="1" t="n">
        <v>46204</v>
      </c>
      <c r="D69" t="inlineStr">
        <is>
          <t>STOCKHOLMS LÄN</t>
        </is>
      </c>
      <c r="E69" t="inlineStr">
        <is>
          <t>VALLENTUNA</t>
        </is>
      </c>
      <c r="G69" t="n">
        <v>0.6</v>
      </c>
      <c r="H69" t="n">
        <v>0</v>
      </c>
      <c r="I69" t="n">
        <v>0</v>
      </c>
      <c r="J69" t="n">
        <v>0</v>
      </c>
      <c r="K69" t="n">
        <v>0</v>
      </c>
      <c r="L69" t="n">
        <v>0</v>
      </c>
      <c r="M69" t="n">
        <v>0</v>
      </c>
      <c r="N69" t="n">
        <v>0</v>
      </c>
      <c r="O69" t="n">
        <v>0</v>
      </c>
      <c r="P69" t="n">
        <v>0</v>
      </c>
      <c r="Q69" t="n">
        <v>0</v>
      </c>
      <c r="R69" s="2" t="inlineStr"/>
    </row>
    <row r="70" ht="15" customHeight="1">
      <c r="A70" t="inlineStr">
        <is>
          <t>A 48038-2025</t>
        </is>
      </c>
      <c r="B70" s="1" t="n">
        <v>45932</v>
      </c>
      <c r="C70" s="1" t="n">
        <v>46204</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24707-2023</t>
        </is>
      </c>
      <c r="B71" s="1" t="n">
        <v>45084</v>
      </c>
      <c r="C71" s="1" t="n">
        <v>46204</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12400-2026</t>
        </is>
      </c>
      <c r="B72" s="1" t="n">
        <v>46090</v>
      </c>
      <c r="C72" s="1" t="n">
        <v>46204</v>
      </c>
      <c r="D72" t="inlineStr">
        <is>
          <t>STOCKHOLMS LÄN</t>
        </is>
      </c>
      <c r="E72" t="inlineStr">
        <is>
          <t>VALLENTUNA</t>
        </is>
      </c>
      <c r="G72" t="n">
        <v>1.9</v>
      </c>
      <c r="H72" t="n">
        <v>0</v>
      </c>
      <c r="I72" t="n">
        <v>0</v>
      </c>
      <c r="J72" t="n">
        <v>0</v>
      </c>
      <c r="K72" t="n">
        <v>0</v>
      </c>
      <c r="L72" t="n">
        <v>0</v>
      </c>
      <c r="M72" t="n">
        <v>0</v>
      </c>
      <c r="N72" t="n">
        <v>0</v>
      </c>
      <c r="O72" t="n">
        <v>0</v>
      </c>
      <c r="P72" t="n">
        <v>0</v>
      </c>
      <c r="Q72" t="n">
        <v>0</v>
      </c>
      <c r="R72" s="2" t="inlineStr"/>
    </row>
    <row r="73" ht="15" customHeight="1">
      <c r="A73" t="inlineStr">
        <is>
          <t>A 12822-2026</t>
        </is>
      </c>
      <c r="B73" s="1" t="n">
        <v>46092</v>
      </c>
      <c r="C73" s="1" t="n">
        <v>46204</v>
      </c>
      <c r="D73" t="inlineStr">
        <is>
          <t>STOCKHOLMS LÄN</t>
        </is>
      </c>
      <c r="E73" t="inlineStr">
        <is>
          <t>VALLENTUNA</t>
        </is>
      </c>
      <c r="G73" t="n">
        <v>2.7</v>
      </c>
      <c r="H73" t="n">
        <v>0</v>
      </c>
      <c r="I73" t="n">
        <v>0</v>
      </c>
      <c r="J73" t="n">
        <v>0</v>
      </c>
      <c r="K73" t="n">
        <v>0</v>
      </c>
      <c r="L73" t="n">
        <v>0</v>
      </c>
      <c r="M73" t="n">
        <v>0</v>
      </c>
      <c r="N73" t="n">
        <v>0</v>
      </c>
      <c r="O73" t="n">
        <v>0</v>
      </c>
      <c r="P73" t="n">
        <v>0</v>
      </c>
      <c r="Q73" t="n">
        <v>0</v>
      </c>
      <c r="R73" s="2" t="inlineStr"/>
    </row>
    <row r="74" ht="15" customHeight="1">
      <c r="A74" t="inlineStr">
        <is>
          <t>A 12819-2026</t>
        </is>
      </c>
      <c r="B74" s="1" t="n">
        <v>46092</v>
      </c>
      <c r="C74" s="1" t="n">
        <v>46204</v>
      </c>
      <c r="D74" t="inlineStr">
        <is>
          <t>STOCKHOLMS LÄN</t>
        </is>
      </c>
      <c r="E74" t="inlineStr">
        <is>
          <t>VALLENTUNA</t>
        </is>
      </c>
      <c r="G74" t="n">
        <v>3.5</v>
      </c>
      <c r="H74" t="n">
        <v>0</v>
      </c>
      <c r="I74" t="n">
        <v>0</v>
      </c>
      <c r="J74" t="n">
        <v>0</v>
      </c>
      <c r="K74" t="n">
        <v>0</v>
      </c>
      <c r="L74" t="n">
        <v>0</v>
      </c>
      <c r="M74" t="n">
        <v>0</v>
      </c>
      <c r="N74" t="n">
        <v>0</v>
      </c>
      <c r="O74" t="n">
        <v>0</v>
      </c>
      <c r="P74" t="n">
        <v>0</v>
      </c>
      <c r="Q74" t="n">
        <v>0</v>
      </c>
      <c r="R74" s="2" t="inlineStr"/>
    </row>
    <row r="75" ht="15" customHeight="1">
      <c r="A75" t="inlineStr">
        <is>
          <t>A 12828-2026</t>
        </is>
      </c>
      <c r="B75" s="1" t="n">
        <v>46092</v>
      </c>
      <c r="C75" s="1" t="n">
        <v>46204</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12830-2026</t>
        </is>
      </c>
      <c r="B76" s="1" t="n">
        <v>46092</v>
      </c>
      <c r="C76" s="1" t="n">
        <v>46204</v>
      </c>
      <c r="D76" t="inlineStr">
        <is>
          <t>STOCKHOLMS LÄN</t>
        </is>
      </c>
      <c r="E76" t="inlineStr">
        <is>
          <t>VALLENTUNA</t>
        </is>
      </c>
      <c r="G76" t="n">
        <v>1.6</v>
      </c>
      <c r="H76" t="n">
        <v>0</v>
      </c>
      <c r="I76" t="n">
        <v>0</v>
      </c>
      <c r="J76" t="n">
        <v>0</v>
      </c>
      <c r="K76" t="n">
        <v>0</v>
      </c>
      <c r="L76" t="n">
        <v>0</v>
      </c>
      <c r="M76" t="n">
        <v>0</v>
      </c>
      <c r="N76" t="n">
        <v>0</v>
      </c>
      <c r="O76" t="n">
        <v>0</v>
      </c>
      <c r="P76" t="n">
        <v>0</v>
      </c>
      <c r="Q76" t="n">
        <v>0</v>
      </c>
      <c r="R76" s="2" t="inlineStr"/>
    </row>
    <row r="77" ht="15" customHeight="1">
      <c r="A77" t="inlineStr">
        <is>
          <t>A 5910-2022</t>
        </is>
      </c>
      <c r="B77" s="1" t="n">
        <v>44597</v>
      </c>
      <c r="C77" s="1" t="n">
        <v>46204</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14799-2026</t>
        </is>
      </c>
      <c r="B78" s="1" t="n">
        <v>46102</v>
      </c>
      <c r="C78" s="1" t="n">
        <v>46204</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60795-2023</t>
        </is>
      </c>
      <c r="B79" s="1" t="n">
        <v>45260</v>
      </c>
      <c r="C79" s="1" t="n">
        <v>46204</v>
      </c>
      <c r="D79" t="inlineStr">
        <is>
          <t>STOCKHOLMS LÄN</t>
        </is>
      </c>
      <c r="E79" t="inlineStr">
        <is>
          <t>VALLENTUNA</t>
        </is>
      </c>
      <c r="G79" t="n">
        <v>2.2</v>
      </c>
      <c r="H79" t="n">
        <v>0</v>
      </c>
      <c r="I79" t="n">
        <v>0</v>
      </c>
      <c r="J79" t="n">
        <v>0</v>
      </c>
      <c r="K79" t="n">
        <v>0</v>
      </c>
      <c r="L79" t="n">
        <v>0</v>
      </c>
      <c r="M79" t="n">
        <v>0</v>
      </c>
      <c r="N79" t="n">
        <v>0</v>
      </c>
      <c r="O79" t="n">
        <v>0</v>
      </c>
      <c r="P79" t="n">
        <v>0</v>
      </c>
      <c r="Q79" t="n">
        <v>0</v>
      </c>
      <c r="R79" s="2" t="inlineStr"/>
    </row>
    <row r="80" ht="15" customHeight="1">
      <c r="A80" t="inlineStr">
        <is>
          <t>A 14775-2024</t>
        </is>
      </c>
      <c r="B80" s="1" t="n">
        <v>45397</v>
      </c>
      <c r="C80" s="1" t="n">
        <v>46204</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8787-2024</t>
        </is>
      </c>
      <c r="B81" s="1" t="n">
        <v>45356</v>
      </c>
      <c r="C81" s="1" t="n">
        <v>46204</v>
      </c>
      <c r="D81" t="inlineStr">
        <is>
          <t>STOCKHOLMS LÄN</t>
        </is>
      </c>
      <c r="E81" t="inlineStr">
        <is>
          <t>VALLENTUNA</t>
        </is>
      </c>
      <c r="G81" t="n">
        <v>1.2</v>
      </c>
      <c r="H81" t="n">
        <v>0</v>
      </c>
      <c r="I81" t="n">
        <v>0</v>
      </c>
      <c r="J81" t="n">
        <v>0</v>
      </c>
      <c r="K81" t="n">
        <v>0</v>
      </c>
      <c r="L81" t="n">
        <v>0</v>
      </c>
      <c r="M81" t="n">
        <v>0</v>
      </c>
      <c r="N81" t="n">
        <v>0</v>
      </c>
      <c r="O81" t="n">
        <v>0</v>
      </c>
      <c r="P81" t="n">
        <v>0</v>
      </c>
      <c r="Q81" t="n">
        <v>0</v>
      </c>
      <c r="R81" s="2" t="inlineStr"/>
    </row>
    <row r="82" ht="15" customHeight="1">
      <c r="A82" t="inlineStr">
        <is>
          <t>A 14782-2024</t>
        </is>
      </c>
      <c r="B82" s="1" t="n">
        <v>45397</v>
      </c>
      <c r="C82" s="1" t="n">
        <v>46204</v>
      </c>
      <c r="D82" t="inlineStr">
        <is>
          <t>STOCKHOLMS LÄN</t>
        </is>
      </c>
      <c r="E82" t="inlineStr">
        <is>
          <t>VALLENTUNA</t>
        </is>
      </c>
      <c r="G82" t="n">
        <v>3.1</v>
      </c>
      <c r="H82" t="n">
        <v>0</v>
      </c>
      <c r="I82" t="n">
        <v>0</v>
      </c>
      <c r="J82" t="n">
        <v>0</v>
      </c>
      <c r="K82" t="n">
        <v>0</v>
      </c>
      <c r="L82" t="n">
        <v>0</v>
      </c>
      <c r="M82" t="n">
        <v>0</v>
      </c>
      <c r="N82" t="n">
        <v>0</v>
      </c>
      <c r="O82" t="n">
        <v>0</v>
      </c>
      <c r="P82" t="n">
        <v>0</v>
      </c>
      <c r="Q82" t="n">
        <v>0</v>
      </c>
      <c r="R82" s="2" t="inlineStr"/>
    </row>
    <row r="83" ht="15" customHeight="1">
      <c r="A83" t="inlineStr">
        <is>
          <t>A 52562-2023</t>
        </is>
      </c>
      <c r="B83" s="1" t="n">
        <v>45225</v>
      </c>
      <c r="C83" s="1" t="n">
        <v>46204</v>
      </c>
      <c r="D83" t="inlineStr">
        <is>
          <t>STOCKHOLMS LÄN</t>
        </is>
      </c>
      <c r="E83" t="inlineStr">
        <is>
          <t>VALLENTUNA</t>
        </is>
      </c>
      <c r="G83" t="n">
        <v>3.4</v>
      </c>
      <c r="H83" t="n">
        <v>0</v>
      </c>
      <c r="I83" t="n">
        <v>0</v>
      </c>
      <c r="J83" t="n">
        <v>0</v>
      </c>
      <c r="K83" t="n">
        <v>0</v>
      </c>
      <c r="L83" t="n">
        <v>0</v>
      </c>
      <c r="M83" t="n">
        <v>0</v>
      </c>
      <c r="N83" t="n">
        <v>0</v>
      </c>
      <c r="O83" t="n">
        <v>0</v>
      </c>
      <c r="P83" t="n">
        <v>0</v>
      </c>
      <c r="Q83" t="n">
        <v>0</v>
      </c>
      <c r="R83" s="2" t="inlineStr"/>
    </row>
    <row r="84" ht="15" customHeight="1">
      <c r="A84" t="inlineStr">
        <is>
          <t>A 49530-2023</t>
        </is>
      </c>
      <c r="B84" s="1" t="n">
        <v>45205</v>
      </c>
      <c r="C84" s="1" t="n">
        <v>46204</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52542-2023</t>
        </is>
      </c>
      <c r="B85" s="1" t="n">
        <v>45225</v>
      </c>
      <c r="C85" s="1" t="n">
        <v>46204</v>
      </c>
      <c r="D85" t="inlineStr">
        <is>
          <t>STOCKHOLMS LÄN</t>
        </is>
      </c>
      <c r="E85" t="inlineStr">
        <is>
          <t>VALLENTUNA</t>
        </is>
      </c>
      <c r="G85" t="n">
        <v>3.8</v>
      </c>
      <c r="H85" t="n">
        <v>0</v>
      </c>
      <c r="I85" t="n">
        <v>0</v>
      </c>
      <c r="J85" t="n">
        <v>0</v>
      </c>
      <c r="K85" t="n">
        <v>0</v>
      </c>
      <c r="L85" t="n">
        <v>0</v>
      </c>
      <c r="M85" t="n">
        <v>0</v>
      </c>
      <c r="N85" t="n">
        <v>0</v>
      </c>
      <c r="O85" t="n">
        <v>0</v>
      </c>
      <c r="P85" t="n">
        <v>0</v>
      </c>
      <c r="Q85" t="n">
        <v>0</v>
      </c>
      <c r="R85" s="2" t="inlineStr"/>
    </row>
    <row r="86" ht="15" customHeight="1">
      <c r="A86" t="inlineStr">
        <is>
          <t>A 2318-2024</t>
        </is>
      </c>
      <c r="B86" s="1" t="n">
        <v>45310</v>
      </c>
      <c r="C86" s="1" t="n">
        <v>46204</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9063-2024</t>
        </is>
      </c>
      <c r="B87" s="1" t="n">
        <v>45357</v>
      </c>
      <c r="C87" s="1" t="n">
        <v>46204</v>
      </c>
      <c r="D87" t="inlineStr">
        <is>
          <t>STOCKHOLMS LÄN</t>
        </is>
      </c>
      <c r="E87" t="inlineStr">
        <is>
          <t>VALLENTUNA</t>
        </is>
      </c>
      <c r="G87" t="n">
        <v>4.1</v>
      </c>
      <c r="H87" t="n">
        <v>0</v>
      </c>
      <c r="I87" t="n">
        <v>0</v>
      </c>
      <c r="J87" t="n">
        <v>0</v>
      </c>
      <c r="K87" t="n">
        <v>0</v>
      </c>
      <c r="L87" t="n">
        <v>0</v>
      </c>
      <c r="M87" t="n">
        <v>0</v>
      </c>
      <c r="N87" t="n">
        <v>0</v>
      </c>
      <c r="O87" t="n">
        <v>0</v>
      </c>
      <c r="P87" t="n">
        <v>0</v>
      </c>
      <c r="Q87" t="n">
        <v>0</v>
      </c>
      <c r="R87" s="2" t="inlineStr"/>
    </row>
    <row r="88" ht="15" customHeight="1">
      <c r="A88" t="inlineStr">
        <is>
          <t>A 21445-2023</t>
        </is>
      </c>
      <c r="B88" s="1" t="n">
        <v>45063</v>
      </c>
      <c r="C88" s="1" t="n">
        <v>46204</v>
      </c>
      <c r="D88" t="inlineStr">
        <is>
          <t>STOCKHOLMS LÄN</t>
        </is>
      </c>
      <c r="E88" t="inlineStr">
        <is>
          <t>VALLENTUNA</t>
        </is>
      </c>
      <c r="G88" t="n">
        <v>3.1</v>
      </c>
      <c r="H88" t="n">
        <v>0</v>
      </c>
      <c r="I88" t="n">
        <v>0</v>
      </c>
      <c r="J88" t="n">
        <v>0</v>
      </c>
      <c r="K88" t="n">
        <v>0</v>
      </c>
      <c r="L88" t="n">
        <v>0</v>
      </c>
      <c r="M88" t="n">
        <v>0</v>
      </c>
      <c r="N88" t="n">
        <v>0</v>
      </c>
      <c r="O88" t="n">
        <v>0</v>
      </c>
      <c r="P88" t="n">
        <v>0</v>
      </c>
      <c r="Q88" t="n">
        <v>0</v>
      </c>
      <c r="R88" s="2" t="inlineStr"/>
    </row>
    <row r="89" ht="15" customHeight="1">
      <c r="A89" t="inlineStr">
        <is>
          <t>A 17387-2026</t>
        </is>
      </c>
      <c r="B89" s="1" t="n">
        <v>46119</v>
      </c>
      <c r="C89" s="1" t="n">
        <v>46204</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17389-2026</t>
        </is>
      </c>
      <c r="B90" s="1" t="n">
        <v>46119</v>
      </c>
      <c r="C90" s="1" t="n">
        <v>46204</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61646-2025</t>
        </is>
      </c>
      <c r="B91" s="1" t="n">
        <v>46002</v>
      </c>
      <c r="C91" s="1" t="n">
        <v>46204</v>
      </c>
      <c r="D91" t="inlineStr">
        <is>
          <t>STOCKHOLMS LÄN</t>
        </is>
      </c>
      <c r="E91" t="inlineStr">
        <is>
          <t>VALLENTUNA</t>
        </is>
      </c>
      <c r="G91" t="n">
        <v>3.7</v>
      </c>
      <c r="H91" t="n">
        <v>0</v>
      </c>
      <c r="I91" t="n">
        <v>0</v>
      </c>
      <c r="J91" t="n">
        <v>0</v>
      </c>
      <c r="K91" t="n">
        <v>0</v>
      </c>
      <c r="L91" t="n">
        <v>0</v>
      </c>
      <c r="M91" t="n">
        <v>0</v>
      </c>
      <c r="N91" t="n">
        <v>0</v>
      </c>
      <c r="O91" t="n">
        <v>0</v>
      </c>
      <c r="P91" t="n">
        <v>0</v>
      </c>
      <c r="Q91" t="n">
        <v>0</v>
      </c>
      <c r="R91" s="2" t="inlineStr"/>
    </row>
    <row r="92" ht="15" customHeight="1">
      <c r="A92" t="inlineStr">
        <is>
          <t>A 34441-2023</t>
        </is>
      </c>
      <c r="B92" s="1" t="n">
        <v>45139</v>
      </c>
      <c r="C92" s="1" t="n">
        <v>46204</v>
      </c>
      <c r="D92" t="inlineStr">
        <is>
          <t>STOCKHOLMS LÄN</t>
        </is>
      </c>
      <c r="E92" t="inlineStr">
        <is>
          <t>VALLENTUNA</t>
        </is>
      </c>
      <c r="G92" t="n">
        <v>1.6</v>
      </c>
      <c r="H92" t="n">
        <v>0</v>
      </c>
      <c r="I92" t="n">
        <v>0</v>
      </c>
      <c r="J92" t="n">
        <v>0</v>
      </c>
      <c r="K92" t="n">
        <v>0</v>
      </c>
      <c r="L92" t="n">
        <v>0</v>
      </c>
      <c r="M92" t="n">
        <v>0</v>
      </c>
      <c r="N92" t="n">
        <v>0</v>
      </c>
      <c r="O92" t="n">
        <v>0</v>
      </c>
      <c r="P92" t="n">
        <v>0</v>
      </c>
      <c r="Q92" t="n">
        <v>0</v>
      </c>
      <c r="R92" s="2" t="inlineStr"/>
    </row>
    <row r="93" ht="15" customHeight="1">
      <c r="A93" t="inlineStr">
        <is>
          <t>A 34445-2023</t>
        </is>
      </c>
      <c r="B93" s="1" t="n">
        <v>45139</v>
      </c>
      <c r="C93" s="1" t="n">
        <v>46204</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12585-2023</t>
        </is>
      </c>
      <c r="B94" s="1" t="n">
        <v>45000</v>
      </c>
      <c r="C94" s="1" t="n">
        <v>46204</v>
      </c>
      <c r="D94" t="inlineStr">
        <is>
          <t>STOCKHOLMS LÄN</t>
        </is>
      </c>
      <c r="E94" t="inlineStr">
        <is>
          <t>VALLENTUNA</t>
        </is>
      </c>
      <c r="G94" t="n">
        <v>3.7</v>
      </c>
      <c r="H94" t="n">
        <v>0</v>
      </c>
      <c r="I94" t="n">
        <v>0</v>
      </c>
      <c r="J94" t="n">
        <v>0</v>
      </c>
      <c r="K94" t="n">
        <v>0</v>
      </c>
      <c r="L94" t="n">
        <v>0</v>
      </c>
      <c r="M94" t="n">
        <v>0</v>
      </c>
      <c r="N94" t="n">
        <v>0</v>
      </c>
      <c r="O94" t="n">
        <v>0</v>
      </c>
      <c r="P94" t="n">
        <v>0</v>
      </c>
      <c r="Q94" t="n">
        <v>0</v>
      </c>
      <c r="R94" s="2" t="inlineStr"/>
    </row>
    <row r="95" ht="15" customHeight="1">
      <c r="A95" t="inlineStr">
        <is>
          <t>A 414-2026</t>
        </is>
      </c>
      <c r="B95" s="1" t="n">
        <v>46028</v>
      </c>
      <c r="C95" s="1" t="n">
        <v>46204</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8077-2022</t>
        </is>
      </c>
      <c r="B96" s="1" t="n">
        <v>44609</v>
      </c>
      <c r="C96" s="1" t="n">
        <v>46204</v>
      </c>
      <c r="D96" t="inlineStr">
        <is>
          <t>STOCKHOLMS LÄN</t>
        </is>
      </c>
      <c r="E96" t="inlineStr">
        <is>
          <t>VALLENTUNA</t>
        </is>
      </c>
      <c r="G96" t="n">
        <v>1.3</v>
      </c>
      <c r="H96" t="n">
        <v>0</v>
      </c>
      <c r="I96" t="n">
        <v>0</v>
      </c>
      <c r="J96" t="n">
        <v>0</v>
      </c>
      <c r="K96" t="n">
        <v>0</v>
      </c>
      <c r="L96" t="n">
        <v>0</v>
      </c>
      <c r="M96" t="n">
        <v>0</v>
      </c>
      <c r="N96" t="n">
        <v>0</v>
      </c>
      <c r="O96" t="n">
        <v>0</v>
      </c>
      <c r="P96" t="n">
        <v>0</v>
      </c>
      <c r="Q96" t="n">
        <v>0</v>
      </c>
      <c r="R96" s="2" t="inlineStr"/>
    </row>
    <row r="97" ht="15" customHeight="1">
      <c r="A97" t="inlineStr">
        <is>
          <t>A 47140-2024</t>
        </is>
      </c>
      <c r="B97" s="1" t="n">
        <v>45586</v>
      </c>
      <c r="C97" s="1" t="n">
        <v>46204</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6298-2026</t>
        </is>
      </c>
      <c r="B98" s="1" t="n">
        <v>46055</v>
      </c>
      <c r="C98" s="1" t="n">
        <v>46204</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21765-2023</t>
        </is>
      </c>
      <c r="B99" s="1" t="n">
        <v>45064</v>
      </c>
      <c r="C99" s="1" t="n">
        <v>46204</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46204</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23986-2023</t>
        </is>
      </c>
      <c r="B101" s="1" t="n">
        <v>45078</v>
      </c>
      <c r="C101" s="1" t="n">
        <v>46204</v>
      </c>
      <c r="D101" t="inlineStr">
        <is>
          <t>STOCKHOLMS LÄN</t>
        </is>
      </c>
      <c r="E101" t="inlineStr">
        <is>
          <t>VALLENTUNA</t>
        </is>
      </c>
      <c r="F101" t="inlineStr">
        <is>
          <t>Kyrkan</t>
        </is>
      </c>
      <c r="G101" t="n">
        <v>5.7</v>
      </c>
      <c r="H101" t="n">
        <v>0</v>
      </c>
      <c r="I101" t="n">
        <v>0</v>
      </c>
      <c r="J101" t="n">
        <v>0</v>
      </c>
      <c r="K101" t="n">
        <v>0</v>
      </c>
      <c r="L101" t="n">
        <v>0</v>
      </c>
      <c r="M101" t="n">
        <v>0</v>
      </c>
      <c r="N101" t="n">
        <v>0</v>
      </c>
      <c r="O101" t="n">
        <v>0</v>
      </c>
      <c r="P101" t="n">
        <v>0</v>
      </c>
      <c r="Q101" t="n">
        <v>0</v>
      </c>
      <c r="R101" s="2" t="inlineStr"/>
    </row>
    <row r="102" ht="15" customHeight="1">
      <c r="A102" t="inlineStr">
        <is>
          <t>A 4804-2024</t>
        </is>
      </c>
      <c r="B102" s="1" t="n">
        <v>45328</v>
      </c>
      <c r="C102" s="1" t="n">
        <v>46204</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25740-2026</t>
        </is>
      </c>
      <c r="B103" s="1" t="n">
        <v>46178</v>
      </c>
      <c r="C103" s="1" t="n">
        <v>46204</v>
      </c>
      <c r="D103" t="inlineStr">
        <is>
          <t>STOCKHOLMS LÄN</t>
        </is>
      </c>
      <c r="E103" t="inlineStr">
        <is>
          <t>VALLENTUNA</t>
        </is>
      </c>
      <c r="G103" t="n">
        <v>2.2</v>
      </c>
      <c r="H103" t="n">
        <v>0</v>
      </c>
      <c r="I103" t="n">
        <v>0</v>
      </c>
      <c r="J103" t="n">
        <v>0</v>
      </c>
      <c r="K103" t="n">
        <v>0</v>
      </c>
      <c r="L103" t="n">
        <v>0</v>
      </c>
      <c r="M103" t="n">
        <v>0</v>
      </c>
      <c r="N103" t="n">
        <v>0</v>
      </c>
      <c r="O103" t="n">
        <v>0</v>
      </c>
      <c r="P103" t="n">
        <v>0</v>
      </c>
      <c r="Q103" t="n">
        <v>0</v>
      </c>
      <c r="R103" s="2" t="inlineStr"/>
    </row>
    <row r="104" ht="15" customHeight="1">
      <c r="A104" t="inlineStr">
        <is>
          <t>A 3937-2022</t>
        </is>
      </c>
      <c r="B104" s="1" t="n">
        <v>44587</v>
      </c>
      <c r="C104" s="1" t="n">
        <v>46204</v>
      </c>
      <c r="D104" t="inlineStr">
        <is>
          <t>STOCKHOLMS LÄN</t>
        </is>
      </c>
      <c r="E104" t="inlineStr">
        <is>
          <t>VALLENTUNA</t>
        </is>
      </c>
      <c r="G104" t="n">
        <v>6.6</v>
      </c>
      <c r="H104" t="n">
        <v>0</v>
      </c>
      <c r="I104" t="n">
        <v>0</v>
      </c>
      <c r="J104" t="n">
        <v>0</v>
      </c>
      <c r="K104" t="n">
        <v>0</v>
      </c>
      <c r="L104" t="n">
        <v>0</v>
      </c>
      <c r="M104" t="n">
        <v>0</v>
      </c>
      <c r="N104" t="n">
        <v>0</v>
      </c>
      <c r="O104" t="n">
        <v>0</v>
      </c>
      <c r="P104" t="n">
        <v>0</v>
      </c>
      <c r="Q104" t="n">
        <v>0</v>
      </c>
      <c r="R104" s="2" t="inlineStr"/>
    </row>
    <row r="105" ht="15" customHeight="1">
      <c r="A105" t="inlineStr">
        <is>
          <t>A 23013-2024</t>
        </is>
      </c>
      <c r="B105" s="1" t="n">
        <v>45450</v>
      </c>
      <c r="C105" s="1" t="n">
        <v>46204</v>
      </c>
      <c r="D105" t="inlineStr">
        <is>
          <t>STOCKHOLMS LÄN</t>
        </is>
      </c>
      <c r="E105" t="inlineStr">
        <is>
          <t>VALLENTUNA</t>
        </is>
      </c>
      <c r="G105" t="n">
        <v>0.4</v>
      </c>
      <c r="H105" t="n">
        <v>0</v>
      </c>
      <c r="I105" t="n">
        <v>0</v>
      </c>
      <c r="J105" t="n">
        <v>0</v>
      </c>
      <c r="K105" t="n">
        <v>0</v>
      </c>
      <c r="L105" t="n">
        <v>0</v>
      </c>
      <c r="M105" t="n">
        <v>0</v>
      </c>
      <c r="N105" t="n">
        <v>0</v>
      </c>
      <c r="O105" t="n">
        <v>0</v>
      </c>
      <c r="P105" t="n">
        <v>0</v>
      </c>
      <c r="Q105" t="n">
        <v>0</v>
      </c>
      <c r="R105" s="2" t="inlineStr"/>
    </row>
    <row r="106" ht="15" customHeight="1">
      <c r="A106" t="inlineStr">
        <is>
          <t>A 3078-2023</t>
        </is>
      </c>
      <c r="B106" s="1" t="n">
        <v>44946</v>
      </c>
      <c r="C106" s="1" t="n">
        <v>46204</v>
      </c>
      <c r="D106" t="inlineStr">
        <is>
          <t>STOCKHOLMS LÄN</t>
        </is>
      </c>
      <c r="E106" t="inlineStr">
        <is>
          <t>VALLENTUNA</t>
        </is>
      </c>
      <c r="G106" t="n">
        <v>3.9</v>
      </c>
      <c r="H106" t="n">
        <v>0</v>
      </c>
      <c r="I106" t="n">
        <v>0</v>
      </c>
      <c r="J106" t="n">
        <v>0</v>
      </c>
      <c r="K106" t="n">
        <v>0</v>
      </c>
      <c r="L106" t="n">
        <v>0</v>
      </c>
      <c r="M106" t="n">
        <v>0</v>
      </c>
      <c r="N106" t="n">
        <v>0</v>
      </c>
      <c r="O106" t="n">
        <v>0</v>
      </c>
      <c r="P106" t="n">
        <v>0</v>
      </c>
      <c r="Q106" t="n">
        <v>0</v>
      </c>
      <c r="R106" s="2" t="inlineStr"/>
    </row>
    <row r="107" ht="15" customHeight="1">
      <c r="A107" t="inlineStr">
        <is>
          <t>A 25752-2026</t>
        </is>
      </c>
      <c r="B107" s="1" t="n">
        <v>46178</v>
      </c>
      <c r="C107" s="1" t="n">
        <v>46204</v>
      </c>
      <c r="D107" t="inlineStr">
        <is>
          <t>STOCKHOLMS LÄN</t>
        </is>
      </c>
      <c r="E107" t="inlineStr">
        <is>
          <t>VALLENTUNA</t>
        </is>
      </c>
      <c r="G107" t="n">
        <v>2.6</v>
      </c>
      <c r="H107" t="n">
        <v>0</v>
      </c>
      <c r="I107" t="n">
        <v>0</v>
      </c>
      <c r="J107" t="n">
        <v>0</v>
      </c>
      <c r="K107" t="n">
        <v>0</v>
      </c>
      <c r="L107" t="n">
        <v>0</v>
      </c>
      <c r="M107" t="n">
        <v>0</v>
      </c>
      <c r="N107" t="n">
        <v>0</v>
      </c>
      <c r="O107" t="n">
        <v>0</v>
      </c>
      <c r="P107" t="n">
        <v>0</v>
      </c>
      <c r="Q107" t="n">
        <v>0</v>
      </c>
      <c r="R107" s="2" t="inlineStr"/>
    </row>
    <row r="108" ht="15" customHeight="1">
      <c r="A108" t="inlineStr">
        <is>
          <t>A 19503-2023</t>
        </is>
      </c>
      <c r="B108" s="1" t="n">
        <v>45050</v>
      </c>
      <c r="C108" s="1" t="n">
        <v>46204</v>
      </c>
      <c r="D108" t="inlineStr">
        <is>
          <t>STOCKHOLMS LÄN</t>
        </is>
      </c>
      <c r="E108" t="inlineStr">
        <is>
          <t>VALLENTUNA</t>
        </is>
      </c>
      <c r="G108" t="n">
        <v>0.7</v>
      </c>
      <c r="H108" t="n">
        <v>0</v>
      </c>
      <c r="I108" t="n">
        <v>0</v>
      </c>
      <c r="J108" t="n">
        <v>0</v>
      </c>
      <c r="K108" t="n">
        <v>0</v>
      </c>
      <c r="L108" t="n">
        <v>0</v>
      </c>
      <c r="M108" t="n">
        <v>0</v>
      </c>
      <c r="N108" t="n">
        <v>0</v>
      </c>
      <c r="O108" t="n">
        <v>0</v>
      </c>
      <c r="P108" t="n">
        <v>0</v>
      </c>
      <c r="Q108" t="n">
        <v>0</v>
      </c>
      <c r="R108" s="2" t="inlineStr"/>
    </row>
    <row r="109" ht="15" customHeight="1">
      <c r="A109" t="inlineStr">
        <is>
          <t>A 24740-2026</t>
        </is>
      </c>
      <c r="B109" s="1" t="n">
        <v>46171</v>
      </c>
      <c r="C109" s="1" t="n">
        <v>46204</v>
      </c>
      <c r="D109" t="inlineStr">
        <is>
          <t>STOCKHOLMS LÄN</t>
        </is>
      </c>
      <c r="E109" t="inlineStr">
        <is>
          <t>VALLENTUNA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4803-2024</t>
        </is>
      </c>
      <c r="B110" s="1" t="n">
        <v>45328</v>
      </c>
      <c r="C110" s="1" t="n">
        <v>46204</v>
      </c>
      <c r="D110" t="inlineStr">
        <is>
          <t>STOCKHOLMS LÄN</t>
        </is>
      </c>
      <c r="E110" t="inlineStr">
        <is>
          <t>VALLENTUNA</t>
        </is>
      </c>
      <c r="G110" t="n">
        <v>4.6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46204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38102-2024</t>
        </is>
      </c>
      <c r="B112" s="1" t="n">
        <v>45545</v>
      </c>
      <c r="C112" s="1" t="n">
        <v>46204</v>
      </c>
      <c r="D112" t="inlineStr">
        <is>
          <t>STOCKHOLMS LÄN</t>
        </is>
      </c>
      <c r="E112" t="inlineStr">
        <is>
          <t>VALLENTUNA</t>
        </is>
      </c>
      <c r="G112" t="n">
        <v>3.2</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46204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24943-2024</t>
        </is>
      </c>
      <c r="B114" s="1" t="n">
        <v>45461</v>
      </c>
      <c r="C114" s="1" t="n">
        <v>46204</v>
      </c>
      <c r="D114" t="inlineStr">
        <is>
          <t>STOCKHOLMS LÄN</t>
        </is>
      </c>
      <c r="E114" t="inlineStr">
        <is>
          <t>VALLENTUNA</t>
        </is>
      </c>
      <c r="G114" t="n">
        <v>2</v>
      </c>
      <c r="H114" t="n">
        <v>0</v>
      </c>
      <c r="I114" t="n">
        <v>0</v>
      </c>
      <c r="J114" t="n">
        <v>0</v>
      </c>
      <c r="K114" t="n">
        <v>0</v>
      </c>
      <c r="L114" t="n">
        <v>0</v>
      </c>
      <c r="M114" t="n">
        <v>0</v>
      </c>
      <c r="N114" t="n">
        <v>0</v>
      </c>
      <c r="O114" t="n">
        <v>0</v>
      </c>
      <c r="P114" t="n">
        <v>0</v>
      </c>
      <c r="Q114" t="n">
        <v>0</v>
      </c>
      <c r="R114" s="2" t="inlineStr"/>
    </row>
    <row r="115" ht="15" customHeight="1">
      <c r="A115" t="inlineStr">
        <is>
          <t>A 22683-2023</t>
        </is>
      </c>
      <c r="B115" s="1" t="n">
        <v>45071</v>
      </c>
      <c r="C115" s="1" t="n">
        <v>46204</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17411-2023</t>
        </is>
      </c>
      <c r="B116" s="1" t="n">
        <v>45035</v>
      </c>
      <c r="C116" s="1" t="n">
        <v>46204</v>
      </c>
      <c r="D116" t="inlineStr">
        <is>
          <t>STOCKHOLMS LÄN</t>
        </is>
      </c>
      <c r="E116" t="inlineStr">
        <is>
          <t>VALLENTUNA</t>
        </is>
      </c>
      <c r="G116" t="n">
        <v>0.7</v>
      </c>
      <c r="H116" t="n">
        <v>0</v>
      </c>
      <c r="I116" t="n">
        <v>0</v>
      </c>
      <c r="J116" t="n">
        <v>0</v>
      </c>
      <c r="K116" t="n">
        <v>0</v>
      </c>
      <c r="L116" t="n">
        <v>0</v>
      </c>
      <c r="M116" t="n">
        <v>0</v>
      </c>
      <c r="N116" t="n">
        <v>0</v>
      </c>
      <c r="O116" t="n">
        <v>0</v>
      </c>
      <c r="P116" t="n">
        <v>0</v>
      </c>
      <c r="Q116" t="n">
        <v>0</v>
      </c>
      <c r="R116" s="2" t="inlineStr"/>
    </row>
    <row r="117" ht="15" customHeight="1">
      <c r="A117" t="inlineStr">
        <is>
          <t>A 1385-2024</t>
        </is>
      </c>
      <c r="B117" s="1" t="n">
        <v>45303</v>
      </c>
      <c r="C117" s="1" t="n">
        <v>46204</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60818-2023</t>
        </is>
      </c>
      <c r="B118" s="1" t="n">
        <v>45259</v>
      </c>
      <c r="C118" s="1" t="n">
        <v>46204</v>
      </c>
      <c r="D118" t="inlineStr">
        <is>
          <t>STOCKHOLMS LÄN</t>
        </is>
      </c>
      <c r="E118" t="inlineStr">
        <is>
          <t>VALLENTUNA</t>
        </is>
      </c>
      <c r="G118" t="n">
        <v>9.4</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46204</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19356-2025</t>
        </is>
      </c>
      <c r="B120" s="1" t="n">
        <v>45769</v>
      </c>
      <c r="C120" s="1" t="n">
        <v>46204</v>
      </c>
      <c r="D120" t="inlineStr">
        <is>
          <t>STOCKHOLMS LÄN</t>
        </is>
      </c>
      <c r="E120" t="inlineStr">
        <is>
          <t>VALLENTUNA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11950-2025</t>
        </is>
      </c>
      <c r="B121" s="1" t="n">
        <v>45728</v>
      </c>
      <c r="C121" s="1" t="n">
        <v>46204</v>
      </c>
      <c r="D121" t="inlineStr">
        <is>
          <t>STOCKHOLMS LÄN</t>
        </is>
      </c>
      <c r="E121" t="inlineStr">
        <is>
          <t>VALLENTUNA</t>
        </is>
      </c>
      <c r="G121" t="n">
        <v>1.4</v>
      </c>
      <c r="H121" t="n">
        <v>0</v>
      </c>
      <c r="I121" t="n">
        <v>0</v>
      </c>
      <c r="J121" t="n">
        <v>0</v>
      </c>
      <c r="K121" t="n">
        <v>0</v>
      </c>
      <c r="L121" t="n">
        <v>0</v>
      </c>
      <c r="M121" t="n">
        <v>0</v>
      </c>
      <c r="N121" t="n">
        <v>0</v>
      </c>
      <c r="O121" t="n">
        <v>0</v>
      </c>
      <c r="P121" t="n">
        <v>0</v>
      </c>
      <c r="Q121" t="n">
        <v>0</v>
      </c>
      <c r="R121" s="2" t="inlineStr"/>
    </row>
    <row r="122" ht="15" customHeight="1">
      <c r="A122" t="inlineStr">
        <is>
          <t>A 14489-2024</t>
        </is>
      </c>
      <c r="B122" s="1" t="n">
        <v>45394</v>
      </c>
      <c r="C122" s="1" t="n">
        <v>46204</v>
      </c>
      <c r="D122" t="inlineStr">
        <is>
          <t>STOCKHOLMS LÄN</t>
        </is>
      </c>
      <c r="E122" t="inlineStr">
        <is>
          <t>VALLENTUNA</t>
        </is>
      </c>
      <c r="G122" t="n">
        <v>2.3</v>
      </c>
      <c r="H122" t="n">
        <v>0</v>
      </c>
      <c r="I122" t="n">
        <v>0</v>
      </c>
      <c r="J122" t="n">
        <v>0</v>
      </c>
      <c r="K122" t="n">
        <v>0</v>
      </c>
      <c r="L122" t="n">
        <v>0</v>
      </c>
      <c r="M122" t="n">
        <v>0</v>
      </c>
      <c r="N122" t="n">
        <v>0</v>
      </c>
      <c r="O122" t="n">
        <v>0</v>
      </c>
      <c r="P122" t="n">
        <v>0</v>
      </c>
      <c r="Q122" t="n">
        <v>0</v>
      </c>
      <c r="R122" s="2" t="inlineStr"/>
    </row>
    <row r="123" ht="15" customHeight="1">
      <c r="A123" t="inlineStr">
        <is>
          <t>A 61442-2024</t>
        </is>
      </c>
      <c r="B123" s="1" t="n">
        <v>45646</v>
      </c>
      <c r="C123" s="1" t="n">
        <v>46204</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48068-2021</t>
        </is>
      </c>
      <c r="B124" s="1" t="n">
        <v>44449</v>
      </c>
      <c r="C124" s="1" t="n">
        <v>46204</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46204</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20791-2025</t>
        </is>
      </c>
      <c r="B126" s="1" t="n">
        <v>45776</v>
      </c>
      <c r="C126" s="1" t="n">
        <v>46204</v>
      </c>
      <c r="D126" t="inlineStr">
        <is>
          <t>STOCKHOLMS LÄN</t>
        </is>
      </c>
      <c r="E126" t="inlineStr">
        <is>
          <t>VALLENTUNA</t>
        </is>
      </c>
      <c r="G126" t="n">
        <v>1.5</v>
      </c>
      <c r="H126" t="n">
        <v>0</v>
      </c>
      <c r="I126" t="n">
        <v>0</v>
      </c>
      <c r="J126" t="n">
        <v>0</v>
      </c>
      <c r="K126" t="n">
        <v>0</v>
      </c>
      <c r="L126" t="n">
        <v>0</v>
      </c>
      <c r="M126" t="n">
        <v>0</v>
      </c>
      <c r="N126" t="n">
        <v>0</v>
      </c>
      <c r="O126" t="n">
        <v>0</v>
      </c>
      <c r="P126" t="n">
        <v>0</v>
      </c>
      <c r="Q126" t="n">
        <v>0</v>
      </c>
      <c r="R126" s="2" t="inlineStr"/>
    </row>
    <row r="127" ht="15" customHeight="1">
      <c r="A127" t="inlineStr">
        <is>
          <t>A 10073-2024</t>
        </is>
      </c>
      <c r="B127" s="1" t="n">
        <v>45364</v>
      </c>
      <c r="C127" s="1" t="n">
        <v>46204</v>
      </c>
      <c r="D127" t="inlineStr">
        <is>
          <t>STOCKHOLMS LÄN</t>
        </is>
      </c>
      <c r="E127" t="inlineStr">
        <is>
          <t>VALLENTUNA</t>
        </is>
      </c>
      <c r="G127" t="n">
        <v>1.1</v>
      </c>
      <c r="H127" t="n">
        <v>0</v>
      </c>
      <c r="I127" t="n">
        <v>0</v>
      </c>
      <c r="J127" t="n">
        <v>0</v>
      </c>
      <c r="K127" t="n">
        <v>0</v>
      </c>
      <c r="L127" t="n">
        <v>0</v>
      </c>
      <c r="M127" t="n">
        <v>0</v>
      </c>
      <c r="N127" t="n">
        <v>0</v>
      </c>
      <c r="O127" t="n">
        <v>0</v>
      </c>
      <c r="P127" t="n">
        <v>0</v>
      </c>
      <c r="Q127" t="n">
        <v>0</v>
      </c>
      <c r="R127" s="2" t="inlineStr"/>
    </row>
    <row r="128" ht="15" customHeight="1">
      <c r="A128" t="inlineStr">
        <is>
          <t>A 12621-2024</t>
        </is>
      </c>
      <c r="B128" s="1" t="n">
        <v>45383</v>
      </c>
      <c r="C128" s="1" t="n">
        <v>46204</v>
      </c>
      <c r="D128" t="inlineStr">
        <is>
          <t>STOCKHOLMS LÄN</t>
        </is>
      </c>
      <c r="E128" t="inlineStr">
        <is>
          <t>VALLENTUNA</t>
        </is>
      </c>
      <c r="G128" t="n">
        <v>4.4</v>
      </c>
      <c r="H128" t="n">
        <v>0</v>
      </c>
      <c r="I128" t="n">
        <v>0</v>
      </c>
      <c r="J128" t="n">
        <v>0</v>
      </c>
      <c r="K128" t="n">
        <v>0</v>
      </c>
      <c r="L128" t="n">
        <v>0</v>
      </c>
      <c r="M128" t="n">
        <v>0</v>
      </c>
      <c r="N128" t="n">
        <v>0</v>
      </c>
      <c r="O128" t="n">
        <v>0</v>
      </c>
      <c r="P128" t="n">
        <v>0</v>
      </c>
      <c r="Q128" t="n">
        <v>0</v>
      </c>
      <c r="R128" s="2" t="inlineStr"/>
    </row>
    <row r="129" ht="15" customHeight="1">
      <c r="A129" t="inlineStr">
        <is>
          <t>A 46381-2023</t>
        </is>
      </c>
      <c r="B129" s="1" t="n">
        <v>45193</v>
      </c>
      <c r="C129" s="1" t="n">
        <v>46204</v>
      </c>
      <c r="D129" t="inlineStr">
        <is>
          <t>STOCKHOLMS LÄN</t>
        </is>
      </c>
      <c r="E129" t="inlineStr">
        <is>
          <t>VALLENTUNA</t>
        </is>
      </c>
      <c r="G129" t="n">
        <v>2.9</v>
      </c>
      <c r="H129" t="n">
        <v>0</v>
      </c>
      <c r="I129" t="n">
        <v>0</v>
      </c>
      <c r="J129" t="n">
        <v>0</v>
      </c>
      <c r="K129" t="n">
        <v>0</v>
      </c>
      <c r="L129" t="n">
        <v>0</v>
      </c>
      <c r="M129" t="n">
        <v>0</v>
      </c>
      <c r="N129" t="n">
        <v>0</v>
      </c>
      <c r="O129" t="n">
        <v>0</v>
      </c>
      <c r="P129" t="n">
        <v>0</v>
      </c>
      <c r="Q129" t="n">
        <v>0</v>
      </c>
      <c r="R129" s="2" t="inlineStr"/>
    </row>
    <row r="130">
      <c r="A130" t="inlineStr">
        <is>
          <t>A 61027-2023</t>
        </is>
      </c>
      <c r="B130" s="1" t="n">
        <v>45261</v>
      </c>
      <c r="C130" s="1" t="n">
        <v>46204</v>
      </c>
      <c r="D130" t="inlineStr">
        <is>
          <t>STOCKHOLMS LÄN</t>
        </is>
      </c>
      <c r="E130" t="inlineStr">
        <is>
          <t>VALLENTUNA</t>
        </is>
      </c>
      <c r="G130" t="n">
        <v>7.1</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2026-07-01T01:02:33Z</dcterms:created>
  <dcterms:modified xmlns:dcterms="http://purl.org/dc/terms/" xmlns:xsi="http://www.w3.org/2001/XMLSchema-instance" xsi:type="dcterms:W3CDTF">2026-07-01T01:02:33Z</dcterms:modified>
</cp:coreProperties>
</file>