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46102</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46102</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46102</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46102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46102</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46102</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46102</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46102</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46102</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46102</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46102</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46102</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46102</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754-2024</t>
        </is>
      </c>
      <c r="B25" s="1" t="n">
        <v>45300</v>
      </c>
      <c r="C25" s="1" t="n">
        <v>46102</v>
      </c>
      <c r="D25" t="inlineStr">
        <is>
          <t>STOCKHOLMS LÄN</t>
        </is>
      </c>
      <c r="E25" t="inlineStr">
        <is>
          <t>VALLENTUNA</t>
        </is>
      </c>
      <c r="G25" t="n">
        <v>2.5</v>
      </c>
      <c r="H25" t="n">
        <v>1</v>
      </c>
      <c r="I25" t="n">
        <v>1</v>
      </c>
      <c r="J25" t="n">
        <v>0</v>
      </c>
      <c r="K25" t="n">
        <v>0</v>
      </c>
      <c r="L25" t="n">
        <v>0</v>
      </c>
      <c r="M25" t="n">
        <v>0</v>
      </c>
      <c r="N25" t="n">
        <v>0</v>
      </c>
      <c r="O25" t="n">
        <v>0</v>
      </c>
      <c r="P25" t="n">
        <v>0</v>
      </c>
      <c r="Q25" t="n">
        <v>2</v>
      </c>
      <c r="R25" s="2" t="inlineStr">
        <is>
          <t>Vågbandad barkbock
Grönsiska</t>
        </is>
      </c>
      <c r="S25">
        <f>HYPERLINK("https://klasma.github.io/Logging_0115/artfynd/A 754-2024 artfynd.xlsx", "A 754-2024")</f>
        <v/>
      </c>
      <c r="T25">
        <f>HYPERLINK("https://klasma.github.io/Logging_0115/kartor/A 754-2024 karta.png", "A 754-2024")</f>
        <v/>
      </c>
      <c r="V25">
        <f>HYPERLINK("https://klasma.github.io/Logging_0115/klagomål/A 754-2024 FSC-klagomål.docx", "A 754-2024")</f>
        <v/>
      </c>
      <c r="W25">
        <f>HYPERLINK("https://klasma.github.io/Logging_0115/klagomålsmail/A 754-2024 FSC-klagomål mail.docx", "A 754-2024")</f>
        <v/>
      </c>
      <c r="X25">
        <f>HYPERLINK("https://klasma.github.io/Logging_0115/tillsyn/A 754-2024 tillsynsbegäran.docx", "A 754-2024")</f>
        <v/>
      </c>
      <c r="Y25">
        <f>HYPERLINK("https://klasma.github.io/Logging_0115/tillsynsmail/A 754-2024 tillsynsbegäran mail.docx", "A 754-2024")</f>
        <v/>
      </c>
      <c r="Z25">
        <f>HYPERLINK("https://klasma.github.io/Logging_0115/fåglar/A 754-2024 prioriterade fågelarter.docx", "A 754-2024")</f>
        <v/>
      </c>
    </row>
    <row r="26" ht="15" customHeight="1">
      <c r="A26" t="inlineStr">
        <is>
          <t>A 21612-2021</t>
        </is>
      </c>
      <c r="B26" s="1" t="n">
        <v>44321</v>
      </c>
      <c r="C26" s="1" t="n">
        <v>46102</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46102</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46102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22936-2025</t>
        </is>
      </c>
      <c r="B29" s="1" t="n">
        <v>45790.45738425926</v>
      </c>
      <c r="C29" s="1" t="n">
        <v>46102</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63539-2025</t>
        </is>
      </c>
      <c r="B30" s="1" t="n">
        <v>46013.58824074074</v>
      </c>
      <c r="C30" s="1" t="n">
        <v>46102</v>
      </c>
      <c r="D30" t="inlineStr">
        <is>
          <t>STOCKHOLMS LÄN</t>
        </is>
      </c>
      <c r="E30" t="inlineStr">
        <is>
          <t>VALLENTUNA</t>
        </is>
      </c>
      <c r="G30" t="n">
        <v>1.1</v>
      </c>
      <c r="H30" t="n">
        <v>0</v>
      </c>
      <c r="I30" t="n">
        <v>1</v>
      </c>
      <c r="J30" t="n">
        <v>0</v>
      </c>
      <c r="K30" t="n">
        <v>0</v>
      </c>
      <c r="L30" t="n">
        <v>0</v>
      </c>
      <c r="M30" t="n">
        <v>0</v>
      </c>
      <c r="N30" t="n">
        <v>0</v>
      </c>
      <c r="O30" t="n">
        <v>0</v>
      </c>
      <c r="P30" t="n">
        <v>0</v>
      </c>
      <c r="Q30" t="n">
        <v>1</v>
      </c>
      <c r="R30" s="2" t="inlineStr">
        <is>
          <t>Vårärt</t>
        </is>
      </c>
      <c r="S30">
        <f>HYPERLINK("https://klasma.github.io/Logging_0115/artfynd/A 63539-2025 artfynd.xlsx", "A 63539-2025")</f>
        <v/>
      </c>
      <c r="T30">
        <f>HYPERLINK("https://klasma.github.io/Logging_0115/kartor/A 63539-2025 karta.png", "A 63539-2025")</f>
        <v/>
      </c>
      <c r="V30">
        <f>HYPERLINK("https://klasma.github.io/Logging_0115/klagomål/A 63539-2025 FSC-klagomål.docx", "A 63539-2025")</f>
        <v/>
      </c>
      <c r="W30">
        <f>HYPERLINK("https://klasma.github.io/Logging_0115/klagomålsmail/A 63539-2025 FSC-klagomål mail.docx", "A 63539-2025")</f>
        <v/>
      </c>
      <c r="X30">
        <f>HYPERLINK("https://klasma.github.io/Logging_0115/tillsyn/A 63539-2025 tillsynsbegäran.docx", "A 63539-2025")</f>
        <v/>
      </c>
      <c r="Y30">
        <f>HYPERLINK("https://klasma.github.io/Logging_0115/tillsynsmail/A 63539-2025 tillsynsbegäran mail.docx", "A 63539-2025")</f>
        <v/>
      </c>
    </row>
    <row r="31" ht="15" customHeight="1">
      <c r="A31" t="inlineStr">
        <is>
          <t>A 63543-2025</t>
        </is>
      </c>
      <c r="B31" s="1" t="n">
        <v>46013.59207175926</v>
      </c>
      <c r="C31" s="1" t="n">
        <v>46102</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7890-2023</t>
        </is>
      </c>
      <c r="B32" s="1" t="n">
        <v>44973</v>
      </c>
      <c r="C32" s="1" t="n">
        <v>46102</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46102</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12401-2026</t>
        </is>
      </c>
      <c r="B34" s="1" t="n">
        <v>46090</v>
      </c>
      <c r="C34" s="1" t="n">
        <v>46102</v>
      </c>
      <c r="D34" t="inlineStr">
        <is>
          <t>STOCKHOLMS LÄN</t>
        </is>
      </c>
      <c r="E34" t="inlineStr">
        <is>
          <t>VALLENTUNA</t>
        </is>
      </c>
      <c r="G34" t="n">
        <v>5.9</v>
      </c>
      <c r="H34" t="n">
        <v>1</v>
      </c>
      <c r="I34" t="n">
        <v>0</v>
      </c>
      <c r="J34" t="n">
        <v>1</v>
      </c>
      <c r="K34" t="n">
        <v>0</v>
      </c>
      <c r="L34" t="n">
        <v>0</v>
      </c>
      <c r="M34" t="n">
        <v>0</v>
      </c>
      <c r="N34" t="n">
        <v>0</v>
      </c>
      <c r="O34" t="n">
        <v>1</v>
      </c>
      <c r="P34" t="n">
        <v>0</v>
      </c>
      <c r="Q34" t="n">
        <v>1</v>
      </c>
      <c r="R34" s="2" t="inlineStr">
        <is>
          <t>Spillkråka</t>
        </is>
      </c>
      <c r="S34">
        <f>HYPERLINK("https://klasma.github.io/Logging_0115/artfynd/A 12401-2026 artfynd.xlsx", "A 12401-2026")</f>
        <v/>
      </c>
      <c r="T34">
        <f>HYPERLINK("https://klasma.github.io/Logging_0115/kartor/A 12401-2026 karta.png", "A 12401-2026")</f>
        <v/>
      </c>
      <c r="V34">
        <f>HYPERLINK("https://klasma.github.io/Logging_0115/klagomål/A 12401-2026 FSC-klagomål.docx", "A 12401-2026")</f>
        <v/>
      </c>
      <c r="W34">
        <f>HYPERLINK("https://klasma.github.io/Logging_0115/klagomålsmail/A 12401-2026 FSC-klagomål mail.docx", "A 12401-2026")</f>
        <v/>
      </c>
      <c r="X34">
        <f>HYPERLINK("https://klasma.github.io/Logging_0115/tillsyn/A 12401-2026 tillsynsbegäran.docx", "A 12401-2026")</f>
        <v/>
      </c>
      <c r="Y34">
        <f>HYPERLINK("https://klasma.github.io/Logging_0115/tillsynsmail/A 12401-2026 tillsynsbegäran mail.docx", "A 12401-2026")</f>
        <v/>
      </c>
      <c r="Z34">
        <f>HYPERLINK("https://klasma.github.io/Logging_0115/fåglar/A 12401-2026 prioriterade fågelarter.docx", "A 12401-2026")</f>
        <v/>
      </c>
    </row>
    <row r="35" ht="15" customHeight="1">
      <c r="A35" t="inlineStr">
        <is>
          <t>A 22830-2024</t>
        </is>
      </c>
      <c r="B35" s="1" t="n">
        <v>45448.56583333333</v>
      </c>
      <c r="C35" s="1" t="n">
        <v>46102</v>
      </c>
      <c r="D35" t="inlineStr">
        <is>
          <t>STOCKHOLMS LÄN</t>
        </is>
      </c>
      <c r="E35" t="inlineStr">
        <is>
          <t>VALLENTUNA</t>
        </is>
      </c>
      <c r="G35" t="n">
        <v>0.3</v>
      </c>
      <c r="H35" t="n">
        <v>0</v>
      </c>
      <c r="I35" t="n">
        <v>0</v>
      </c>
      <c r="J35" t="n">
        <v>1</v>
      </c>
      <c r="K35" t="n">
        <v>0</v>
      </c>
      <c r="L35" t="n">
        <v>0</v>
      </c>
      <c r="M35" t="n">
        <v>0</v>
      </c>
      <c r="N35" t="n">
        <v>0</v>
      </c>
      <c r="O35" t="n">
        <v>1</v>
      </c>
      <c r="P35" t="n">
        <v>0</v>
      </c>
      <c r="Q35" t="n">
        <v>1</v>
      </c>
      <c r="R35" s="2" t="inlineStr">
        <is>
          <t>Tallticka</t>
        </is>
      </c>
      <c r="S35">
        <f>HYPERLINK("https://klasma.github.io/Logging_0115/artfynd/A 22830-2024 artfynd.xlsx", "A 22830-2024")</f>
        <v/>
      </c>
      <c r="T35">
        <f>HYPERLINK("https://klasma.github.io/Logging_0115/kartor/A 22830-2024 karta.png", "A 22830-2024")</f>
        <v/>
      </c>
      <c r="V35">
        <f>HYPERLINK("https://klasma.github.io/Logging_0115/klagomål/A 22830-2024 FSC-klagomål.docx", "A 22830-2024")</f>
        <v/>
      </c>
      <c r="W35">
        <f>HYPERLINK("https://klasma.github.io/Logging_0115/klagomålsmail/A 22830-2024 FSC-klagomål mail.docx", "A 22830-2024")</f>
        <v/>
      </c>
      <c r="X35">
        <f>HYPERLINK("https://klasma.github.io/Logging_0115/tillsyn/A 22830-2024 tillsynsbegäran.docx", "A 22830-2024")</f>
        <v/>
      </c>
      <c r="Y35">
        <f>HYPERLINK("https://klasma.github.io/Logging_0115/tillsynsmail/A 22830-2024 tillsynsbegäran mail.docx", "A 22830-2024")</f>
        <v/>
      </c>
    </row>
    <row r="36" ht="15" customHeight="1">
      <c r="A36" t="inlineStr">
        <is>
          <t>A 34460-2023</t>
        </is>
      </c>
      <c r="B36" s="1" t="n">
        <v>45139</v>
      </c>
      <c r="C36" s="1" t="n">
        <v>46102</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17348-2025</t>
        </is>
      </c>
      <c r="B37" s="1" t="n">
        <v>45756</v>
      </c>
      <c r="C37" s="1" t="n">
        <v>46102</v>
      </c>
      <c r="D37" t="inlineStr">
        <is>
          <t>STOCKHOLMS LÄN</t>
        </is>
      </c>
      <c r="E37" t="inlineStr">
        <is>
          <t>VALLENTUNA</t>
        </is>
      </c>
      <c r="F37" t="inlineStr">
        <is>
          <t>Övriga Aktiebolag</t>
        </is>
      </c>
      <c r="G37" t="n">
        <v>2.2</v>
      </c>
      <c r="H37" t="n">
        <v>0</v>
      </c>
      <c r="I37" t="n">
        <v>1</v>
      </c>
      <c r="J37" t="n">
        <v>0</v>
      </c>
      <c r="K37" t="n">
        <v>0</v>
      </c>
      <c r="L37" t="n">
        <v>0</v>
      </c>
      <c r="M37" t="n">
        <v>0</v>
      </c>
      <c r="N37" t="n">
        <v>0</v>
      </c>
      <c r="O37" t="n">
        <v>0</v>
      </c>
      <c r="P37" t="n">
        <v>0</v>
      </c>
      <c r="Q37" t="n">
        <v>1</v>
      </c>
      <c r="R37" s="2" t="inlineStr">
        <is>
          <t>Björksplintborre</t>
        </is>
      </c>
      <c r="S37">
        <f>HYPERLINK("https://klasma.github.io/Logging_0115/artfynd/A 17348-2025 artfynd.xlsx", "A 17348-2025")</f>
        <v/>
      </c>
      <c r="T37">
        <f>HYPERLINK("https://klasma.github.io/Logging_0115/kartor/A 17348-2025 karta.png", "A 17348-2025")</f>
        <v/>
      </c>
      <c r="V37">
        <f>HYPERLINK("https://klasma.github.io/Logging_0115/klagomål/A 17348-2025 FSC-klagomål.docx", "A 17348-2025")</f>
        <v/>
      </c>
      <c r="W37">
        <f>HYPERLINK("https://klasma.github.io/Logging_0115/klagomålsmail/A 17348-2025 FSC-klagomål mail.docx", "A 17348-2025")</f>
        <v/>
      </c>
      <c r="X37">
        <f>HYPERLINK("https://klasma.github.io/Logging_0115/tillsyn/A 17348-2025 tillsynsbegäran.docx", "A 17348-2025")</f>
        <v/>
      </c>
      <c r="Y37">
        <f>HYPERLINK("https://klasma.github.io/Logging_0115/tillsynsmail/A 17348-2025 tillsynsbegäran mail.docx", "A 17348-2025")</f>
        <v/>
      </c>
    </row>
    <row r="38" ht="15" customHeight="1">
      <c r="A38" t="inlineStr">
        <is>
          <t>A 34458-2023</t>
        </is>
      </c>
      <c r="B38" s="1" t="n">
        <v>45139</v>
      </c>
      <c r="C38" s="1" t="n">
        <v>46102</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46102</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46102</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46102</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46102</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46102</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46102</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46102</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46102</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46102</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46102</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46102</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46102</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46102</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46102</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46102</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46102</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46102</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46102</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46102</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46102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46102</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46102</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46102</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46102</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26390-2023</t>
        </is>
      </c>
      <c r="B63" s="1" t="n">
        <v>45086</v>
      </c>
      <c r="C63" s="1" t="n">
        <v>46102</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46381-2023</t>
        </is>
      </c>
      <c r="B64" s="1" t="n">
        <v>45193</v>
      </c>
      <c r="C64" s="1" t="n">
        <v>46102</v>
      </c>
      <c r="D64" t="inlineStr">
        <is>
          <t>STOCKHOLMS LÄN</t>
        </is>
      </c>
      <c r="E64" t="inlineStr">
        <is>
          <t>VALLENTUNA</t>
        </is>
      </c>
      <c r="G64" t="n">
        <v>2.9</v>
      </c>
      <c r="H64" t="n">
        <v>0</v>
      </c>
      <c r="I64" t="n">
        <v>0</v>
      </c>
      <c r="J64" t="n">
        <v>0</v>
      </c>
      <c r="K64" t="n">
        <v>0</v>
      </c>
      <c r="L64" t="n">
        <v>0</v>
      </c>
      <c r="M64" t="n">
        <v>0</v>
      </c>
      <c r="N64" t="n">
        <v>0</v>
      </c>
      <c r="O64" t="n">
        <v>0</v>
      </c>
      <c r="P64" t="n">
        <v>0</v>
      </c>
      <c r="Q64" t="n">
        <v>0</v>
      </c>
      <c r="R64" s="2" t="inlineStr"/>
    </row>
    <row r="65" ht="15" customHeight="1">
      <c r="A65" t="inlineStr">
        <is>
          <t>A 23009-2024</t>
        </is>
      </c>
      <c r="B65" s="1" t="n">
        <v>45450.34506944445</v>
      </c>
      <c r="C65" s="1" t="n">
        <v>46102</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61027-2023</t>
        </is>
      </c>
      <c r="B66" s="1" t="n">
        <v>45261</v>
      </c>
      <c r="C66" s="1" t="n">
        <v>46102</v>
      </c>
      <c r="D66" t="inlineStr">
        <is>
          <t>STOCKHOLMS LÄN</t>
        </is>
      </c>
      <c r="E66" t="inlineStr">
        <is>
          <t>VALLENTUNA</t>
        </is>
      </c>
      <c r="G66" t="n">
        <v>7.1</v>
      </c>
      <c r="H66" t="n">
        <v>0</v>
      </c>
      <c r="I66" t="n">
        <v>0</v>
      </c>
      <c r="J66" t="n">
        <v>0</v>
      </c>
      <c r="K66" t="n">
        <v>0</v>
      </c>
      <c r="L66" t="n">
        <v>0</v>
      </c>
      <c r="M66" t="n">
        <v>0</v>
      </c>
      <c r="N66" t="n">
        <v>0</v>
      </c>
      <c r="O66" t="n">
        <v>0</v>
      </c>
      <c r="P66" t="n">
        <v>0</v>
      </c>
      <c r="Q66" t="n">
        <v>0</v>
      </c>
      <c r="R66" s="2" t="inlineStr"/>
    </row>
    <row r="67" ht="15" customHeight="1">
      <c r="A67" t="inlineStr">
        <is>
          <t>A 27870-2025</t>
        </is>
      </c>
      <c r="B67" s="1" t="n">
        <v>45817</v>
      </c>
      <c r="C67" s="1" t="n">
        <v>46102</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46102</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15300-2023</t>
        </is>
      </c>
      <c r="B69" s="1" t="n">
        <v>45019</v>
      </c>
      <c r="C69" s="1" t="n">
        <v>46102</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23923-2025</t>
        </is>
      </c>
      <c r="B70" s="1" t="n">
        <v>45795.39648148148</v>
      </c>
      <c r="C70" s="1" t="n">
        <v>46102</v>
      </c>
      <c r="D70" t="inlineStr">
        <is>
          <t>STOCKHOLMS LÄN</t>
        </is>
      </c>
      <c r="E70" t="inlineStr">
        <is>
          <t>VALLENTUNA</t>
        </is>
      </c>
      <c r="G70" t="n">
        <v>2.3</v>
      </c>
      <c r="H70" t="n">
        <v>0</v>
      </c>
      <c r="I70" t="n">
        <v>0</v>
      </c>
      <c r="J70" t="n">
        <v>0</v>
      </c>
      <c r="K70" t="n">
        <v>0</v>
      </c>
      <c r="L70" t="n">
        <v>0</v>
      </c>
      <c r="M70" t="n">
        <v>0</v>
      </c>
      <c r="N70" t="n">
        <v>0</v>
      </c>
      <c r="O70" t="n">
        <v>0</v>
      </c>
      <c r="P70" t="n">
        <v>0</v>
      </c>
      <c r="Q70" t="n">
        <v>0</v>
      </c>
      <c r="R70" s="2" t="inlineStr"/>
    </row>
    <row r="71" ht="15" customHeight="1">
      <c r="A71" t="inlineStr">
        <is>
          <t>A 61646-2025</t>
        </is>
      </c>
      <c r="B71" s="1" t="n">
        <v>46002</v>
      </c>
      <c r="C71" s="1" t="n">
        <v>46102</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61742-2022</t>
        </is>
      </c>
      <c r="B72" s="1" t="n">
        <v>44917</v>
      </c>
      <c r="C72" s="1" t="n">
        <v>46102</v>
      </c>
      <c r="D72" t="inlineStr">
        <is>
          <t>STOCKHOLMS LÄN</t>
        </is>
      </c>
      <c r="E72" t="inlineStr">
        <is>
          <t>VALLENTUNA</t>
        </is>
      </c>
      <c r="G72" t="n">
        <v>0.5</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46102</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46102</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14480-2024</t>
        </is>
      </c>
      <c r="B75" s="1" t="n">
        <v>45394.56777777777</v>
      </c>
      <c r="C75" s="1" t="n">
        <v>46102</v>
      </c>
      <c r="D75" t="inlineStr">
        <is>
          <t>STOCKHOLMS LÄN</t>
        </is>
      </c>
      <c r="E75" t="inlineStr">
        <is>
          <t>VALLENTUNA</t>
        </is>
      </c>
      <c r="G75" t="n">
        <v>1.8</v>
      </c>
      <c r="H75" t="n">
        <v>0</v>
      </c>
      <c r="I75" t="n">
        <v>0</v>
      </c>
      <c r="J75" t="n">
        <v>0</v>
      </c>
      <c r="K75" t="n">
        <v>0</v>
      </c>
      <c r="L75" t="n">
        <v>0</v>
      </c>
      <c r="M75" t="n">
        <v>0</v>
      </c>
      <c r="N75" t="n">
        <v>0</v>
      </c>
      <c r="O75" t="n">
        <v>0</v>
      </c>
      <c r="P75" t="n">
        <v>0</v>
      </c>
      <c r="Q75" t="n">
        <v>0</v>
      </c>
      <c r="R75" s="2" t="inlineStr"/>
    </row>
    <row r="76" ht="15" customHeight="1">
      <c r="A76" t="inlineStr">
        <is>
          <t>A 17340-2025</t>
        </is>
      </c>
      <c r="B76" s="1" t="n">
        <v>45756</v>
      </c>
      <c r="C76" s="1" t="n">
        <v>46102</v>
      </c>
      <c r="D76" t="inlineStr">
        <is>
          <t>STOCKHOLMS LÄN</t>
        </is>
      </c>
      <c r="E76" t="inlineStr">
        <is>
          <t>VALLENTUNA</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30913-2021</t>
        </is>
      </c>
      <c r="B77" s="1" t="n">
        <v>44365</v>
      </c>
      <c r="C77" s="1" t="n">
        <v>46102</v>
      </c>
      <c r="D77" t="inlineStr">
        <is>
          <t>STOCKHOLMS LÄN</t>
        </is>
      </c>
      <c r="E77" t="inlineStr">
        <is>
          <t>VALLENTUNA</t>
        </is>
      </c>
      <c r="F77" t="inlineStr">
        <is>
          <t>Övriga Aktiebolag</t>
        </is>
      </c>
      <c r="G77" t="n">
        <v>3.3</v>
      </c>
      <c r="H77" t="n">
        <v>0</v>
      </c>
      <c r="I77" t="n">
        <v>0</v>
      </c>
      <c r="J77" t="n">
        <v>0</v>
      </c>
      <c r="K77" t="n">
        <v>0</v>
      </c>
      <c r="L77" t="n">
        <v>0</v>
      </c>
      <c r="M77" t="n">
        <v>0</v>
      </c>
      <c r="N77" t="n">
        <v>0</v>
      </c>
      <c r="O77" t="n">
        <v>0</v>
      </c>
      <c r="P77" t="n">
        <v>0</v>
      </c>
      <c r="Q77" t="n">
        <v>0</v>
      </c>
      <c r="R77" s="2" t="inlineStr"/>
    </row>
    <row r="78" ht="15" customHeight="1">
      <c r="A78" t="inlineStr">
        <is>
          <t>A 45496-2023</t>
        </is>
      </c>
      <c r="B78" s="1" t="n">
        <v>45194</v>
      </c>
      <c r="C78" s="1" t="n">
        <v>46102</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414-2026</t>
        </is>
      </c>
      <c r="B79" s="1" t="n">
        <v>46028.76050925926</v>
      </c>
      <c r="C79" s="1" t="n">
        <v>46102</v>
      </c>
      <c r="D79" t="inlineStr">
        <is>
          <t>STOCKHOLMS LÄN</t>
        </is>
      </c>
      <c r="E79" t="inlineStr">
        <is>
          <t>VALLENTUNA</t>
        </is>
      </c>
      <c r="G79" t="n">
        <v>2.6</v>
      </c>
      <c r="H79" t="n">
        <v>0</v>
      </c>
      <c r="I79" t="n">
        <v>0</v>
      </c>
      <c r="J79" t="n">
        <v>0</v>
      </c>
      <c r="K79" t="n">
        <v>0</v>
      </c>
      <c r="L79" t="n">
        <v>0</v>
      </c>
      <c r="M79" t="n">
        <v>0</v>
      </c>
      <c r="N79" t="n">
        <v>0</v>
      </c>
      <c r="O79" t="n">
        <v>0</v>
      </c>
      <c r="P79" t="n">
        <v>0</v>
      </c>
      <c r="Q79" t="n">
        <v>0</v>
      </c>
      <c r="R79" s="2" t="inlineStr"/>
    </row>
    <row r="80" ht="15" customHeight="1">
      <c r="A80" t="inlineStr">
        <is>
          <t>A 29704-2023</t>
        </is>
      </c>
      <c r="B80" s="1" t="n">
        <v>45107</v>
      </c>
      <c r="C80" s="1" t="n">
        <v>46102</v>
      </c>
      <c r="D80" t="inlineStr">
        <is>
          <t>STOCKHOLMS LÄN</t>
        </is>
      </c>
      <c r="E80" t="inlineStr">
        <is>
          <t>VALLENTUNA</t>
        </is>
      </c>
      <c r="G80" t="n">
        <v>3.7</v>
      </c>
      <c r="H80" t="n">
        <v>0</v>
      </c>
      <c r="I80" t="n">
        <v>0</v>
      </c>
      <c r="J80" t="n">
        <v>0</v>
      </c>
      <c r="K80" t="n">
        <v>0</v>
      </c>
      <c r="L80" t="n">
        <v>0</v>
      </c>
      <c r="M80" t="n">
        <v>0</v>
      </c>
      <c r="N80" t="n">
        <v>0</v>
      </c>
      <c r="O80" t="n">
        <v>0</v>
      </c>
      <c r="P80" t="n">
        <v>0</v>
      </c>
      <c r="Q80" t="n">
        <v>0</v>
      </c>
      <c r="R80" s="2" t="inlineStr"/>
    </row>
    <row r="81" ht="15" customHeight="1">
      <c r="A81" t="inlineStr">
        <is>
          <t>A 48014-2025</t>
        </is>
      </c>
      <c r="B81" s="1" t="n">
        <v>45932.64520833334</v>
      </c>
      <c r="C81" s="1" t="n">
        <v>46102</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46102</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46102</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12609-2024</t>
        </is>
      </c>
      <c r="B84" s="1" t="n">
        <v>45382.8109375</v>
      </c>
      <c r="C84" s="1" t="n">
        <v>46102</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46102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4804-2024</t>
        </is>
      </c>
      <c r="B86" s="1" t="n">
        <v>45328</v>
      </c>
      <c r="C86" s="1" t="n">
        <v>46102</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27868-2025</t>
        </is>
      </c>
      <c r="B87" s="1" t="n">
        <v>45817</v>
      </c>
      <c r="C87" s="1" t="n">
        <v>46102</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54460-2025</t>
        </is>
      </c>
      <c r="B88" s="1" t="n">
        <v>45965.56219907408</v>
      </c>
      <c r="C88" s="1" t="n">
        <v>46102</v>
      </c>
      <c r="D88" t="inlineStr">
        <is>
          <t>STOCKHOLMS LÄN</t>
        </is>
      </c>
      <c r="E88" t="inlineStr">
        <is>
          <t>VALLENTUNA</t>
        </is>
      </c>
      <c r="G88" t="n">
        <v>22.9</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46102</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12396-2026</t>
        </is>
      </c>
      <c r="B90" s="1" t="n">
        <v>46090.38930555555</v>
      </c>
      <c r="C90" s="1" t="n">
        <v>46102</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12400-2026</t>
        </is>
      </c>
      <c r="B91" s="1" t="n">
        <v>46090.39423611111</v>
      </c>
      <c r="C91" s="1" t="n">
        <v>46102</v>
      </c>
      <c r="D91" t="inlineStr">
        <is>
          <t>STOCKHOLMS LÄN</t>
        </is>
      </c>
      <c r="E91" t="inlineStr">
        <is>
          <t>VALLENTUNA</t>
        </is>
      </c>
      <c r="G91" t="n">
        <v>1.9</v>
      </c>
      <c r="H91" t="n">
        <v>0</v>
      </c>
      <c r="I91" t="n">
        <v>0</v>
      </c>
      <c r="J91" t="n">
        <v>0</v>
      </c>
      <c r="K91" t="n">
        <v>0</v>
      </c>
      <c r="L91" t="n">
        <v>0</v>
      </c>
      <c r="M91" t="n">
        <v>0</v>
      </c>
      <c r="N91" t="n">
        <v>0</v>
      </c>
      <c r="O91" t="n">
        <v>0</v>
      </c>
      <c r="P91" t="n">
        <v>0</v>
      </c>
      <c r="Q91" t="n">
        <v>0</v>
      </c>
      <c r="R91" s="2" t="inlineStr"/>
    </row>
    <row r="92" ht="15" customHeight="1">
      <c r="A92" t="inlineStr">
        <is>
          <t>A 24707-2023</t>
        </is>
      </c>
      <c r="B92" s="1" t="n">
        <v>45084</v>
      </c>
      <c r="C92" s="1" t="n">
        <v>46102</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25984-2025</t>
        </is>
      </c>
      <c r="B93" s="1" t="n">
        <v>45804.64016203704</v>
      </c>
      <c r="C93" s="1" t="n">
        <v>46102</v>
      </c>
      <c r="D93" t="inlineStr">
        <is>
          <t>STOCKHOLMS LÄN</t>
        </is>
      </c>
      <c r="E93" t="inlineStr">
        <is>
          <t>VALLENTUNA</t>
        </is>
      </c>
      <c r="G93" t="n">
        <v>2.5</v>
      </c>
      <c r="H93" t="n">
        <v>0</v>
      </c>
      <c r="I93" t="n">
        <v>0</v>
      </c>
      <c r="J93" t="n">
        <v>0</v>
      </c>
      <c r="K93" t="n">
        <v>0</v>
      </c>
      <c r="L93" t="n">
        <v>0</v>
      </c>
      <c r="M93" t="n">
        <v>0</v>
      </c>
      <c r="N93" t="n">
        <v>0</v>
      </c>
      <c r="O93" t="n">
        <v>0</v>
      </c>
      <c r="P93" t="n">
        <v>0</v>
      </c>
      <c r="Q93" t="n">
        <v>0</v>
      </c>
      <c r="R93" s="2" t="inlineStr"/>
    </row>
    <row r="94" ht="15" customHeight="1">
      <c r="A94" t="inlineStr">
        <is>
          <t>A 12830-2026</t>
        </is>
      </c>
      <c r="B94" s="1" t="n">
        <v>46092.42290509259</v>
      </c>
      <c r="C94" s="1" t="n">
        <v>46102</v>
      </c>
      <c r="D94" t="inlineStr">
        <is>
          <t>STOCKHOLMS LÄN</t>
        </is>
      </c>
      <c r="E94" t="inlineStr">
        <is>
          <t>VALLENTUNA</t>
        </is>
      </c>
      <c r="G94" t="n">
        <v>1.6</v>
      </c>
      <c r="H94" t="n">
        <v>0</v>
      </c>
      <c r="I94" t="n">
        <v>0</v>
      </c>
      <c r="J94" t="n">
        <v>0</v>
      </c>
      <c r="K94" t="n">
        <v>0</v>
      </c>
      <c r="L94" t="n">
        <v>0</v>
      </c>
      <c r="M94" t="n">
        <v>0</v>
      </c>
      <c r="N94" t="n">
        <v>0</v>
      </c>
      <c r="O94" t="n">
        <v>0</v>
      </c>
      <c r="P94" t="n">
        <v>0</v>
      </c>
      <c r="Q94" t="n">
        <v>0</v>
      </c>
      <c r="R94" s="2" t="inlineStr"/>
    </row>
    <row r="95" ht="15" customHeight="1">
      <c r="A95" t="inlineStr">
        <is>
          <t>A 12819-2026</t>
        </is>
      </c>
      <c r="B95" s="1" t="n">
        <v>46092.40896990741</v>
      </c>
      <c r="C95" s="1" t="n">
        <v>46102</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12822-2026</t>
        </is>
      </c>
      <c r="B96" s="1" t="n">
        <v>46092.41358796296</v>
      </c>
      <c r="C96" s="1" t="n">
        <v>46102</v>
      </c>
      <c r="D96" t="inlineStr">
        <is>
          <t>STOCKHOLMS LÄN</t>
        </is>
      </c>
      <c r="E96" t="inlineStr">
        <is>
          <t>VALLENTUNA</t>
        </is>
      </c>
      <c r="G96" t="n">
        <v>2.7</v>
      </c>
      <c r="H96" t="n">
        <v>0</v>
      </c>
      <c r="I96" t="n">
        <v>0</v>
      </c>
      <c r="J96" t="n">
        <v>0</v>
      </c>
      <c r="K96" t="n">
        <v>0</v>
      </c>
      <c r="L96" t="n">
        <v>0</v>
      </c>
      <c r="M96" t="n">
        <v>0</v>
      </c>
      <c r="N96" t="n">
        <v>0</v>
      </c>
      <c r="O96" t="n">
        <v>0</v>
      </c>
      <c r="P96" t="n">
        <v>0</v>
      </c>
      <c r="Q96" t="n">
        <v>0</v>
      </c>
      <c r="R96" s="2" t="inlineStr"/>
    </row>
    <row r="97" ht="15" customHeight="1">
      <c r="A97" t="inlineStr">
        <is>
          <t>A 12828-2026</t>
        </is>
      </c>
      <c r="B97" s="1" t="n">
        <v>46092.41760416667</v>
      </c>
      <c r="C97" s="1" t="n">
        <v>46102</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6298-2026</t>
        </is>
      </c>
      <c r="B98" s="1" t="n">
        <v>46055.5656712963</v>
      </c>
      <c r="C98" s="1" t="n">
        <v>46102</v>
      </c>
      <c r="D98" t="inlineStr">
        <is>
          <t>STOCKHOLMS LÄN</t>
        </is>
      </c>
      <c r="E98" t="inlineStr">
        <is>
          <t>VALLENTUNA</t>
        </is>
      </c>
      <c r="G98" t="n">
        <v>3.3</v>
      </c>
      <c r="H98" t="n">
        <v>0</v>
      </c>
      <c r="I98" t="n">
        <v>0</v>
      </c>
      <c r="J98" t="n">
        <v>0</v>
      </c>
      <c r="K98" t="n">
        <v>0</v>
      </c>
      <c r="L98" t="n">
        <v>0</v>
      </c>
      <c r="M98" t="n">
        <v>0</v>
      </c>
      <c r="N98" t="n">
        <v>0</v>
      </c>
      <c r="O98" t="n">
        <v>0</v>
      </c>
      <c r="P98" t="n">
        <v>0</v>
      </c>
      <c r="Q98" t="n">
        <v>0</v>
      </c>
      <c r="R98" s="2" t="inlineStr"/>
    </row>
    <row r="99" ht="15" customHeight="1">
      <c r="A99" t="inlineStr">
        <is>
          <t>A 5910-2022</t>
        </is>
      </c>
      <c r="B99" s="1" t="n">
        <v>44597</v>
      </c>
      <c r="C99" s="1" t="n">
        <v>46102</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46102</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60795-2023</t>
        </is>
      </c>
      <c r="B101" s="1" t="n">
        <v>45260</v>
      </c>
      <c r="C101" s="1" t="n">
        <v>46102</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60997-2022</t>
        </is>
      </c>
      <c r="B102" s="1" t="n">
        <v>44914.70746527778</v>
      </c>
      <c r="C102" s="1" t="n">
        <v>46102</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14775-2024</t>
        </is>
      </c>
      <c r="B103" s="1" t="n">
        <v>45397.73675925926</v>
      </c>
      <c r="C103" s="1" t="n">
        <v>46102</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8565-2025</t>
        </is>
      </c>
      <c r="B104" s="1" t="n">
        <v>45709</v>
      </c>
      <c r="C104" s="1" t="n">
        <v>46102</v>
      </c>
      <c r="D104" t="inlineStr">
        <is>
          <t>STOCKHOLMS LÄN</t>
        </is>
      </c>
      <c r="E104" t="inlineStr">
        <is>
          <t>VALLENTUNA</t>
        </is>
      </c>
      <c r="F104" t="inlineStr">
        <is>
          <t>Kommuner</t>
        </is>
      </c>
      <c r="G104" t="n">
        <v>4.2</v>
      </c>
      <c r="H104" t="n">
        <v>0</v>
      </c>
      <c r="I104" t="n">
        <v>0</v>
      </c>
      <c r="J104" t="n">
        <v>0</v>
      </c>
      <c r="K104" t="n">
        <v>0</v>
      </c>
      <c r="L104" t="n">
        <v>0</v>
      </c>
      <c r="M104" t="n">
        <v>0</v>
      </c>
      <c r="N104" t="n">
        <v>0</v>
      </c>
      <c r="O104" t="n">
        <v>0</v>
      </c>
      <c r="P104" t="n">
        <v>0</v>
      </c>
      <c r="Q104" t="n">
        <v>0</v>
      </c>
      <c r="R104" s="2" t="inlineStr"/>
    </row>
    <row r="105" ht="15" customHeight="1">
      <c r="A105" t="inlineStr">
        <is>
          <t>A 8787-2024</t>
        </is>
      </c>
      <c r="B105" s="1" t="n">
        <v>45356</v>
      </c>
      <c r="C105" s="1" t="n">
        <v>46102</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14782-2024</t>
        </is>
      </c>
      <c r="B106" s="1" t="n">
        <v>45397.74266203704</v>
      </c>
      <c r="C106" s="1" t="n">
        <v>46102</v>
      </c>
      <c r="D106" t="inlineStr">
        <is>
          <t>STOCKHOLMS LÄN</t>
        </is>
      </c>
      <c r="E106" t="inlineStr">
        <is>
          <t>VALLENTUNA</t>
        </is>
      </c>
      <c r="G106" t="n">
        <v>3.1</v>
      </c>
      <c r="H106" t="n">
        <v>0</v>
      </c>
      <c r="I106" t="n">
        <v>0</v>
      </c>
      <c r="J106" t="n">
        <v>0</v>
      </c>
      <c r="K106" t="n">
        <v>0</v>
      </c>
      <c r="L106" t="n">
        <v>0</v>
      </c>
      <c r="M106" t="n">
        <v>0</v>
      </c>
      <c r="N106" t="n">
        <v>0</v>
      </c>
      <c r="O106" t="n">
        <v>0</v>
      </c>
      <c r="P106" t="n">
        <v>0</v>
      </c>
      <c r="Q106" t="n">
        <v>0</v>
      </c>
      <c r="R106" s="2" t="inlineStr"/>
    </row>
    <row r="107" ht="15" customHeight="1">
      <c r="A107" t="inlineStr">
        <is>
          <t>A 52562-2023</t>
        </is>
      </c>
      <c r="B107" s="1" t="n">
        <v>45225</v>
      </c>
      <c r="C107" s="1" t="n">
        <v>46102</v>
      </c>
      <c r="D107" t="inlineStr">
        <is>
          <t>STOCKHOLMS LÄN</t>
        </is>
      </c>
      <c r="E107" t="inlineStr">
        <is>
          <t>VALLENTUNA</t>
        </is>
      </c>
      <c r="G107" t="n">
        <v>3.4</v>
      </c>
      <c r="H107" t="n">
        <v>0</v>
      </c>
      <c r="I107" t="n">
        <v>0</v>
      </c>
      <c r="J107" t="n">
        <v>0</v>
      </c>
      <c r="K107" t="n">
        <v>0</v>
      </c>
      <c r="L107" t="n">
        <v>0</v>
      </c>
      <c r="M107" t="n">
        <v>0</v>
      </c>
      <c r="N107" t="n">
        <v>0</v>
      </c>
      <c r="O107" t="n">
        <v>0</v>
      </c>
      <c r="P107" t="n">
        <v>0</v>
      </c>
      <c r="Q107" t="n">
        <v>0</v>
      </c>
      <c r="R107" s="2" t="inlineStr"/>
    </row>
    <row r="108" ht="15" customHeight="1">
      <c r="A108" t="inlineStr">
        <is>
          <t>A 49530-2023</t>
        </is>
      </c>
      <c r="B108" s="1" t="n">
        <v>45205</v>
      </c>
      <c r="C108" s="1" t="n">
        <v>46102</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30902-2025</t>
        </is>
      </c>
      <c r="B109" s="1" t="n">
        <v>45832.36104166666</v>
      </c>
      <c r="C109" s="1" t="n">
        <v>46102</v>
      </c>
      <c r="D109" t="inlineStr">
        <is>
          <t>STOCKHOLMS LÄN</t>
        </is>
      </c>
      <c r="E109" t="inlineStr">
        <is>
          <t>VALLENTUNA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46102</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2318-2024</t>
        </is>
      </c>
      <c r="B111" s="1" t="n">
        <v>45310</v>
      </c>
      <c r="C111" s="1" t="n">
        <v>46102</v>
      </c>
      <c r="D111" t="inlineStr">
        <is>
          <t>STOCKHOLMS LÄN</t>
        </is>
      </c>
      <c r="E111" t="inlineStr">
        <is>
          <t>VALLENTUNA</t>
        </is>
      </c>
      <c r="G111" t="n">
        <v>2.2</v>
      </c>
      <c r="H111" t="n">
        <v>0</v>
      </c>
      <c r="I111" t="n">
        <v>0</v>
      </c>
      <c r="J111" t="n">
        <v>0</v>
      </c>
      <c r="K111" t="n">
        <v>0</v>
      </c>
      <c r="L111" t="n">
        <v>0</v>
      </c>
      <c r="M111" t="n">
        <v>0</v>
      </c>
      <c r="N111" t="n">
        <v>0</v>
      </c>
      <c r="O111" t="n">
        <v>0</v>
      </c>
      <c r="P111" t="n">
        <v>0</v>
      </c>
      <c r="Q111" t="n">
        <v>0</v>
      </c>
      <c r="R111" s="2" t="inlineStr"/>
    </row>
    <row r="112" ht="15" customHeight="1">
      <c r="A112" t="inlineStr">
        <is>
          <t>A 9063-2024</t>
        </is>
      </c>
      <c r="B112" s="1" t="n">
        <v>45357.72652777778</v>
      </c>
      <c r="C112" s="1" t="n">
        <v>46102</v>
      </c>
      <c r="D112" t="inlineStr">
        <is>
          <t>STOCKHOLMS LÄN</t>
        </is>
      </c>
      <c r="E112" t="inlineStr">
        <is>
          <t>VALLENTUNA</t>
        </is>
      </c>
      <c r="G112" t="n">
        <v>4.1</v>
      </c>
      <c r="H112" t="n">
        <v>0</v>
      </c>
      <c r="I112" t="n">
        <v>0</v>
      </c>
      <c r="J112" t="n">
        <v>0</v>
      </c>
      <c r="K112" t="n">
        <v>0</v>
      </c>
      <c r="L112" t="n">
        <v>0</v>
      </c>
      <c r="M112" t="n">
        <v>0</v>
      </c>
      <c r="N112" t="n">
        <v>0</v>
      </c>
      <c r="O112" t="n">
        <v>0</v>
      </c>
      <c r="P112" t="n">
        <v>0</v>
      </c>
      <c r="Q112" t="n">
        <v>0</v>
      </c>
      <c r="R112" s="2" t="inlineStr"/>
    </row>
    <row r="113" ht="15" customHeight="1">
      <c r="A113" t="inlineStr">
        <is>
          <t>A 21445-2023</t>
        </is>
      </c>
      <c r="B113" s="1" t="n">
        <v>45063</v>
      </c>
      <c r="C113" s="1" t="n">
        <v>46102</v>
      </c>
      <c r="D113" t="inlineStr">
        <is>
          <t>STOCKHOLMS LÄN</t>
        </is>
      </c>
      <c r="E113" t="inlineStr">
        <is>
          <t>VALLENTUNA</t>
        </is>
      </c>
      <c r="G113" t="n">
        <v>3.1</v>
      </c>
      <c r="H113" t="n">
        <v>0</v>
      </c>
      <c r="I113" t="n">
        <v>0</v>
      </c>
      <c r="J113" t="n">
        <v>0</v>
      </c>
      <c r="K113" t="n">
        <v>0</v>
      </c>
      <c r="L113" t="n">
        <v>0</v>
      </c>
      <c r="M113" t="n">
        <v>0</v>
      </c>
      <c r="N113" t="n">
        <v>0</v>
      </c>
      <c r="O113" t="n">
        <v>0</v>
      </c>
      <c r="P113" t="n">
        <v>0</v>
      </c>
      <c r="Q113" t="n">
        <v>0</v>
      </c>
      <c r="R113" s="2" t="inlineStr"/>
    </row>
    <row r="114" ht="15" customHeight="1">
      <c r="A114" t="inlineStr">
        <is>
          <t>A 34441-2023</t>
        </is>
      </c>
      <c r="B114" s="1" t="n">
        <v>45139</v>
      </c>
      <c r="C114" s="1" t="n">
        <v>46102</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34445-2023</t>
        </is>
      </c>
      <c r="B115" s="1" t="n">
        <v>45139</v>
      </c>
      <c r="C115" s="1" t="n">
        <v>46102</v>
      </c>
      <c r="D115" t="inlineStr">
        <is>
          <t>STOCKHOLMS LÄN</t>
        </is>
      </c>
      <c r="E115" t="inlineStr">
        <is>
          <t>VALLENTUNA</t>
        </is>
      </c>
      <c r="G115" t="n">
        <v>0.9</v>
      </c>
      <c r="H115" t="n">
        <v>0</v>
      </c>
      <c r="I115" t="n">
        <v>0</v>
      </c>
      <c r="J115" t="n">
        <v>0</v>
      </c>
      <c r="K115" t="n">
        <v>0</v>
      </c>
      <c r="L115" t="n">
        <v>0</v>
      </c>
      <c r="M115" t="n">
        <v>0</v>
      </c>
      <c r="N115" t="n">
        <v>0</v>
      </c>
      <c r="O115" t="n">
        <v>0</v>
      </c>
      <c r="P115" t="n">
        <v>0</v>
      </c>
      <c r="Q115" t="n">
        <v>0</v>
      </c>
      <c r="R115" s="2" t="inlineStr"/>
    </row>
    <row r="116" ht="15" customHeight="1">
      <c r="A116" t="inlineStr">
        <is>
          <t>A 28431-2025</t>
        </is>
      </c>
      <c r="B116" s="1" t="n">
        <v>45819.38072916667</v>
      </c>
      <c r="C116" s="1" t="n">
        <v>46102</v>
      </c>
      <c r="D116" t="inlineStr">
        <is>
          <t>STOCKHOLMS LÄN</t>
        </is>
      </c>
      <c r="E116" t="inlineStr">
        <is>
          <t>VALLENTUNA</t>
        </is>
      </c>
      <c r="G116" t="n">
        <v>1.5</v>
      </c>
      <c r="H116" t="n">
        <v>0</v>
      </c>
      <c r="I116" t="n">
        <v>0</v>
      </c>
      <c r="J116" t="n">
        <v>0</v>
      </c>
      <c r="K116" t="n">
        <v>0</v>
      </c>
      <c r="L116" t="n">
        <v>0</v>
      </c>
      <c r="M116" t="n">
        <v>0</v>
      </c>
      <c r="N116" t="n">
        <v>0</v>
      </c>
      <c r="O116" t="n">
        <v>0</v>
      </c>
      <c r="P116" t="n">
        <v>0</v>
      </c>
      <c r="Q116" t="n">
        <v>0</v>
      </c>
      <c r="R116" s="2" t="inlineStr"/>
    </row>
    <row r="117" ht="15" customHeight="1">
      <c r="A117" t="inlineStr">
        <is>
          <t>A 735-2024</t>
        </is>
      </c>
      <c r="B117" s="1" t="n">
        <v>45300</v>
      </c>
      <c r="C117" s="1" t="n">
        <v>46102</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46102</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8077-2022</t>
        </is>
      </c>
      <c r="B119" s="1" t="n">
        <v>44609</v>
      </c>
      <c r="C119" s="1" t="n">
        <v>46102</v>
      </c>
      <c r="D119" t="inlineStr">
        <is>
          <t>STOCKHOLMS LÄN</t>
        </is>
      </c>
      <c r="E119" t="inlineStr">
        <is>
          <t>VALLENTUNA</t>
        </is>
      </c>
      <c r="G119" t="n">
        <v>1.3</v>
      </c>
      <c r="H119" t="n">
        <v>0</v>
      </c>
      <c r="I119" t="n">
        <v>0</v>
      </c>
      <c r="J119" t="n">
        <v>0</v>
      </c>
      <c r="K119" t="n">
        <v>0</v>
      </c>
      <c r="L119" t="n">
        <v>0</v>
      </c>
      <c r="M119" t="n">
        <v>0</v>
      </c>
      <c r="N119" t="n">
        <v>0</v>
      </c>
      <c r="O119" t="n">
        <v>0</v>
      </c>
      <c r="P119" t="n">
        <v>0</v>
      </c>
      <c r="Q119" t="n">
        <v>0</v>
      </c>
      <c r="R119" s="2" t="inlineStr"/>
    </row>
    <row r="120" ht="15" customHeight="1">
      <c r="A120" t="inlineStr">
        <is>
          <t>A 47140-2024</t>
        </is>
      </c>
      <c r="B120" s="1" t="n">
        <v>45586.58753472222</v>
      </c>
      <c r="C120" s="1" t="n">
        <v>46102</v>
      </c>
      <c r="D120" t="inlineStr">
        <is>
          <t>STOCKHOLMS LÄN</t>
        </is>
      </c>
      <c r="E120" t="inlineStr">
        <is>
          <t>VALLENTUNA</t>
        </is>
      </c>
      <c r="G120" t="n">
        <v>1</v>
      </c>
      <c r="H120" t="n">
        <v>0</v>
      </c>
      <c r="I120" t="n">
        <v>0</v>
      </c>
      <c r="J120" t="n">
        <v>0</v>
      </c>
      <c r="K120" t="n">
        <v>0</v>
      </c>
      <c r="L120" t="n">
        <v>0</v>
      </c>
      <c r="M120" t="n">
        <v>0</v>
      </c>
      <c r="N120" t="n">
        <v>0</v>
      </c>
      <c r="O120" t="n">
        <v>0</v>
      </c>
      <c r="P120" t="n">
        <v>0</v>
      </c>
      <c r="Q120" t="n">
        <v>0</v>
      </c>
      <c r="R120" s="2" t="inlineStr"/>
    </row>
    <row r="121" ht="15" customHeight="1">
      <c r="A121" t="inlineStr">
        <is>
          <t>A 44346-2021</t>
        </is>
      </c>
      <c r="B121" s="1" t="n">
        <v>44434</v>
      </c>
      <c r="C121" s="1" t="n">
        <v>46102</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21765-2023</t>
        </is>
      </c>
      <c r="B122" s="1" t="n">
        <v>45064</v>
      </c>
      <c r="C122" s="1" t="n">
        <v>46102</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46102</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23986-2023</t>
        </is>
      </c>
      <c r="B124" s="1" t="n">
        <v>45078</v>
      </c>
      <c r="C124" s="1" t="n">
        <v>46102</v>
      </c>
      <c r="D124" t="inlineStr">
        <is>
          <t>STOCKHOLMS LÄN</t>
        </is>
      </c>
      <c r="E124" t="inlineStr">
        <is>
          <t>VALLENTUNA</t>
        </is>
      </c>
      <c r="F124" t="inlineStr">
        <is>
          <t>Kyrkan</t>
        </is>
      </c>
      <c r="G124" t="n">
        <v>5.7</v>
      </c>
      <c r="H124" t="n">
        <v>0</v>
      </c>
      <c r="I124" t="n">
        <v>0</v>
      </c>
      <c r="J124" t="n">
        <v>0</v>
      </c>
      <c r="K124" t="n">
        <v>0</v>
      </c>
      <c r="L124" t="n">
        <v>0</v>
      </c>
      <c r="M124" t="n">
        <v>0</v>
      </c>
      <c r="N124" t="n">
        <v>0</v>
      </c>
      <c r="O124" t="n">
        <v>0</v>
      </c>
      <c r="P124" t="n">
        <v>0</v>
      </c>
      <c r="Q124" t="n">
        <v>0</v>
      </c>
      <c r="R124" s="2" t="inlineStr"/>
    </row>
    <row r="125" ht="15" customHeight="1">
      <c r="A125" t="inlineStr">
        <is>
          <t>A 24068-2024</t>
        </is>
      </c>
      <c r="B125" s="1" t="n">
        <v>45456</v>
      </c>
      <c r="C125" s="1" t="n">
        <v>46102</v>
      </c>
      <c r="D125" t="inlineStr">
        <is>
          <t>STOCKHOLMS LÄN</t>
        </is>
      </c>
      <c r="E125" t="inlineStr">
        <is>
          <t>VALLENTUNA</t>
        </is>
      </c>
      <c r="G125" t="n">
        <v>7.4</v>
      </c>
      <c r="H125" t="n">
        <v>0</v>
      </c>
      <c r="I125" t="n">
        <v>0</v>
      </c>
      <c r="J125" t="n">
        <v>0</v>
      </c>
      <c r="K125" t="n">
        <v>0</v>
      </c>
      <c r="L125" t="n">
        <v>0</v>
      </c>
      <c r="M125" t="n">
        <v>0</v>
      </c>
      <c r="N125" t="n">
        <v>0</v>
      </c>
      <c r="O125" t="n">
        <v>0</v>
      </c>
      <c r="P125" t="n">
        <v>0</v>
      </c>
      <c r="Q125" t="n">
        <v>0</v>
      </c>
      <c r="R125" s="2" t="inlineStr"/>
    </row>
    <row r="126" ht="15" customHeight="1">
      <c r="A126" t="inlineStr">
        <is>
          <t>A 3937-2022</t>
        </is>
      </c>
      <c r="B126" s="1" t="n">
        <v>44587</v>
      </c>
      <c r="C126" s="1" t="n">
        <v>46102</v>
      </c>
      <c r="D126" t="inlineStr">
        <is>
          <t>STOCKHOLMS LÄN</t>
        </is>
      </c>
      <c r="E126" t="inlineStr">
        <is>
          <t>VALLENTUNA</t>
        </is>
      </c>
      <c r="G126" t="n">
        <v>6.6</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46102</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44946.41527777778</v>
      </c>
      <c r="C128" s="1" t="n">
        <v>46102</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19503-2023</t>
        </is>
      </c>
      <c r="B129" s="1" t="n">
        <v>45050.47333333334</v>
      </c>
      <c r="C129" s="1" t="n">
        <v>46102</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4803-2024</t>
        </is>
      </c>
      <c r="B130" s="1" t="n">
        <v>45328</v>
      </c>
      <c r="C130" s="1" t="n">
        <v>46102</v>
      </c>
      <c r="D130" t="inlineStr">
        <is>
          <t>STOCKHOLMS LÄN</t>
        </is>
      </c>
      <c r="E130" t="inlineStr">
        <is>
          <t>VALLENTUNA</t>
        </is>
      </c>
      <c r="G130" t="n">
        <v>4.6</v>
      </c>
      <c r="H130" t="n">
        <v>0</v>
      </c>
      <c r="I130" t="n">
        <v>0</v>
      </c>
      <c r="J130" t="n">
        <v>0</v>
      </c>
      <c r="K130" t="n">
        <v>0</v>
      </c>
      <c r="L130" t="n">
        <v>0</v>
      </c>
      <c r="M130" t="n">
        <v>0</v>
      </c>
      <c r="N130" t="n">
        <v>0</v>
      </c>
      <c r="O130" t="n">
        <v>0</v>
      </c>
      <c r="P130" t="n">
        <v>0</v>
      </c>
      <c r="Q130" t="n">
        <v>0</v>
      </c>
      <c r="R130" s="2" t="inlineStr"/>
    </row>
    <row r="131" ht="15" customHeight="1">
      <c r="A131" t="inlineStr">
        <is>
          <t>A 3698-2022</t>
        </is>
      </c>
      <c r="B131" s="1" t="n">
        <v>44586</v>
      </c>
      <c r="C131" s="1" t="n">
        <v>46102</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46102</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12234-2022</t>
        </is>
      </c>
      <c r="B133" s="1" t="n">
        <v>44637</v>
      </c>
      <c r="C133" s="1" t="n">
        <v>46102</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24943-2024</t>
        </is>
      </c>
      <c r="B134" s="1" t="n">
        <v>45461.62585648148</v>
      </c>
      <c r="C134" s="1" t="n">
        <v>46102</v>
      </c>
      <c r="D134" t="inlineStr">
        <is>
          <t>STOCKHOLMS LÄN</t>
        </is>
      </c>
      <c r="E134" t="inlineStr">
        <is>
          <t>VALLENTUNA</t>
        </is>
      </c>
      <c r="G134" t="n">
        <v>2</v>
      </c>
      <c r="H134" t="n">
        <v>0</v>
      </c>
      <c r="I134" t="n">
        <v>0</v>
      </c>
      <c r="J134" t="n">
        <v>0</v>
      </c>
      <c r="K134" t="n">
        <v>0</v>
      </c>
      <c r="L134" t="n">
        <v>0</v>
      </c>
      <c r="M134" t="n">
        <v>0</v>
      </c>
      <c r="N134" t="n">
        <v>0</v>
      </c>
      <c r="O134" t="n">
        <v>0</v>
      </c>
      <c r="P134" t="n">
        <v>0</v>
      </c>
      <c r="Q134" t="n">
        <v>0</v>
      </c>
      <c r="R134" s="2" t="inlineStr"/>
    </row>
    <row r="135" ht="15" customHeight="1">
      <c r="A135" t="inlineStr">
        <is>
          <t>A 22683-2023</t>
        </is>
      </c>
      <c r="B135" s="1" t="n">
        <v>45071</v>
      </c>
      <c r="C135" s="1" t="n">
        <v>46102</v>
      </c>
      <c r="D135" t="inlineStr">
        <is>
          <t>STOCKHOLMS LÄN</t>
        </is>
      </c>
      <c r="E135" t="inlineStr">
        <is>
          <t>VALLENTUNA</t>
        </is>
      </c>
      <c r="G135" t="n">
        <v>1.2</v>
      </c>
      <c r="H135" t="n">
        <v>0</v>
      </c>
      <c r="I135" t="n">
        <v>0</v>
      </c>
      <c r="J135" t="n">
        <v>0</v>
      </c>
      <c r="K135" t="n">
        <v>0</v>
      </c>
      <c r="L135" t="n">
        <v>0</v>
      </c>
      <c r="M135" t="n">
        <v>0</v>
      </c>
      <c r="N135" t="n">
        <v>0</v>
      </c>
      <c r="O135" t="n">
        <v>0</v>
      </c>
      <c r="P135" t="n">
        <v>0</v>
      </c>
      <c r="Q135" t="n">
        <v>0</v>
      </c>
      <c r="R135" s="2" t="inlineStr"/>
    </row>
    <row r="136" ht="15" customHeight="1">
      <c r="A136" t="inlineStr">
        <is>
          <t>A 17411-2023</t>
        </is>
      </c>
      <c r="B136" s="1" t="n">
        <v>45035.82512731481</v>
      </c>
      <c r="C136" s="1" t="n">
        <v>46102</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46102</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60818-2023</t>
        </is>
      </c>
      <c r="B138" s="1" t="n">
        <v>45259</v>
      </c>
      <c r="C138" s="1" t="n">
        <v>46102</v>
      </c>
      <c r="D138" t="inlineStr">
        <is>
          <t>STOCKHOLMS LÄN</t>
        </is>
      </c>
      <c r="E138" t="inlineStr">
        <is>
          <t>VALLENTUNA</t>
        </is>
      </c>
      <c r="G138" t="n">
        <v>9.4</v>
      </c>
      <c r="H138" t="n">
        <v>0</v>
      </c>
      <c r="I138" t="n">
        <v>0</v>
      </c>
      <c r="J138" t="n">
        <v>0</v>
      </c>
      <c r="K138" t="n">
        <v>0</v>
      </c>
      <c r="L138" t="n">
        <v>0</v>
      </c>
      <c r="M138" t="n">
        <v>0</v>
      </c>
      <c r="N138" t="n">
        <v>0</v>
      </c>
      <c r="O138" t="n">
        <v>0</v>
      </c>
      <c r="P138" t="n">
        <v>0</v>
      </c>
      <c r="Q138" t="n">
        <v>0</v>
      </c>
      <c r="R138" s="2" t="inlineStr"/>
    </row>
    <row r="139" ht="15" customHeight="1">
      <c r="A139" t="inlineStr">
        <is>
          <t>A 7264-2022</t>
        </is>
      </c>
      <c r="B139" s="1" t="n">
        <v>44606</v>
      </c>
      <c r="C139" s="1" t="n">
        <v>46102</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19356-2025</t>
        </is>
      </c>
      <c r="B140" s="1" t="n">
        <v>45769.62061342593</v>
      </c>
      <c r="C140" s="1" t="n">
        <v>46102</v>
      </c>
      <c r="D140" t="inlineStr">
        <is>
          <t>STOCKHOLMS LÄN</t>
        </is>
      </c>
      <c r="E140" t="inlineStr">
        <is>
          <t>VALLENTUNA</t>
        </is>
      </c>
      <c r="F140" t="inlineStr">
        <is>
          <t>Övriga Aktiebolag</t>
        </is>
      </c>
      <c r="G140" t="n">
        <v>1.6</v>
      </c>
      <c r="H140" t="n">
        <v>0</v>
      </c>
      <c r="I140" t="n">
        <v>0</v>
      </c>
      <c r="J140" t="n">
        <v>0</v>
      </c>
      <c r="K140" t="n">
        <v>0</v>
      </c>
      <c r="L140" t="n">
        <v>0</v>
      </c>
      <c r="M140" t="n">
        <v>0</v>
      </c>
      <c r="N140" t="n">
        <v>0</v>
      </c>
      <c r="O140" t="n">
        <v>0</v>
      </c>
      <c r="P140" t="n">
        <v>0</v>
      </c>
      <c r="Q140" t="n">
        <v>0</v>
      </c>
      <c r="R140" s="2" t="inlineStr"/>
    </row>
    <row r="141" ht="15" customHeight="1">
      <c r="A141" t="inlineStr">
        <is>
          <t>A 11950-2025</t>
        </is>
      </c>
      <c r="B141" s="1" t="n">
        <v>45728.55622685186</v>
      </c>
      <c r="C141" s="1" t="n">
        <v>46102</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14489-2024</t>
        </is>
      </c>
      <c r="B142" s="1" t="n">
        <v>45394.58053240741</v>
      </c>
      <c r="C142" s="1" t="n">
        <v>46102</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46102</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61442-2024</t>
        </is>
      </c>
      <c r="B144" s="1" t="n">
        <v>45646.47003472222</v>
      </c>
      <c r="C144" s="1" t="n">
        <v>46102</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48068-2021</t>
        </is>
      </c>
      <c r="B145" s="1" t="n">
        <v>44449.42270833333</v>
      </c>
      <c r="C145" s="1" t="n">
        <v>46102</v>
      </c>
      <c r="D145" t="inlineStr">
        <is>
          <t>STOCKHOLMS LÄN</t>
        </is>
      </c>
      <c r="E145" t="inlineStr">
        <is>
          <t>VALLENTUNA</t>
        </is>
      </c>
      <c r="G145" t="n">
        <v>1.3</v>
      </c>
      <c r="H145" t="n">
        <v>0</v>
      </c>
      <c r="I145" t="n">
        <v>0</v>
      </c>
      <c r="J145" t="n">
        <v>0</v>
      </c>
      <c r="K145" t="n">
        <v>0</v>
      </c>
      <c r="L145" t="n">
        <v>0</v>
      </c>
      <c r="M145" t="n">
        <v>0</v>
      </c>
      <c r="N145" t="n">
        <v>0</v>
      </c>
      <c r="O145" t="n">
        <v>0</v>
      </c>
      <c r="P145" t="n">
        <v>0</v>
      </c>
      <c r="Q145" t="n">
        <v>0</v>
      </c>
      <c r="R145" s="2" t="inlineStr"/>
    </row>
    <row r="146" ht="15" customHeight="1">
      <c r="A146" t="inlineStr">
        <is>
          <t>A 45499-2023</t>
        </is>
      </c>
      <c r="B146" s="1" t="n">
        <v>45194</v>
      </c>
      <c r="C146" s="1" t="n">
        <v>46102</v>
      </c>
      <c r="D146" t="inlineStr">
        <is>
          <t>STOCKHOLMS LÄN</t>
        </is>
      </c>
      <c r="E146" t="inlineStr">
        <is>
          <t>VALLENTUNA</t>
        </is>
      </c>
      <c r="G146" t="n">
        <v>2.5</v>
      </c>
      <c r="H146" t="n">
        <v>0</v>
      </c>
      <c r="I146" t="n">
        <v>0</v>
      </c>
      <c r="J146" t="n">
        <v>0</v>
      </c>
      <c r="K146" t="n">
        <v>0</v>
      </c>
      <c r="L146" t="n">
        <v>0</v>
      </c>
      <c r="M146" t="n">
        <v>0</v>
      </c>
      <c r="N146" t="n">
        <v>0</v>
      </c>
      <c r="O146" t="n">
        <v>0</v>
      </c>
      <c r="P146" t="n">
        <v>0</v>
      </c>
      <c r="Q146" t="n">
        <v>0</v>
      </c>
      <c r="R146" s="2" t="inlineStr"/>
    </row>
    <row r="147" ht="15" customHeight="1">
      <c r="A147" t="inlineStr">
        <is>
          <t>A 34452-2021</t>
        </is>
      </c>
      <c r="B147" s="1" t="n">
        <v>44381</v>
      </c>
      <c r="C147" s="1" t="n">
        <v>46102</v>
      </c>
      <c r="D147" t="inlineStr">
        <is>
          <t>STOCKHOLMS LÄN</t>
        </is>
      </c>
      <c r="E147" t="inlineStr">
        <is>
          <t>VALLENTUNA</t>
        </is>
      </c>
      <c r="G147" t="n">
        <v>14.7</v>
      </c>
      <c r="H147" t="n">
        <v>0</v>
      </c>
      <c r="I147" t="n">
        <v>0</v>
      </c>
      <c r="J147" t="n">
        <v>0</v>
      </c>
      <c r="K147" t="n">
        <v>0</v>
      </c>
      <c r="L147" t="n">
        <v>0</v>
      </c>
      <c r="M147" t="n">
        <v>0</v>
      </c>
      <c r="N147" t="n">
        <v>0</v>
      </c>
      <c r="O147" t="n">
        <v>0</v>
      </c>
      <c r="P147" t="n">
        <v>0</v>
      </c>
      <c r="Q147" t="n">
        <v>0</v>
      </c>
      <c r="R147" s="2" t="inlineStr"/>
    </row>
    <row r="148" ht="15" customHeight="1">
      <c r="A148" t="inlineStr">
        <is>
          <t>A 20791-2025</t>
        </is>
      </c>
      <c r="B148" s="1" t="n">
        <v>45776.62738425926</v>
      </c>
      <c r="C148" s="1" t="n">
        <v>46102</v>
      </c>
      <c r="D148" t="inlineStr">
        <is>
          <t>STOCKHOLMS LÄN</t>
        </is>
      </c>
      <c r="E148" t="inlineStr">
        <is>
          <t>VALLENTUNA</t>
        </is>
      </c>
      <c r="G148" t="n">
        <v>1.5</v>
      </c>
      <c r="H148" t="n">
        <v>0</v>
      </c>
      <c r="I148" t="n">
        <v>0</v>
      </c>
      <c r="J148" t="n">
        <v>0</v>
      </c>
      <c r="K148" t="n">
        <v>0</v>
      </c>
      <c r="L148" t="n">
        <v>0</v>
      </c>
      <c r="M148" t="n">
        <v>0</v>
      </c>
      <c r="N148" t="n">
        <v>0</v>
      </c>
      <c r="O148" t="n">
        <v>0</v>
      </c>
      <c r="P148" t="n">
        <v>0</v>
      </c>
      <c r="Q148" t="n">
        <v>0</v>
      </c>
      <c r="R148" s="2" t="inlineStr"/>
    </row>
    <row r="149" ht="15" customHeight="1">
      <c r="A149" t="inlineStr">
        <is>
          <t>A 10073-2024</t>
        </is>
      </c>
      <c r="B149" s="1" t="n">
        <v>45364.40821759259</v>
      </c>
      <c r="C149" s="1" t="n">
        <v>46102</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46102</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2026-03-21T11:30:13Z</dcterms:created>
  <dcterms:modified xmlns:dcterms="http://purl.org/dc/terms/" xmlns:xsi="http://www.w3.org/2001/XMLSchema-instance" xsi:type="dcterms:W3CDTF">2026-03-21T11:30:14Z</dcterms:modified>
</cp:coreProperties>
</file>