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46134</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46134</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46134</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9807-2026</t>
        </is>
      </c>
      <c r="B18" s="1" t="n">
        <v>46072</v>
      </c>
      <c r="C18" s="1" t="n">
        <v>46134</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46134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46134</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46134</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46134</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46134</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46134</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46134</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46134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46134</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46134</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46134</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63539-2025</t>
        </is>
      </c>
      <c r="B32" s="1" t="n">
        <v>46013.58824074074</v>
      </c>
      <c r="C32" s="1" t="n">
        <v>46134</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7890-2023</t>
        </is>
      </c>
      <c r="B33" s="1" t="n">
        <v>44973</v>
      </c>
      <c r="C33" s="1" t="n">
        <v>46134</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54481-2025</t>
        </is>
      </c>
      <c r="B34" s="1" t="n">
        <v>45965.58837962963</v>
      </c>
      <c r="C34" s="1" t="n">
        <v>46134</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63543-2025</t>
        </is>
      </c>
      <c r="B35" s="1" t="n">
        <v>46013.59207175926</v>
      </c>
      <c r="C35" s="1" t="n">
        <v>46134</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21-2022</t>
        </is>
      </c>
      <c r="B36" s="1" t="n">
        <v>44560</v>
      </c>
      <c r="C36" s="1" t="n">
        <v>46134</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12396-2026</t>
        </is>
      </c>
      <c r="B37" s="1" t="n">
        <v>46090.38930555555</v>
      </c>
      <c r="C37" s="1" t="n">
        <v>46134</v>
      </c>
      <c r="D37" t="inlineStr">
        <is>
          <t>STOCKHOLMS LÄN</t>
        </is>
      </c>
      <c r="E37" t="inlineStr">
        <is>
          <t>VALLENTUNA</t>
        </is>
      </c>
      <c r="G37" t="n">
        <v>3</v>
      </c>
      <c r="H37" t="n">
        <v>1</v>
      </c>
      <c r="I37" t="n">
        <v>0</v>
      </c>
      <c r="J37" t="n">
        <v>1</v>
      </c>
      <c r="K37" t="n">
        <v>0</v>
      </c>
      <c r="L37" t="n">
        <v>0</v>
      </c>
      <c r="M37" t="n">
        <v>0</v>
      </c>
      <c r="N37" t="n">
        <v>0</v>
      </c>
      <c r="O37" t="n">
        <v>1</v>
      </c>
      <c r="P37" t="n">
        <v>0</v>
      </c>
      <c r="Q37" t="n">
        <v>1</v>
      </c>
      <c r="R37" s="2" t="inlineStr">
        <is>
          <t>Spillkråka</t>
        </is>
      </c>
      <c r="S37">
        <f>HYPERLINK("https://klasma.github.io/Logging_0115/artfynd/A 12396-2026 artfynd.xlsx", "A 12396-2026")</f>
        <v/>
      </c>
      <c r="T37">
        <f>HYPERLINK("https://klasma.github.io/Logging_0115/kartor/A 12396-2026 karta.png", "A 12396-2026")</f>
        <v/>
      </c>
      <c r="V37">
        <f>HYPERLINK("https://klasma.github.io/Logging_0115/klagomål/A 12396-2026 FSC-klagomål.docx", "A 12396-2026")</f>
        <v/>
      </c>
      <c r="W37">
        <f>HYPERLINK("https://klasma.github.io/Logging_0115/klagomålsmail/A 12396-2026 FSC-klagomål mail.docx", "A 12396-2026")</f>
        <v/>
      </c>
      <c r="X37">
        <f>HYPERLINK("https://klasma.github.io/Logging_0115/tillsyn/A 12396-2026 tillsynsbegäran.docx", "A 12396-2026")</f>
        <v/>
      </c>
      <c r="Y37">
        <f>HYPERLINK("https://klasma.github.io/Logging_0115/tillsynsmail/A 12396-2026 tillsynsbegäran mail.docx", "A 12396-2026")</f>
        <v/>
      </c>
      <c r="Z37">
        <f>HYPERLINK("https://klasma.github.io/Logging_0115/fåglar/A 12396-2026 prioriterade fågelarter.docx", "A 12396-2026")</f>
        <v/>
      </c>
    </row>
    <row r="38" ht="15" customHeight="1">
      <c r="A38" t="inlineStr">
        <is>
          <t>A 12401-2026</t>
        </is>
      </c>
      <c r="B38" s="1" t="n">
        <v>46090</v>
      </c>
      <c r="C38" s="1" t="n">
        <v>46134</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17341-2025</t>
        </is>
      </c>
      <c r="B39" s="1" t="n">
        <v>45756</v>
      </c>
      <c r="C39" s="1" t="n">
        <v>46134</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46134</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46134</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46134</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46134</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20612-2021</t>
        </is>
      </c>
      <c r="B44" s="1" t="n">
        <v>44315</v>
      </c>
      <c r="C44" s="1" t="n">
        <v>46134</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46134</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46134</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46134</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46134</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46134</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46134</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46134</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46134</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46134</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46134</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46134</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46134</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46134</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46134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46134</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46134</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46134</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46134</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46134</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46134</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46134</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46134</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414-2026</t>
        </is>
      </c>
      <c r="B67" s="1" t="n">
        <v>46028.76050925926</v>
      </c>
      <c r="C67" s="1" t="n">
        <v>46134</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25984-2025</t>
        </is>
      </c>
      <c r="B68" s="1" t="n">
        <v>45804.64016203704</v>
      </c>
      <c r="C68" s="1" t="n">
        <v>46134</v>
      </c>
      <c r="D68" t="inlineStr">
        <is>
          <t>STOCKHOLMS LÄN</t>
        </is>
      </c>
      <c r="E68" t="inlineStr">
        <is>
          <t>VALLENTUNA</t>
        </is>
      </c>
      <c r="G68" t="n">
        <v>2.5</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46134</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3937-2022</t>
        </is>
      </c>
      <c r="B70" s="1" t="n">
        <v>44587</v>
      </c>
      <c r="C70" s="1" t="n">
        <v>46134</v>
      </c>
      <c r="D70" t="inlineStr">
        <is>
          <t>STOCKHOLMS LÄN</t>
        </is>
      </c>
      <c r="E70" t="inlineStr">
        <is>
          <t>VALLENTUNA</t>
        </is>
      </c>
      <c r="G70" t="n">
        <v>6.6</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46134</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60818-2023</t>
        </is>
      </c>
      <c r="B72" s="1" t="n">
        <v>45259</v>
      </c>
      <c r="C72" s="1" t="n">
        <v>46134</v>
      </c>
      <c r="D72" t="inlineStr">
        <is>
          <t>STOCKHOLMS LÄN</t>
        </is>
      </c>
      <c r="E72" t="inlineStr">
        <is>
          <t>VALLENTUNA</t>
        </is>
      </c>
      <c r="G72" t="n">
        <v>9.4</v>
      </c>
      <c r="H72" t="n">
        <v>0</v>
      </c>
      <c r="I72" t="n">
        <v>0</v>
      </c>
      <c r="J72" t="n">
        <v>0</v>
      </c>
      <c r="K72" t="n">
        <v>0</v>
      </c>
      <c r="L72" t="n">
        <v>0</v>
      </c>
      <c r="M72" t="n">
        <v>0</v>
      </c>
      <c r="N72" t="n">
        <v>0</v>
      </c>
      <c r="O72" t="n">
        <v>0</v>
      </c>
      <c r="P72" t="n">
        <v>0</v>
      </c>
      <c r="Q72" t="n">
        <v>0</v>
      </c>
      <c r="R72" s="2" t="inlineStr"/>
    </row>
    <row r="73" ht="15" customHeight="1">
      <c r="A73" t="inlineStr">
        <is>
          <t>A 7264-2022</t>
        </is>
      </c>
      <c r="B73" s="1" t="n">
        <v>44606</v>
      </c>
      <c r="C73" s="1" t="n">
        <v>46134</v>
      </c>
      <c r="D73" t="inlineStr">
        <is>
          <t>STOCKHOLMS LÄN</t>
        </is>
      </c>
      <c r="E73" t="inlineStr">
        <is>
          <t>VALLENTUNA</t>
        </is>
      </c>
      <c r="G73" t="n">
        <v>2.4</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46134</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46134</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46134</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46134</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46134</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46134</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46134</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46134</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12819-2026</t>
        </is>
      </c>
      <c r="B82" s="1" t="n">
        <v>46092.40896990741</v>
      </c>
      <c r="C82" s="1" t="n">
        <v>46134</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12822-2026</t>
        </is>
      </c>
      <c r="B83" s="1" t="n">
        <v>46092.41358796296</v>
      </c>
      <c r="C83" s="1" t="n">
        <v>46134</v>
      </c>
      <c r="D83" t="inlineStr">
        <is>
          <t>STOCKHOLMS LÄN</t>
        </is>
      </c>
      <c r="E83" t="inlineStr">
        <is>
          <t>VALLENTUNA</t>
        </is>
      </c>
      <c r="G83" t="n">
        <v>2.7</v>
      </c>
      <c r="H83" t="n">
        <v>0</v>
      </c>
      <c r="I83" t="n">
        <v>0</v>
      </c>
      <c r="J83" t="n">
        <v>0</v>
      </c>
      <c r="K83" t="n">
        <v>0</v>
      </c>
      <c r="L83" t="n">
        <v>0</v>
      </c>
      <c r="M83" t="n">
        <v>0</v>
      </c>
      <c r="N83" t="n">
        <v>0</v>
      </c>
      <c r="O83" t="n">
        <v>0</v>
      </c>
      <c r="P83" t="n">
        <v>0</v>
      </c>
      <c r="Q83" t="n">
        <v>0</v>
      </c>
      <c r="R83" s="2" t="inlineStr"/>
    </row>
    <row r="84" ht="15" customHeight="1">
      <c r="A84" t="inlineStr">
        <is>
          <t>A 12828-2026</t>
        </is>
      </c>
      <c r="B84" s="1" t="n">
        <v>46092.41760416667</v>
      </c>
      <c r="C84" s="1" t="n">
        <v>46134</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61442-2024</t>
        </is>
      </c>
      <c r="B85" s="1" t="n">
        <v>45646.47003472222</v>
      </c>
      <c r="C85" s="1" t="n">
        <v>46134</v>
      </c>
      <c r="D85" t="inlineStr">
        <is>
          <t>STOCKHOLMS LÄN</t>
        </is>
      </c>
      <c r="E85" t="inlineStr">
        <is>
          <t>VALLENTUNA</t>
        </is>
      </c>
      <c r="G85" t="n">
        <v>4.6</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46134</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12830-2026</t>
        </is>
      </c>
      <c r="B87" s="1" t="n">
        <v>46092.42290509259</v>
      </c>
      <c r="C87" s="1" t="n">
        <v>46134</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46134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46134</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19503-2023</t>
        </is>
      </c>
      <c r="B90" s="1" t="n">
        <v>45050.47333333334</v>
      </c>
      <c r="C90" s="1" t="n">
        <v>46134</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46134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46134</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6298-2026</t>
        </is>
      </c>
      <c r="B93" s="1" t="n">
        <v>46055.5656712963</v>
      </c>
      <c r="C93" s="1" t="n">
        <v>46134</v>
      </c>
      <c r="D93" t="inlineStr">
        <is>
          <t>STOCKHOLMS LÄN</t>
        </is>
      </c>
      <c r="E93" t="inlineStr">
        <is>
          <t>VALLENTUNA</t>
        </is>
      </c>
      <c r="G93" t="n">
        <v>3.3</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46134</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46134</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46134</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46134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14799-2026</t>
        </is>
      </c>
      <c r="B98" s="1" t="n">
        <v>46102.82101851852</v>
      </c>
      <c r="C98" s="1" t="n">
        <v>46134</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27870-2025</t>
        </is>
      </c>
      <c r="B99" s="1" t="n">
        <v>45817</v>
      </c>
      <c r="C99" s="1" t="n">
        <v>46134</v>
      </c>
      <c r="D99" t="inlineStr">
        <is>
          <t>STOCKHOLMS LÄN</t>
        </is>
      </c>
      <c r="E99" t="inlineStr">
        <is>
          <t>VALLENTUNA</t>
        </is>
      </c>
      <c r="G99" t="n">
        <v>2.3</v>
      </c>
      <c r="H99" t="n">
        <v>0</v>
      </c>
      <c r="I99" t="n">
        <v>0</v>
      </c>
      <c r="J99" t="n">
        <v>0</v>
      </c>
      <c r="K99" t="n">
        <v>0</v>
      </c>
      <c r="L99" t="n">
        <v>0</v>
      </c>
      <c r="M99" t="n">
        <v>0</v>
      </c>
      <c r="N99" t="n">
        <v>0</v>
      </c>
      <c r="O99" t="n">
        <v>0</v>
      </c>
      <c r="P99" t="n">
        <v>0</v>
      </c>
      <c r="Q99" t="n">
        <v>0</v>
      </c>
      <c r="R99" s="2" t="inlineStr"/>
    </row>
    <row r="100" ht="15" customHeight="1">
      <c r="A100" t="inlineStr">
        <is>
          <t>A 26390-2023</t>
        </is>
      </c>
      <c r="B100" s="1" t="n">
        <v>45086</v>
      </c>
      <c r="C100" s="1" t="n">
        <v>46134</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46134</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24707-2023</t>
        </is>
      </c>
      <c r="B102" s="1" t="n">
        <v>45084</v>
      </c>
      <c r="C102" s="1" t="n">
        <v>46134</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46134</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47140-2024</t>
        </is>
      </c>
      <c r="B104" s="1" t="n">
        <v>45586.58753472222</v>
      </c>
      <c r="C104" s="1" t="n">
        <v>46134</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17389-2026</t>
        </is>
      </c>
      <c r="B105" s="1" t="n">
        <v>46119.80603009259</v>
      </c>
      <c r="C105" s="1" t="n">
        <v>46134</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8565-2025</t>
        </is>
      </c>
      <c r="B106" s="1" t="n">
        <v>45709</v>
      </c>
      <c r="C106" s="1" t="n">
        <v>46134</v>
      </c>
      <c r="D106" t="inlineStr">
        <is>
          <t>STOCKHOLMS LÄN</t>
        </is>
      </c>
      <c r="E106" t="inlineStr">
        <is>
          <t>VALLENTUNA</t>
        </is>
      </c>
      <c r="F106" t="inlineStr">
        <is>
          <t>Kommuner</t>
        </is>
      </c>
      <c r="G106" t="n">
        <v>4.2</v>
      </c>
      <c r="H106" t="n">
        <v>0</v>
      </c>
      <c r="I106" t="n">
        <v>0</v>
      </c>
      <c r="J106" t="n">
        <v>0</v>
      </c>
      <c r="K106" t="n">
        <v>0</v>
      </c>
      <c r="L106" t="n">
        <v>0</v>
      </c>
      <c r="M106" t="n">
        <v>0</v>
      </c>
      <c r="N106" t="n">
        <v>0</v>
      </c>
      <c r="O106" t="n">
        <v>0</v>
      </c>
      <c r="P106" t="n">
        <v>0</v>
      </c>
      <c r="Q106" t="n">
        <v>0</v>
      </c>
      <c r="R106" s="2" t="inlineStr"/>
    </row>
    <row r="107" ht="15" customHeight="1">
      <c r="A107" t="inlineStr">
        <is>
          <t>A 17387-2026</t>
        </is>
      </c>
      <c r="B107" s="1" t="n">
        <v>46119.79578703704</v>
      </c>
      <c r="C107" s="1" t="n">
        <v>46134</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17388-2026</t>
        </is>
      </c>
      <c r="B108" s="1" t="n">
        <v>46119.79952546296</v>
      </c>
      <c r="C108" s="1" t="n">
        <v>46134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46134</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4803-2024</t>
        </is>
      </c>
      <c r="B110" s="1" t="n">
        <v>45328</v>
      </c>
      <c r="C110" s="1" t="n">
        <v>46134</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52542-2023</t>
        </is>
      </c>
      <c r="B111" s="1" t="n">
        <v>45225</v>
      </c>
      <c r="C111" s="1" t="n">
        <v>46134</v>
      </c>
      <c r="D111" t="inlineStr">
        <is>
          <t>STOCKHOLMS LÄN</t>
        </is>
      </c>
      <c r="E111" t="inlineStr">
        <is>
          <t>VALLENTUNA</t>
        </is>
      </c>
      <c r="G111" t="n">
        <v>3.8</v>
      </c>
      <c r="H111" t="n">
        <v>0</v>
      </c>
      <c r="I111" t="n">
        <v>0</v>
      </c>
      <c r="J111" t="n">
        <v>0</v>
      </c>
      <c r="K111" t="n">
        <v>0</v>
      </c>
      <c r="L111" t="n">
        <v>0</v>
      </c>
      <c r="M111" t="n">
        <v>0</v>
      </c>
      <c r="N111" t="n">
        <v>0</v>
      </c>
      <c r="O111" t="n">
        <v>0</v>
      </c>
      <c r="P111" t="n">
        <v>0</v>
      </c>
      <c r="Q111" t="n">
        <v>0</v>
      </c>
      <c r="R111" s="2" t="inlineStr"/>
    </row>
    <row r="112" ht="15" customHeight="1">
      <c r="A112" t="inlineStr">
        <is>
          <t>A 12400-2026</t>
        </is>
      </c>
      <c r="B112" s="1" t="n">
        <v>46090.39423611111</v>
      </c>
      <c r="C112" s="1" t="n">
        <v>46134</v>
      </c>
      <c r="D112" t="inlineStr">
        <is>
          <t>STOCKHOLMS LÄN</t>
        </is>
      </c>
      <c r="E112" t="inlineStr">
        <is>
          <t>VALLENTUNA</t>
        </is>
      </c>
      <c r="G112" t="n">
        <v>1.9</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46134</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46134</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46134</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46134</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46134</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46134</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61742-2022</t>
        </is>
      </c>
      <c r="B119" s="1" t="n">
        <v>44917</v>
      </c>
      <c r="C119" s="1" t="n">
        <v>46134</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46134</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46134</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46134</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46134</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12585-2023</t>
        </is>
      </c>
      <c r="B124" s="1" t="n">
        <v>45000.41373842592</v>
      </c>
      <c r="C124" s="1" t="n">
        <v>46134</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8787-2024</t>
        </is>
      </c>
      <c r="B125" s="1" t="n">
        <v>45356</v>
      </c>
      <c r="C125" s="1" t="n">
        <v>46134</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34441-2023</t>
        </is>
      </c>
      <c r="B126" s="1" t="n">
        <v>45139</v>
      </c>
      <c r="C126" s="1" t="n">
        <v>46134</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34445-2023</t>
        </is>
      </c>
      <c r="B127" s="1" t="n">
        <v>45139</v>
      </c>
      <c r="C127" s="1" t="n">
        <v>46134</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23986-2023</t>
        </is>
      </c>
      <c r="B128" s="1" t="n">
        <v>45078</v>
      </c>
      <c r="C128" s="1" t="n">
        <v>46134</v>
      </c>
      <c r="D128" t="inlineStr">
        <is>
          <t>STOCKHOLMS LÄN</t>
        </is>
      </c>
      <c r="E128" t="inlineStr">
        <is>
          <t>VALLENTUNA</t>
        </is>
      </c>
      <c r="F128" t="inlineStr">
        <is>
          <t>Kyrkan</t>
        </is>
      </c>
      <c r="G128" t="n">
        <v>5.7</v>
      </c>
      <c r="H128" t="n">
        <v>0</v>
      </c>
      <c r="I128" t="n">
        <v>0</v>
      </c>
      <c r="J128" t="n">
        <v>0</v>
      </c>
      <c r="K128" t="n">
        <v>0</v>
      </c>
      <c r="L128" t="n">
        <v>0</v>
      </c>
      <c r="M128" t="n">
        <v>0</v>
      </c>
      <c r="N128" t="n">
        <v>0</v>
      </c>
      <c r="O128" t="n">
        <v>0</v>
      </c>
      <c r="P128" t="n">
        <v>0</v>
      </c>
      <c r="Q128" t="n">
        <v>0</v>
      </c>
      <c r="R128" s="2" t="inlineStr"/>
    </row>
    <row r="129" ht="15" customHeight="1">
      <c r="A129" t="inlineStr">
        <is>
          <t>A 15300-2023</t>
        </is>
      </c>
      <c r="B129" s="1" t="n">
        <v>45019</v>
      </c>
      <c r="C129" s="1" t="n">
        <v>46134</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8077-2022</t>
        </is>
      </c>
      <c r="B130" s="1" t="n">
        <v>44609</v>
      </c>
      <c r="C130" s="1" t="n">
        <v>46134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46134</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29704-2023</t>
        </is>
      </c>
      <c r="B132" s="1" t="n">
        <v>45107</v>
      </c>
      <c r="C132" s="1" t="n">
        <v>46134</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21765-2023</t>
        </is>
      </c>
      <c r="B133" s="1" t="n">
        <v>45064</v>
      </c>
      <c r="C133" s="1" t="n">
        <v>46134</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45496-2023</t>
        </is>
      </c>
      <c r="B134" s="1" t="n">
        <v>45194</v>
      </c>
      <c r="C134" s="1" t="n">
        <v>46134</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46134</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14782-2024</t>
        </is>
      </c>
      <c r="B136" s="1" t="n">
        <v>45397.74266203704</v>
      </c>
      <c r="C136" s="1" t="n">
        <v>46134</v>
      </c>
      <c r="D136" t="inlineStr">
        <is>
          <t>STOCKHOLMS LÄN</t>
        </is>
      </c>
      <c r="E136" t="inlineStr">
        <is>
          <t>VALLENTUNA</t>
        </is>
      </c>
      <c r="G136" t="n">
        <v>3.1</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46134</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14775-2024</t>
        </is>
      </c>
      <c r="B138" s="1" t="n">
        <v>45397.73675925926</v>
      </c>
      <c r="C138" s="1" t="n">
        <v>46134</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46134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46134</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46134</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38102-2024</t>
        </is>
      </c>
      <c r="B142" s="1" t="n">
        <v>45545.36349537037</v>
      </c>
      <c r="C142" s="1" t="n">
        <v>46134</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row r="143" ht="15" customHeight="1">
      <c r="A143" t="inlineStr">
        <is>
          <t>A 17340-2025</t>
        </is>
      </c>
      <c r="B143" s="1" t="n">
        <v>45756</v>
      </c>
      <c r="C143" s="1" t="n">
        <v>46134</v>
      </c>
      <c r="D143" t="inlineStr">
        <is>
          <t>STOCKHOLMS LÄN</t>
        </is>
      </c>
      <c r="E143" t="inlineStr">
        <is>
          <t>VALLENTUNA</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46134</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46134</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34452-2021</t>
        </is>
      </c>
      <c r="B146" s="1" t="n">
        <v>44381</v>
      </c>
      <c r="C146" s="1" t="n">
        <v>46134</v>
      </c>
      <c r="D146" t="inlineStr">
        <is>
          <t>STOCKHOLMS LÄN</t>
        </is>
      </c>
      <c r="E146" t="inlineStr">
        <is>
          <t>VALLENTUNA</t>
        </is>
      </c>
      <c r="G146" t="n">
        <v>14.7</v>
      </c>
      <c r="H146" t="n">
        <v>0</v>
      </c>
      <c r="I146" t="n">
        <v>0</v>
      </c>
      <c r="J146" t="n">
        <v>0</v>
      </c>
      <c r="K146" t="n">
        <v>0</v>
      </c>
      <c r="L146" t="n">
        <v>0</v>
      </c>
      <c r="M146" t="n">
        <v>0</v>
      </c>
      <c r="N146" t="n">
        <v>0</v>
      </c>
      <c r="O146" t="n">
        <v>0</v>
      </c>
      <c r="P146" t="n">
        <v>0</v>
      </c>
      <c r="Q146" t="n">
        <v>0</v>
      </c>
      <c r="R146" s="2" t="inlineStr"/>
    </row>
    <row r="147" ht="15" customHeight="1">
      <c r="A147" t="inlineStr">
        <is>
          <t>A 12621-2024</t>
        </is>
      </c>
      <c r="B147" s="1" t="n">
        <v>45383.6325</v>
      </c>
      <c r="C147" s="1" t="n">
        <v>46134</v>
      </c>
      <c r="D147" t="inlineStr">
        <is>
          <t>STOCKHOLMS LÄN</t>
        </is>
      </c>
      <c r="E147" t="inlineStr">
        <is>
          <t>VALLENTUNA</t>
        </is>
      </c>
      <c r="G147" t="n">
        <v>4.4</v>
      </c>
      <c r="H147" t="n">
        <v>0</v>
      </c>
      <c r="I147" t="n">
        <v>0</v>
      </c>
      <c r="J147" t="n">
        <v>0</v>
      </c>
      <c r="K147" t="n">
        <v>0</v>
      </c>
      <c r="L147" t="n">
        <v>0</v>
      </c>
      <c r="M147" t="n">
        <v>0</v>
      </c>
      <c r="N147" t="n">
        <v>0</v>
      </c>
      <c r="O147" t="n">
        <v>0</v>
      </c>
      <c r="P147" t="n">
        <v>0</v>
      </c>
      <c r="Q147" t="n">
        <v>0</v>
      </c>
      <c r="R147" s="2" t="inlineStr"/>
    </row>
    <row r="148" ht="15" customHeight="1">
      <c r="A148" t="inlineStr">
        <is>
          <t>A 46381-2023</t>
        </is>
      </c>
      <c r="B148" s="1" t="n">
        <v>45193</v>
      </c>
      <c r="C148" s="1" t="n">
        <v>46134</v>
      </c>
      <c r="D148" t="inlineStr">
        <is>
          <t>STOCKHOLMS LÄN</t>
        </is>
      </c>
      <c r="E148" t="inlineStr">
        <is>
          <t>VALLENTUNA</t>
        </is>
      </c>
      <c r="G148" t="n">
        <v>2.9</v>
      </c>
      <c r="H148" t="n">
        <v>0</v>
      </c>
      <c r="I148" t="n">
        <v>0</v>
      </c>
      <c r="J148" t="n">
        <v>0</v>
      </c>
      <c r="K148" t="n">
        <v>0</v>
      </c>
      <c r="L148" t="n">
        <v>0</v>
      </c>
      <c r="M148" t="n">
        <v>0</v>
      </c>
      <c r="N148" t="n">
        <v>0</v>
      </c>
      <c r="O148" t="n">
        <v>0</v>
      </c>
      <c r="P148" t="n">
        <v>0</v>
      </c>
      <c r="Q148" t="n">
        <v>0</v>
      </c>
      <c r="R148" s="2" t="inlineStr"/>
    </row>
    <row r="149" ht="15" customHeight="1">
      <c r="A149" t="inlineStr">
        <is>
          <t>A 61027-2023</t>
        </is>
      </c>
      <c r="B149" s="1" t="n">
        <v>45261</v>
      </c>
      <c r="C149" s="1" t="n">
        <v>46134</v>
      </c>
      <c r="D149" t="inlineStr">
        <is>
          <t>STOCKHOLMS LÄN</t>
        </is>
      </c>
      <c r="E149" t="inlineStr">
        <is>
          <t>VALLENTUNA</t>
        </is>
      </c>
      <c r="G149" t="n">
        <v>7.1</v>
      </c>
      <c r="H149" t="n">
        <v>0</v>
      </c>
      <c r="I149" t="n">
        <v>0</v>
      </c>
      <c r="J149" t="n">
        <v>0</v>
      </c>
      <c r="K149" t="n">
        <v>0</v>
      </c>
      <c r="L149" t="n">
        <v>0</v>
      </c>
      <c r="M149" t="n">
        <v>0</v>
      </c>
      <c r="N149" t="n">
        <v>0</v>
      </c>
      <c r="O149" t="n">
        <v>0</v>
      </c>
      <c r="P149" t="n">
        <v>0</v>
      </c>
      <c r="Q149" t="n">
        <v>0</v>
      </c>
      <c r="R149" s="2" t="inlineStr"/>
    </row>
    <row r="150">
      <c r="A150" t="inlineStr">
        <is>
          <t>A 23009-2024</t>
        </is>
      </c>
      <c r="B150" s="1" t="n">
        <v>45450.34506944445</v>
      </c>
      <c r="C150" s="1" t="n">
        <v>46134</v>
      </c>
      <c r="D150" t="inlineStr">
        <is>
          <t>STOCKHOLMS LÄN</t>
        </is>
      </c>
      <c r="E150" t="inlineStr">
        <is>
          <t>VALLENTUNA</t>
        </is>
      </c>
      <c r="G150" t="n">
        <v>1.4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2026-04-22T10:45:50Z</dcterms:created>
  <dcterms:modified xmlns:dcterms="http://purl.org/dc/terms/" xmlns:xsi="http://www.w3.org/2001/XMLSchema-instance" xsi:type="dcterms:W3CDTF">2026-04-22T10:45:50Z</dcterms:modified>
</cp:coreProperties>
</file>