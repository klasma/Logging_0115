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45579</v>
      </c>
      <c r="D2" t="inlineStr">
        <is>
          <t>STOCKHOLMS LÄN</t>
        </is>
      </c>
      <c r="E2" t="inlineStr">
        <is>
          <t>VALLENTUNA</t>
        </is>
      </c>
      <c r="G2" t="n">
        <v>4.6</v>
      </c>
      <c r="H2" t="n">
        <v>9</v>
      </c>
      <c r="I2" t="n">
        <v>11</v>
      </c>
      <c r="J2" t="n">
        <v>14</v>
      </c>
      <c r="K2" t="n">
        <v>3</v>
      </c>
      <c r="L2" t="n">
        <v>0</v>
      </c>
      <c r="M2" t="n">
        <v>0</v>
      </c>
      <c r="N2" t="n">
        <v>0</v>
      </c>
      <c r="O2" t="n">
        <v>17</v>
      </c>
      <c r="P2" t="n">
        <v>3</v>
      </c>
      <c r="Q2" t="n">
        <v>33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45579</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45579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45579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50718-2023</t>
        </is>
      </c>
      <c r="B6" s="1" t="n">
        <v>45217</v>
      </c>
      <c r="C6" s="1" t="n">
        <v>45579</v>
      </c>
      <c r="D6" t="inlineStr">
        <is>
          <t>STOCKHOLMS LÄN</t>
        </is>
      </c>
      <c r="E6" t="inlineStr">
        <is>
          <t>VALLENTUNA</t>
        </is>
      </c>
      <c r="G6" t="n">
        <v>3.6</v>
      </c>
      <c r="H6" t="n">
        <v>4</v>
      </c>
      <c r="I6" t="n">
        <v>9</v>
      </c>
      <c r="J6" t="n">
        <v>6</v>
      </c>
      <c r="K6" t="n">
        <v>0</v>
      </c>
      <c r="L6" t="n">
        <v>0</v>
      </c>
      <c r="M6" t="n">
        <v>0</v>
      </c>
      <c r="N6" t="n">
        <v>0</v>
      </c>
      <c r="O6" t="n">
        <v>6</v>
      </c>
      <c r="P6" t="n">
        <v>0</v>
      </c>
      <c r="Q6" t="n">
        <v>17</v>
      </c>
      <c r="R6" s="2" t="inlineStr">
        <is>
          <t>Granticka
Rosenticka
Spillkråka
Tallticka
Ullticka
Vedtrappmossa
Brandticka
Bronshjon
Grovticka
Grön sköldmossa
Grönpyrola
Gulnål
Rödgul trumpetsvamp
Trådticka
Vedticka
Blåsippa
Revlummer</t>
        </is>
      </c>
      <c r="S6">
        <f>HYPERLINK("https://klasma.github.io/Logging_0115/artfynd/A 50718-2023 artfynd.xlsx", "A 50718-2023")</f>
        <v/>
      </c>
      <c r="T6">
        <f>HYPERLINK("https://klasma.github.io/Logging_0115/kartor/A 50718-2023 karta.png", "A 50718-2023")</f>
        <v/>
      </c>
      <c r="V6">
        <f>HYPERLINK("https://klasma.github.io/Logging_0115/klagomål/A 50718-2023 FSC-klagomål.docx", "A 50718-2023")</f>
        <v/>
      </c>
      <c r="W6">
        <f>HYPERLINK("https://klasma.github.io/Logging_0115/klagomålsmail/A 50718-2023 FSC-klagomål mail.docx", "A 50718-2023")</f>
        <v/>
      </c>
      <c r="X6">
        <f>HYPERLINK("https://klasma.github.io/Logging_0115/tillsyn/A 50718-2023 tillsynsbegäran.docx", "A 50718-2023")</f>
        <v/>
      </c>
      <c r="Y6">
        <f>HYPERLINK("https://klasma.github.io/Logging_0115/tillsynsmail/A 50718-2023 tillsynsbegäran mail.docx", "A 50718-2023")</f>
        <v/>
      </c>
      <c r="Z6">
        <f>HYPERLINK("https://klasma.github.io/Logging_0115/fåglar/A 50718-2023 prioriterade fågelarter.docx", "A 50718-2023")</f>
        <v/>
      </c>
    </row>
    <row r="7" ht="15" customHeight="1">
      <c r="A7" t="inlineStr">
        <is>
          <t>A 55761-2023</t>
        </is>
      </c>
      <c r="B7" s="1" t="n">
        <v>45239</v>
      </c>
      <c r="C7" s="1" t="n">
        <v>45579</v>
      </c>
      <c r="D7" t="inlineStr">
        <is>
          <t>STOCKHOLMS LÄN</t>
        </is>
      </c>
      <c r="E7" t="inlineStr">
        <is>
          <t>VALLENTUNA</t>
        </is>
      </c>
      <c r="G7" t="n">
        <v>11.7</v>
      </c>
      <c r="H7" t="n">
        <v>4</v>
      </c>
      <c r="I7" t="n">
        <v>5</v>
      </c>
      <c r="J7" t="n">
        <v>10</v>
      </c>
      <c r="K7" t="n">
        <v>0</v>
      </c>
      <c r="L7" t="n">
        <v>0</v>
      </c>
      <c r="M7" t="n">
        <v>0</v>
      </c>
      <c r="N7" t="n">
        <v>0</v>
      </c>
      <c r="O7" t="n">
        <v>10</v>
      </c>
      <c r="P7" t="n">
        <v>0</v>
      </c>
      <c r="Q7" t="n">
        <v>17</v>
      </c>
      <c r="R7" s="2" t="inlineStr">
        <is>
          <t>Dvärgbägarlav
Garnlav
Motaggsvamp
Orange taggsvamp
Spillkråka
Svartvit taggsvamp
Tallticka
Talltita
Vedskivlav
Vintertagging
Björksplintborre
Blodticka
Blåmossa
Bronshjon
Granbarkgnagare
Kungsfågel
Tjäder</t>
        </is>
      </c>
      <c r="S7">
        <f>HYPERLINK("https://klasma.github.io/Logging_0115/artfynd/A 55761-2023 artfynd.xlsx", "A 55761-2023")</f>
        <v/>
      </c>
      <c r="T7">
        <f>HYPERLINK("https://klasma.github.io/Logging_0115/kartor/A 55761-2023 karta.png", "A 55761-2023")</f>
        <v/>
      </c>
      <c r="U7">
        <f>HYPERLINK("https://klasma.github.io/Logging_0115/knärot/A 55761-2023 karta knärot.png", "A 55761-2023")</f>
        <v/>
      </c>
      <c r="V7">
        <f>HYPERLINK("https://klasma.github.io/Logging_0115/klagomål/A 55761-2023 FSC-klagomål.docx", "A 55761-2023")</f>
        <v/>
      </c>
      <c r="W7">
        <f>HYPERLINK("https://klasma.github.io/Logging_0115/klagomålsmail/A 55761-2023 FSC-klagomål mail.docx", "A 55761-2023")</f>
        <v/>
      </c>
      <c r="X7">
        <f>HYPERLINK("https://klasma.github.io/Logging_0115/tillsyn/A 55761-2023 tillsynsbegäran.docx", "A 55761-2023")</f>
        <v/>
      </c>
      <c r="Y7">
        <f>HYPERLINK("https://klasma.github.io/Logging_0115/tillsynsmail/A 55761-2023 tillsynsbegäran mail.docx", "A 55761-2023")</f>
        <v/>
      </c>
      <c r="Z7">
        <f>HYPERLINK("https://klasma.github.io/Logging_0115/fåglar/A 55761-2023 prioriterade fågelarter.docx", "A 55761-2023")</f>
        <v/>
      </c>
    </row>
    <row r="8" ht="15" customHeight="1">
      <c r="A8" t="inlineStr">
        <is>
          <t>A 10326-2024</t>
        </is>
      </c>
      <c r="B8" s="1" t="n">
        <v>45365</v>
      </c>
      <c r="C8" s="1" t="n">
        <v>45579</v>
      </c>
      <c r="D8" t="inlineStr">
        <is>
          <t>STOCKHOLMS LÄN</t>
        </is>
      </c>
      <c r="E8" t="inlineStr">
        <is>
          <t>VALLENTUNA</t>
        </is>
      </c>
      <c r="G8" t="n">
        <v>9.5</v>
      </c>
      <c r="H8" t="n">
        <v>5</v>
      </c>
      <c r="I8" t="n">
        <v>6</v>
      </c>
      <c r="J8" t="n">
        <v>6</v>
      </c>
      <c r="K8" t="n">
        <v>2</v>
      </c>
      <c r="L8" t="n">
        <v>0</v>
      </c>
      <c r="M8" t="n">
        <v>0</v>
      </c>
      <c r="N8" t="n">
        <v>0</v>
      </c>
      <c r="O8" t="n">
        <v>8</v>
      </c>
      <c r="P8" t="n">
        <v>2</v>
      </c>
      <c r="Q8" t="n">
        <v>17</v>
      </c>
      <c r="R8" s="2" t="inlineStr">
        <is>
          <t>Knärot
Rynkskinn
Brunpudrad nållav
Rosenticka
Spillkråka
Tallticka
Ullticka
Vedtrappmossa
Bronshjon
Grönpyrola
Kattfotslav
Rävticka
Rödgul trumpetsvamp
Vedticka
Kungsfågel
Blåsippa
Revlummer</t>
        </is>
      </c>
      <c r="S8">
        <f>HYPERLINK("https://klasma.github.io/Logging_0115/artfynd/A 10326-2024 artfynd.xlsx", "A 10326-2024")</f>
        <v/>
      </c>
      <c r="T8">
        <f>HYPERLINK("https://klasma.github.io/Logging_0115/kartor/A 10326-2024 karta.png", "A 10326-2024")</f>
        <v/>
      </c>
      <c r="U8">
        <f>HYPERLINK("https://klasma.github.io/Logging_0115/knärot/A 10326-2024 karta knärot.png", "A 10326-2024")</f>
        <v/>
      </c>
      <c r="V8">
        <f>HYPERLINK("https://klasma.github.io/Logging_0115/klagomål/A 10326-2024 FSC-klagomål.docx", "A 10326-2024")</f>
        <v/>
      </c>
      <c r="W8">
        <f>HYPERLINK("https://klasma.github.io/Logging_0115/klagomålsmail/A 10326-2024 FSC-klagomål mail.docx", "A 10326-2024")</f>
        <v/>
      </c>
      <c r="X8">
        <f>HYPERLINK("https://klasma.github.io/Logging_0115/tillsyn/A 10326-2024 tillsynsbegäran.docx", "A 10326-2024")</f>
        <v/>
      </c>
      <c r="Y8">
        <f>HYPERLINK("https://klasma.github.io/Logging_0115/tillsynsmail/A 10326-2024 tillsynsbegäran mail.docx", "A 10326-2024")</f>
        <v/>
      </c>
      <c r="Z8">
        <f>HYPERLINK("https://klasma.github.io/Logging_0115/fåglar/A 10326-2024 prioriterade fågelarter.docx", "A 10326-2024")</f>
        <v/>
      </c>
    </row>
    <row r="9" ht="15" customHeight="1">
      <c r="A9" t="inlineStr">
        <is>
          <t>A 42922-2023</t>
        </is>
      </c>
      <c r="B9" s="1" t="n">
        <v>45182</v>
      </c>
      <c r="C9" s="1" t="n">
        <v>45579</v>
      </c>
      <c r="D9" t="inlineStr">
        <is>
          <t>STOCKHOLMS LÄN</t>
        </is>
      </c>
      <c r="E9" t="inlineStr">
        <is>
          <t>VALLENTUNA</t>
        </is>
      </c>
      <c r="G9" t="n">
        <v>4.2</v>
      </c>
      <c r="H9" t="n">
        <v>3</v>
      </c>
      <c r="I9" t="n">
        <v>7</v>
      </c>
      <c r="J9" t="n">
        <v>4</v>
      </c>
      <c r="K9" t="n">
        <v>0</v>
      </c>
      <c r="L9" t="n">
        <v>0</v>
      </c>
      <c r="M9" t="n">
        <v>0</v>
      </c>
      <c r="N9" t="n">
        <v>0</v>
      </c>
      <c r="O9" t="n">
        <v>4</v>
      </c>
      <c r="P9" t="n">
        <v>0</v>
      </c>
      <c r="Q9" t="n">
        <v>13</v>
      </c>
      <c r="R9" s="2" t="inlineStr">
        <is>
          <t>Granticka
Motaggsvamp
Orange taggsvamp
Spillkråka
Fjällig taggsvamp s.str.
Granbarkgnagare
Grönpyrola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45579</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45579</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45579</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45579</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45579</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45579</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45579</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45579</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45579</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45579</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45579</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45579</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45579</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45579</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45579</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45579</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45579</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45579</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45579</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45579</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45579</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45579</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45579</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45579</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45579</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45579</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45579</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45579</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45579</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45579</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45579</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45579</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45579</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45579</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45579</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45579</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45579</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45579</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45579</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45579</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45579</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45579</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45579</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45579</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45579</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45579</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45579</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45579</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45579</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45579</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45579</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45579</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45579</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45579</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45579</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45579</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45579</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45579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45579</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45579</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45579</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45579</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45579</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45579</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45579</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45579</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45579</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45579</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45579</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45579</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45579</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45579</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45579</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45579</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45579</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45579</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45579</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45579</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45579</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45579</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45579</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45579</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45579</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45579</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45579</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45579</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45579</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45579</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45579</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45579</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45579</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45579</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45579</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45579</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45579</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45579</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45579</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45579</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45579</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45579</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45579</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45579</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45579</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45579</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45579</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45579</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45579</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45579</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45579</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45579</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45579</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45579</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45579</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45579</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45579</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45579</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45579</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45579</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45579</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45579</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45579</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45579</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45579</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45579</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45579</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45579</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45579</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45579</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45579</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45579</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45579</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45579</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45579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45579</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45579</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45579</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45579</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45579</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45579</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45579</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45579</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45579</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45579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45579</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45579</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45579</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45579</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45579</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45579</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45579</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45579</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45579</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45579</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45579</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45579</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45579</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45579</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45579</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45579</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45579</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45579</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45579</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45579</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45579</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45579</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45579</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45579</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45579</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45579</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45579</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45579</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45579</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45579</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45579</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45579</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45579</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45579</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45579</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45579</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45579</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45579</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45579</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45579</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45579</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45579</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45579</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45579</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45579</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45579</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45579</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45579</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45579</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45579</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45579</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45579</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45579</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45579</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45579</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45579</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45579</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45579</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45579</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45579</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45579</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45579</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45579</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45579</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45579</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45579</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45579</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45579</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45579</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45579</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45579</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45579</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45579</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45579</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45579</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45579</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45579</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45579</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45579</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45579</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45579</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45579</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45579</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45579</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45579</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45579</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45579</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45579</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45579</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45579</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45579</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45579</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45579</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45579</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45579</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45579</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45579</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45579</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45579</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45579</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45579</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45579</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45221-2024</t>
        </is>
      </c>
      <c r="B255" s="1" t="n">
        <v>45575</v>
      </c>
      <c r="C255" s="1" t="n">
        <v>45579</v>
      </c>
      <c r="D255" t="inlineStr">
        <is>
          <t>STOCKHOLMS LÄN</t>
        </is>
      </c>
      <c r="E255" t="inlineStr">
        <is>
          <t>VALLENTUNA</t>
        </is>
      </c>
      <c r="G255" t="n">
        <v>4.9</v>
      </c>
      <c r="H255" t="n">
        <v>0</v>
      </c>
      <c r="I255" t="n">
        <v>0</v>
      </c>
      <c r="J255" t="n">
        <v>0</v>
      </c>
      <c r="K255" t="n">
        <v>0</v>
      </c>
      <c r="L255" t="n">
        <v>0</v>
      </c>
      <c r="M255" t="n">
        <v>0</v>
      </c>
      <c r="N255" t="n">
        <v>0</v>
      </c>
      <c r="O255" t="n">
        <v>0</v>
      </c>
      <c r="P255" t="n">
        <v>0</v>
      </c>
      <c r="Q255" t="n">
        <v>0</v>
      </c>
      <c r="R255" s="2" t="inlineStr"/>
    </row>
    <row r="256" ht="15" customHeight="1">
      <c r="A256" t="inlineStr">
        <is>
          <t>A 45222-2024</t>
        </is>
      </c>
      <c r="B256" s="1" t="n">
        <v>45575</v>
      </c>
      <c r="C256" s="1" t="n">
        <v>45579</v>
      </c>
      <c r="D256" t="inlineStr">
        <is>
          <t>STOCKHOLMS LÄN</t>
        </is>
      </c>
      <c r="E256" t="inlineStr">
        <is>
          <t>VALLENTUNA</t>
        </is>
      </c>
      <c r="G256" t="n">
        <v>3.8</v>
      </c>
      <c r="H256" t="n">
        <v>0</v>
      </c>
      <c r="I256" t="n">
        <v>0</v>
      </c>
      <c r="J256" t="n">
        <v>0</v>
      </c>
      <c r="K256" t="n">
        <v>0</v>
      </c>
      <c r="L256" t="n">
        <v>0</v>
      </c>
      <c r="M256" t="n">
        <v>0</v>
      </c>
      <c r="N256" t="n">
        <v>0</v>
      </c>
      <c r="O256" t="n">
        <v>0</v>
      </c>
      <c r="P256" t="n">
        <v>0</v>
      </c>
      <c r="Q256" t="n">
        <v>0</v>
      </c>
      <c r="R256" s="2" t="inlineStr"/>
    </row>
    <row r="257" ht="15" customHeight="1">
      <c r="A257" t="inlineStr">
        <is>
          <t>A 45219-2024</t>
        </is>
      </c>
      <c r="B257" s="1" t="n">
        <v>45575</v>
      </c>
      <c r="C257" s="1" t="n">
        <v>45579</v>
      </c>
      <c r="D257" t="inlineStr">
        <is>
          <t>STOCKHOLMS LÄN</t>
        </is>
      </c>
      <c r="E257" t="inlineStr">
        <is>
          <t>VALLENTUNA</t>
        </is>
      </c>
      <c r="G257" t="n">
        <v>2.7</v>
      </c>
      <c r="H257" t="n">
        <v>0</v>
      </c>
      <c r="I257" t="n">
        <v>0</v>
      </c>
      <c r="J257" t="n">
        <v>0</v>
      </c>
      <c r="K257" t="n">
        <v>0</v>
      </c>
      <c r="L257" t="n">
        <v>0</v>
      </c>
      <c r="M257" t="n">
        <v>0</v>
      </c>
      <c r="N257" t="n">
        <v>0</v>
      </c>
      <c r="O257" t="n">
        <v>0</v>
      </c>
      <c r="P257" t="n">
        <v>0</v>
      </c>
      <c r="Q257" t="n">
        <v>0</v>
      </c>
      <c r="R257" s="2" t="inlineStr"/>
    </row>
    <row r="258">
      <c r="A258" t="inlineStr">
        <is>
          <t>A 45223-2024</t>
        </is>
      </c>
      <c r="B258" s="1" t="n">
        <v>45575</v>
      </c>
      <c r="C258" s="1" t="n">
        <v>45579</v>
      </c>
      <c r="D258" t="inlineStr">
        <is>
          <t>STOCKHOLMS LÄN</t>
        </is>
      </c>
      <c r="E258" t="inlineStr">
        <is>
          <t>VALLENTUNA</t>
        </is>
      </c>
      <c r="G258" t="n">
        <v>6.8</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2024-10-14T12:05:36Z</dcterms:created>
  <dcterms:modified xmlns:dcterms="http://purl.org/dc/terms/" xmlns:xsi="http://www.w3.org/2001/XMLSchema-instance" xsi:type="dcterms:W3CDTF">2024-10-14T12:05:37Z</dcterms:modified>
</cp:coreProperties>
</file>