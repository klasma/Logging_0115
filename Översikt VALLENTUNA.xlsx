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46158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46158</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46158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46158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46158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46158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46158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46158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46158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46158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46158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46158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46158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46158</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46158</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46158</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46158</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46158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46158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46158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46158</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754-2024</t>
        </is>
      </c>
      <c r="B23" s="1" t="n">
        <v>45300</v>
      </c>
      <c r="C23" s="1" t="n">
        <v>46158</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46158</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46158</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46158</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46158</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17348-2025</t>
        </is>
      </c>
      <c r="B28" s="1" t="n">
        <v>45756</v>
      </c>
      <c r="C28" s="1" t="n">
        <v>46158</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14508-2024</t>
        </is>
      </c>
      <c r="B29" s="1" t="n">
        <v>45394.61583333334</v>
      </c>
      <c r="C29" s="1" t="n">
        <v>46158</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63539-2025</t>
        </is>
      </c>
      <c r="B30" s="1" t="n">
        <v>46013.58824074074</v>
      </c>
      <c r="C30" s="1" t="n">
        <v>46158</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22830-2024</t>
        </is>
      </c>
      <c r="B31" s="1" t="n">
        <v>45448.56583333333</v>
      </c>
      <c r="C31" s="1" t="n">
        <v>46158</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46158</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46158</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63543-2025</t>
        </is>
      </c>
      <c r="B34" s="1" t="n">
        <v>46013.59207175926</v>
      </c>
      <c r="C34" s="1" t="n">
        <v>46158</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12396-2026</t>
        </is>
      </c>
      <c r="B35" s="1" t="n">
        <v>46090.38930555555</v>
      </c>
      <c r="C35" s="1" t="n">
        <v>46158</v>
      </c>
      <c r="D35" t="inlineStr">
        <is>
          <t>STOCKHOLMS LÄN</t>
        </is>
      </c>
      <c r="E35" t="inlineStr">
        <is>
          <t>VALLENTUNA</t>
        </is>
      </c>
      <c r="G35" t="n">
        <v>3</v>
      </c>
      <c r="H35" t="n">
        <v>1</v>
      </c>
      <c r="I35" t="n">
        <v>0</v>
      </c>
      <c r="J35" t="n">
        <v>1</v>
      </c>
      <c r="K35" t="n">
        <v>0</v>
      </c>
      <c r="L35" t="n">
        <v>0</v>
      </c>
      <c r="M35" t="n">
        <v>0</v>
      </c>
      <c r="N35" t="n">
        <v>0</v>
      </c>
      <c r="O35" t="n">
        <v>1</v>
      </c>
      <c r="P35" t="n">
        <v>0</v>
      </c>
      <c r="Q35" t="n">
        <v>1</v>
      </c>
      <c r="R35" s="2" t="inlineStr">
        <is>
          <t>Spillkråka</t>
        </is>
      </c>
      <c r="S35">
        <f>HYPERLINK("https://klasma.github.io/Logging_0115/artfynd/A 12396-2026 artfynd.xlsx", "A 12396-2026")</f>
        <v/>
      </c>
      <c r="T35">
        <f>HYPERLINK("https://klasma.github.io/Logging_0115/kartor/A 12396-2026 karta.png", "A 12396-2026")</f>
        <v/>
      </c>
      <c r="V35">
        <f>HYPERLINK("https://klasma.github.io/Logging_0115/klagomål/A 12396-2026 FSC-klagomål.docx", "A 12396-2026")</f>
        <v/>
      </c>
      <c r="W35">
        <f>HYPERLINK("https://klasma.github.io/Logging_0115/klagomålsmail/A 12396-2026 FSC-klagomål mail.docx", "A 12396-2026")</f>
        <v/>
      </c>
      <c r="X35">
        <f>HYPERLINK("https://klasma.github.io/Logging_0115/tillsyn/A 12396-2026 tillsynsbegäran.docx", "A 12396-2026")</f>
        <v/>
      </c>
      <c r="Y35">
        <f>HYPERLINK("https://klasma.github.io/Logging_0115/tillsynsmail/A 12396-2026 tillsynsbegäran mail.docx", "A 12396-2026")</f>
        <v/>
      </c>
      <c r="Z35">
        <f>HYPERLINK("https://klasma.github.io/Logging_0115/fåglar/A 12396-2026 prioriterade fågelarter.docx", "A 12396-2026")</f>
        <v/>
      </c>
    </row>
    <row r="36" ht="15" customHeight="1">
      <c r="A36" t="inlineStr">
        <is>
          <t>A 12401-2026</t>
        </is>
      </c>
      <c r="B36" s="1" t="n">
        <v>46090</v>
      </c>
      <c r="C36" s="1" t="n">
        <v>46158</v>
      </c>
      <c r="D36" t="inlineStr">
        <is>
          <t>STOCKHOLMS LÄN</t>
        </is>
      </c>
      <c r="E36" t="inlineStr">
        <is>
          <t>VALLENTUNA</t>
        </is>
      </c>
      <c r="G36" t="n">
        <v>5.9</v>
      </c>
      <c r="H36" t="n">
        <v>1</v>
      </c>
      <c r="I36" t="n">
        <v>0</v>
      </c>
      <c r="J36" t="n">
        <v>1</v>
      </c>
      <c r="K36" t="n">
        <v>0</v>
      </c>
      <c r="L36" t="n">
        <v>0</v>
      </c>
      <c r="M36" t="n">
        <v>0</v>
      </c>
      <c r="N36" t="n">
        <v>0</v>
      </c>
      <c r="O36" t="n">
        <v>1</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21-2022</t>
        </is>
      </c>
      <c r="B37" s="1" t="n">
        <v>44560</v>
      </c>
      <c r="C37" s="1" t="n">
        <v>46158</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46158</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46158</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46158</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46158</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46158</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46158</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46158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46158</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46158</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46158</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46158</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46158</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46158</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46158</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46158</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46158</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46158</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46158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24994-2021</t>
        </is>
      </c>
      <c r="B56" s="1" t="n">
        <v>44341</v>
      </c>
      <c r="C56" s="1" t="n">
        <v>46158</v>
      </c>
      <c r="D56" t="inlineStr">
        <is>
          <t>STOCKHOLMS LÄN</t>
        </is>
      </c>
      <c r="E56" t="inlineStr">
        <is>
          <t>VALLENTUNA</t>
        </is>
      </c>
      <c r="G56" t="n">
        <v>2.6</v>
      </c>
      <c r="H56" t="n">
        <v>0</v>
      </c>
      <c r="I56" t="n">
        <v>0</v>
      </c>
      <c r="J56" t="n">
        <v>0</v>
      </c>
      <c r="K56" t="n">
        <v>0</v>
      </c>
      <c r="L56" t="n">
        <v>0</v>
      </c>
      <c r="M56" t="n">
        <v>0</v>
      </c>
      <c r="N56" t="n">
        <v>0</v>
      </c>
      <c r="O56" t="n">
        <v>0</v>
      </c>
      <c r="P56" t="n">
        <v>0</v>
      </c>
      <c r="Q56" t="n">
        <v>0</v>
      </c>
      <c r="R56" s="2" t="inlineStr"/>
    </row>
    <row r="57" ht="15" customHeight="1">
      <c r="A57" t="inlineStr">
        <is>
          <t>A 49530-2023</t>
        </is>
      </c>
      <c r="B57" s="1" t="n">
        <v>45205</v>
      </c>
      <c r="C57" s="1" t="n">
        <v>46158</v>
      </c>
      <c r="D57" t="inlineStr">
        <is>
          <t>STOCKHOLMS LÄN</t>
        </is>
      </c>
      <c r="E57" t="inlineStr">
        <is>
          <t>VALLENTUNA</t>
        </is>
      </c>
      <c r="G57" t="n">
        <v>1.2</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46158</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3078-2023</t>
        </is>
      </c>
      <c r="B59" s="1" t="n">
        <v>44946.41527777778</v>
      </c>
      <c r="C59" s="1" t="n">
        <v>46158</v>
      </c>
      <c r="D59" t="inlineStr">
        <is>
          <t>STOCKHOLMS LÄN</t>
        </is>
      </c>
      <c r="E59" t="inlineStr">
        <is>
          <t>VALLENTUNA</t>
        </is>
      </c>
      <c r="G59" t="n">
        <v>3.9</v>
      </c>
      <c r="H59" t="n">
        <v>0</v>
      </c>
      <c r="I59" t="n">
        <v>0</v>
      </c>
      <c r="J59" t="n">
        <v>0</v>
      </c>
      <c r="K59" t="n">
        <v>0</v>
      </c>
      <c r="L59" t="n">
        <v>0</v>
      </c>
      <c r="M59" t="n">
        <v>0</v>
      </c>
      <c r="N59" t="n">
        <v>0</v>
      </c>
      <c r="O59" t="n">
        <v>0</v>
      </c>
      <c r="P59" t="n">
        <v>0</v>
      </c>
      <c r="Q59" t="n">
        <v>0</v>
      </c>
      <c r="R59" s="2" t="inlineStr"/>
    </row>
    <row r="60" ht="15" customHeight="1">
      <c r="A60" t="inlineStr">
        <is>
          <t>A 60795-2023</t>
        </is>
      </c>
      <c r="B60" s="1" t="n">
        <v>45260</v>
      </c>
      <c r="C60" s="1" t="n">
        <v>46158</v>
      </c>
      <c r="D60" t="inlineStr">
        <is>
          <t>STOCKHOLMS LÄN</t>
        </is>
      </c>
      <c r="E60" t="inlineStr">
        <is>
          <t>VALLENTUNA</t>
        </is>
      </c>
      <c r="G60" t="n">
        <v>2.2</v>
      </c>
      <c r="H60" t="n">
        <v>0</v>
      </c>
      <c r="I60" t="n">
        <v>0</v>
      </c>
      <c r="J60" t="n">
        <v>0</v>
      </c>
      <c r="K60" t="n">
        <v>0</v>
      </c>
      <c r="L60" t="n">
        <v>0</v>
      </c>
      <c r="M60" t="n">
        <v>0</v>
      </c>
      <c r="N60" t="n">
        <v>0</v>
      </c>
      <c r="O60" t="n">
        <v>0</v>
      </c>
      <c r="P60" t="n">
        <v>0</v>
      </c>
      <c r="Q60" t="n">
        <v>0</v>
      </c>
      <c r="R60" s="2" t="inlineStr"/>
    </row>
    <row r="61" ht="15" customHeight="1">
      <c r="A61" t="inlineStr">
        <is>
          <t>A 14480-2024</t>
        </is>
      </c>
      <c r="B61" s="1" t="n">
        <v>45394.56777777777</v>
      </c>
      <c r="C61" s="1" t="n">
        <v>46158</v>
      </c>
      <c r="D61" t="inlineStr">
        <is>
          <t>STOCKHOLMS LÄN</t>
        </is>
      </c>
      <c r="E61" t="inlineStr">
        <is>
          <t>VALLENTUNA</t>
        </is>
      </c>
      <c r="G61" t="n">
        <v>1.8</v>
      </c>
      <c r="H61" t="n">
        <v>0</v>
      </c>
      <c r="I61" t="n">
        <v>0</v>
      </c>
      <c r="J61" t="n">
        <v>0</v>
      </c>
      <c r="K61" t="n">
        <v>0</v>
      </c>
      <c r="L61" t="n">
        <v>0</v>
      </c>
      <c r="M61" t="n">
        <v>0</v>
      </c>
      <c r="N61" t="n">
        <v>0</v>
      </c>
      <c r="O61" t="n">
        <v>0</v>
      </c>
      <c r="P61" t="n">
        <v>0</v>
      </c>
      <c r="Q61" t="n">
        <v>0</v>
      </c>
      <c r="R61" s="2" t="inlineStr"/>
    </row>
    <row r="62" ht="15" customHeight="1">
      <c r="A62" t="inlineStr">
        <is>
          <t>A 23923-2025</t>
        </is>
      </c>
      <c r="B62" s="1" t="n">
        <v>45795.39648148148</v>
      </c>
      <c r="C62" s="1" t="n">
        <v>46158</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46158</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46158</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414-2026</t>
        </is>
      </c>
      <c r="B65" s="1" t="n">
        <v>46028.76050925926</v>
      </c>
      <c r="C65" s="1" t="n">
        <v>46158</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46158</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48068-2021</t>
        </is>
      </c>
      <c r="B67" s="1" t="n">
        <v>44449.42270833333</v>
      </c>
      <c r="C67" s="1" t="n">
        <v>46158</v>
      </c>
      <c r="D67" t="inlineStr">
        <is>
          <t>STOCKHOLMS LÄN</t>
        </is>
      </c>
      <c r="E67" t="inlineStr">
        <is>
          <t>VALLENTUNA</t>
        </is>
      </c>
      <c r="G67" t="n">
        <v>1.3</v>
      </c>
      <c r="H67" t="n">
        <v>0</v>
      </c>
      <c r="I67" t="n">
        <v>0</v>
      </c>
      <c r="J67" t="n">
        <v>0</v>
      </c>
      <c r="K67" t="n">
        <v>0</v>
      </c>
      <c r="L67" t="n">
        <v>0</v>
      </c>
      <c r="M67" t="n">
        <v>0</v>
      </c>
      <c r="N67" t="n">
        <v>0</v>
      </c>
      <c r="O67" t="n">
        <v>0</v>
      </c>
      <c r="P67" t="n">
        <v>0</v>
      </c>
      <c r="Q67" t="n">
        <v>0</v>
      </c>
      <c r="R67" s="2" t="inlineStr"/>
    </row>
    <row r="68" ht="15" customHeight="1">
      <c r="A68" t="inlineStr">
        <is>
          <t>A 3937-2022</t>
        </is>
      </c>
      <c r="B68" s="1" t="n">
        <v>44587</v>
      </c>
      <c r="C68" s="1" t="n">
        <v>46158</v>
      </c>
      <c r="D68" t="inlineStr">
        <is>
          <t>STOCKHOLMS LÄN</t>
        </is>
      </c>
      <c r="E68" t="inlineStr">
        <is>
          <t>VALLENTUNA</t>
        </is>
      </c>
      <c r="G68" t="n">
        <v>6.6</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46158</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7264-2022</t>
        </is>
      </c>
      <c r="B70" s="1" t="n">
        <v>44606</v>
      </c>
      <c r="C70" s="1" t="n">
        <v>46158</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46158</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44988-2025</t>
        </is>
      </c>
      <c r="B72" s="1" t="n">
        <v>45918.65505787037</v>
      </c>
      <c r="C72" s="1" t="n">
        <v>46158</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46158</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46158</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46158</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46158</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46158</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24068-2024</t>
        </is>
      </c>
      <c r="B78" s="1" t="n">
        <v>45456</v>
      </c>
      <c r="C78" s="1" t="n">
        <v>46158</v>
      </c>
      <c r="D78" t="inlineStr">
        <is>
          <t>STOCKHOLMS LÄN</t>
        </is>
      </c>
      <c r="E78" t="inlineStr">
        <is>
          <t>VALLENTUNA</t>
        </is>
      </c>
      <c r="G78" t="n">
        <v>7.4</v>
      </c>
      <c r="H78" t="n">
        <v>0</v>
      </c>
      <c r="I78" t="n">
        <v>0</v>
      </c>
      <c r="J78" t="n">
        <v>0</v>
      </c>
      <c r="K78" t="n">
        <v>0</v>
      </c>
      <c r="L78" t="n">
        <v>0</v>
      </c>
      <c r="M78" t="n">
        <v>0</v>
      </c>
      <c r="N78" t="n">
        <v>0</v>
      </c>
      <c r="O78" t="n">
        <v>0</v>
      </c>
      <c r="P78" t="n">
        <v>0</v>
      </c>
      <c r="Q78" t="n">
        <v>0</v>
      </c>
      <c r="R78" s="2" t="inlineStr"/>
    </row>
    <row r="79" ht="15" customHeight="1">
      <c r="A79" t="inlineStr">
        <is>
          <t>A 6298-2026</t>
        </is>
      </c>
      <c r="B79" s="1" t="n">
        <v>46055.5656712963</v>
      </c>
      <c r="C79" s="1" t="n">
        <v>46158</v>
      </c>
      <c r="D79" t="inlineStr">
        <is>
          <t>STOCKHOLMS LÄN</t>
        </is>
      </c>
      <c r="E79" t="inlineStr">
        <is>
          <t>VALLENTUNA</t>
        </is>
      </c>
      <c r="G79" t="n">
        <v>3.3</v>
      </c>
      <c r="H79" t="n">
        <v>0</v>
      </c>
      <c r="I79" t="n">
        <v>0</v>
      </c>
      <c r="J79" t="n">
        <v>0</v>
      </c>
      <c r="K79" t="n">
        <v>0</v>
      </c>
      <c r="L79" t="n">
        <v>0</v>
      </c>
      <c r="M79" t="n">
        <v>0</v>
      </c>
      <c r="N79" t="n">
        <v>0</v>
      </c>
      <c r="O79" t="n">
        <v>0</v>
      </c>
      <c r="P79" t="n">
        <v>0</v>
      </c>
      <c r="Q79" t="n">
        <v>0</v>
      </c>
      <c r="R79" s="2" t="inlineStr"/>
    </row>
    <row r="80" ht="15" customHeight="1">
      <c r="A80" t="inlineStr">
        <is>
          <t>A 50784-2025</t>
        </is>
      </c>
      <c r="B80" s="1" t="n">
        <v>45946</v>
      </c>
      <c r="C80" s="1" t="n">
        <v>46158</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61442-2024</t>
        </is>
      </c>
      <c r="B81" s="1" t="n">
        <v>45646.47003472222</v>
      </c>
      <c r="C81" s="1" t="n">
        <v>46158</v>
      </c>
      <c r="D81" t="inlineStr">
        <is>
          <t>STOCKHOLMS LÄN</t>
        </is>
      </c>
      <c r="E81" t="inlineStr">
        <is>
          <t>VALLENTUNA</t>
        </is>
      </c>
      <c r="G81" t="n">
        <v>4.6</v>
      </c>
      <c r="H81" t="n">
        <v>0</v>
      </c>
      <c r="I81" t="n">
        <v>0</v>
      </c>
      <c r="J81" t="n">
        <v>0</v>
      </c>
      <c r="K81" t="n">
        <v>0</v>
      </c>
      <c r="L81" t="n">
        <v>0</v>
      </c>
      <c r="M81" t="n">
        <v>0</v>
      </c>
      <c r="N81" t="n">
        <v>0</v>
      </c>
      <c r="O81" t="n">
        <v>0</v>
      </c>
      <c r="P81" t="n">
        <v>0</v>
      </c>
      <c r="Q81" t="n">
        <v>0</v>
      </c>
      <c r="R81" s="2" t="inlineStr"/>
    </row>
    <row r="82" ht="15" customHeight="1">
      <c r="A82" t="inlineStr">
        <is>
          <t>A 27868-2025</t>
        </is>
      </c>
      <c r="B82" s="1" t="n">
        <v>45817</v>
      </c>
      <c r="C82" s="1" t="n">
        <v>46158</v>
      </c>
      <c r="D82" t="inlineStr">
        <is>
          <t>STOCKHOLMS LÄN</t>
        </is>
      </c>
      <c r="E82" t="inlineStr">
        <is>
          <t>VALLENTUNA</t>
        </is>
      </c>
      <c r="G82" t="n">
        <v>2.1</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46158</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54466-2025</t>
        </is>
      </c>
      <c r="B84" s="1" t="n">
        <v>45965.56984953704</v>
      </c>
      <c r="C84" s="1" t="n">
        <v>46158</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46158</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19503-2023</t>
        </is>
      </c>
      <c r="B86" s="1" t="n">
        <v>45050.47333333334</v>
      </c>
      <c r="C86" s="1" t="n">
        <v>46158</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46158</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46158</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45461.62585648148</v>
      </c>
      <c r="C89" s="1" t="n">
        <v>46158</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46158</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17389-2026</t>
        </is>
      </c>
      <c r="B91" s="1" t="n">
        <v>46119.80603009259</v>
      </c>
      <c r="C91" s="1" t="n">
        <v>46158</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17387-2026</t>
        </is>
      </c>
      <c r="B92" s="1" t="n">
        <v>46119.79578703704</v>
      </c>
      <c r="C92" s="1" t="n">
        <v>46158</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17388-2026</t>
        </is>
      </c>
      <c r="B93" s="1" t="n">
        <v>46119.79952546296</v>
      </c>
      <c r="C93" s="1" t="n">
        <v>46158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27870-2025</t>
        </is>
      </c>
      <c r="B94" s="1" t="n">
        <v>45817</v>
      </c>
      <c r="C94" s="1" t="n">
        <v>46158</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26390-2023</t>
        </is>
      </c>
      <c r="B95" s="1" t="n">
        <v>45086</v>
      </c>
      <c r="C95" s="1" t="n">
        <v>46158</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61646-2025</t>
        </is>
      </c>
      <c r="B96" s="1" t="n">
        <v>46002</v>
      </c>
      <c r="C96" s="1" t="n">
        <v>46158</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46158</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12609-2024</t>
        </is>
      </c>
      <c r="B98" s="1" t="n">
        <v>45382.8109375</v>
      </c>
      <c r="C98" s="1" t="n">
        <v>46158</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12400-2026</t>
        </is>
      </c>
      <c r="B99" s="1" t="n">
        <v>46090.39423611111</v>
      </c>
      <c r="C99" s="1" t="n">
        <v>46158</v>
      </c>
      <c r="D99" t="inlineStr">
        <is>
          <t>STOCKHOLMS LÄN</t>
        </is>
      </c>
      <c r="E99" t="inlineStr">
        <is>
          <t>VALLENTUNA</t>
        </is>
      </c>
      <c r="G99" t="n">
        <v>1.9</v>
      </c>
      <c r="H99" t="n">
        <v>0</v>
      </c>
      <c r="I99" t="n">
        <v>0</v>
      </c>
      <c r="J99" t="n">
        <v>0</v>
      </c>
      <c r="K99" t="n">
        <v>0</v>
      </c>
      <c r="L99" t="n">
        <v>0</v>
      </c>
      <c r="M99" t="n">
        <v>0</v>
      </c>
      <c r="N99" t="n">
        <v>0</v>
      </c>
      <c r="O99" t="n">
        <v>0</v>
      </c>
      <c r="P99" t="n">
        <v>0</v>
      </c>
      <c r="Q99" t="n">
        <v>0</v>
      </c>
      <c r="R99" s="2" t="inlineStr"/>
    </row>
    <row r="100" ht="15" customHeight="1">
      <c r="A100" t="inlineStr">
        <is>
          <t>A 47140-2024</t>
        </is>
      </c>
      <c r="B100" s="1" t="n">
        <v>45586.58753472222</v>
      </c>
      <c r="C100" s="1" t="n">
        <v>46158</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12819-2026</t>
        </is>
      </c>
      <c r="B101" s="1" t="n">
        <v>46092.40896990741</v>
      </c>
      <c r="C101" s="1" t="n">
        <v>46158</v>
      </c>
      <c r="D101" t="inlineStr">
        <is>
          <t>STOCKHOLMS LÄN</t>
        </is>
      </c>
      <c r="E101" t="inlineStr">
        <is>
          <t>VALLENTUNA</t>
        </is>
      </c>
      <c r="G101" t="n">
        <v>3.5</v>
      </c>
      <c r="H101" t="n">
        <v>0</v>
      </c>
      <c r="I101" t="n">
        <v>0</v>
      </c>
      <c r="J101" t="n">
        <v>0</v>
      </c>
      <c r="K101" t="n">
        <v>0</v>
      </c>
      <c r="L101" t="n">
        <v>0</v>
      </c>
      <c r="M101" t="n">
        <v>0</v>
      </c>
      <c r="N101" t="n">
        <v>0</v>
      </c>
      <c r="O101" t="n">
        <v>0</v>
      </c>
      <c r="P101" t="n">
        <v>0</v>
      </c>
      <c r="Q101" t="n">
        <v>0</v>
      </c>
      <c r="R101" s="2" t="inlineStr"/>
    </row>
    <row r="102" ht="15" customHeight="1">
      <c r="A102" t="inlineStr">
        <is>
          <t>A 12830-2026</t>
        </is>
      </c>
      <c r="B102" s="1" t="n">
        <v>46092.42290509259</v>
      </c>
      <c r="C102" s="1" t="n">
        <v>46158</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12822-2026</t>
        </is>
      </c>
      <c r="B103" s="1" t="n">
        <v>46092.41358796296</v>
      </c>
      <c r="C103" s="1" t="n">
        <v>46158</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12828-2026</t>
        </is>
      </c>
      <c r="B104" s="1" t="n">
        <v>46092.41760416667</v>
      </c>
      <c r="C104" s="1" t="n">
        <v>46158</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8565-2025</t>
        </is>
      </c>
      <c r="B105" s="1" t="n">
        <v>45709</v>
      </c>
      <c r="C105" s="1" t="n">
        <v>46158</v>
      </c>
      <c r="D105" t="inlineStr">
        <is>
          <t>STOCKHOLMS LÄN</t>
        </is>
      </c>
      <c r="E105" t="inlineStr">
        <is>
          <t>VALLENTUNA</t>
        </is>
      </c>
      <c r="F105" t="inlineStr">
        <is>
          <t>Kommuner</t>
        </is>
      </c>
      <c r="G105" t="n">
        <v>4.2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46158</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20910-2026</t>
        </is>
      </c>
      <c r="B107" s="1" t="n">
        <v>46142.46608796297</v>
      </c>
      <c r="C107" s="1" t="n">
        <v>46158</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20914-2026</t>
        </is>
      </c>
      <c r="B108" s="1" t="n">
        <v>46142.4724074074</v>
      </c>
      <c r="C108" s="1" t="n">
        <v>46158</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4803-2024</t>
        </is>
      </c>
      <c r="B109" s="1" t="n">
        <v>45328</v>
      </c>
      <c r="C109" s="1" t="n">
        <v>46158</v>
      </c>
      <c r="D109" t="inlineStr">
        <is>
          <t>STOCKHOLMS LÄN</t>
        </is>
      </c>
      <c r="E109" t="inlineStr">
        <is>
          <t>VALLENTUNA</t>
        </is>
      </c>
      <c r="G109" t="n">
        <v>4.6</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46158</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14799-2026</t>
        </is>
      </c>
      <c r="B111" s="1" t="n">
        <v>46102.82101851852</v>
      </c>
      <c r="C111" s="1" t="n">
        <v>46158</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11950-2025</t>
        </is>
      </c>
      <c r="B112" s="1" t="n">
        <v>45728.55622685186</v>
      </c>
      <c r="C112" s="1" t="n">
        <v>46158</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14489-2024</t>
        </is>
      </c>
      <c r="B113" s="1" t="n">
        <v>45394.58053240741</v>
      </c>
      <c r="C113" s="1" t="n">
        <v>46158</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52562-2023</t>
        </is>
      </c>
      <c r="B114" s="1" t="n">
        <v>45225</v>
      </c>
      <c r="C114" s="1" t="n">
        <v>46158</v>
      </c>
      <c r="D114" t="inlineStr">
        <is>
          <t>STOCKHOLMS LÄN</t>
        </is>
      </c>
      <c r="E114" t="inlineStr">
        <is>
          <t>VALLENTUNA</t>
        </is>
      </c>
      <c r="G114" t="n">
        <v>3.4</v>
      </c>
      <c r="H114" t="n">
        <v>0</v>
      </c>
      <c r="I114" t="n">
        <v>0</v>
      </c>
      <c r="J114" t="n">
        <v>0</v>
      </c>
      <c r="K114" t="n">
        <v>0</v>
      </c>
      <c r="L114" t="n">
        <v>0</v>
      </c>
      <c r="M114" t="n">
        <v>0</v>
      </c>
      <c r="N114" t="n">
        <v>0</v>
      </c>
      <c r="O114" t="n">
        <v>0</v>
      </c>
      <c r="P114" t="n">
        <v>0</v>
      </c>
      <c r="Q114" t="n">
        <v>0</v>
      </c>
      <c r="R114" s="2" t="inlineStr"/>
    </row>
    <row r="115" ht="15" customHeight="1">
      <c r="A115" t="inlineStr">
        <is>
          <t>A 4804-2024</t>
        </is>
      </c>
      <c r="B115" s="1" t="n">
        <v>45328</v>
      </c>
      <c r="C115" s="1" t="n">
        <v>46158</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46158</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2318-2024</t>
        </is>
      </c>
      <c r="B117" s="1" t="n">
        <v>45310</v>
      </c>
      <c r="C117" s="1" t="n">
        <v>46158</v>
      </c>
      <c r="D117" t="inlineStr">
        <is>
          <t>STOCKHOLMS LÄN</t>
        </is>
      </c>
      <c r="E117" t="inlineStr">
        <is>
          <t>VALLENTUNA</t>
        </is>
      </c>
      <c r="G117" t="n">
        <v>2.2</v>
      </c>
      <c r="H117" t="n">
        <v>0</v>
      </c>
      <c r="I117" t="n">
        <v>0</v>
      </c>
      <c r="J117" t="n">
        <v>0</v>
      </c>
      <c r="K117" t="n">
        <v>0</v>
      </c>
      <c r="L117" t="n">
        <v>0</v>
      </c>
      <c r="M117" t="n">
        <v>0</v>
      </c>
      <c r="N117" t="n">
        <v>0</v>
      </c>
      <c r="O117" t="n">
        <v>0</v>
      </c>
      <c r="P117" t="n">
        <v>0</v>
      </c>
      <c r="Q117" t="n">
        <v>0</v>
      </c>
      <c r="R117" s="2" t="inlineStr"/>
    </row>
    <row r="118" ht="15" customHeight="1">
      <c r="A118" t="inlineStr">
        <is>
          <t>A 61742-2022</t>
        </is>
      </c>
      <c r="B118" s="1" t="n">
        <v>44917</v>
      </c>
      <c r="C118" s="1" t="n">
        <v>46158</v>
      </c>
      <c r="D118" t="inlineStr">
        <is>
          <t>STOCKHOLMS LÄN</t>
        </is>
      </c>
      <c r="E118" t="inlineStr">
        <is>
          <t>VALLENTUNA</t>
        </is>
      </c>
      <c r="G118" t="n">
        <v>0.5</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46158</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60997-2022</t>
        </is>
      </c>
      <c r="B120" s="1" t="n">
        <v>44914.70746527778</v>
      </c>
      <c r="C120" s="1" t="n">
        <v>46158</v>
      </c>
      <c r="D120" t="inlineStr">
        <is>
          <t>STOCKHOLMS LÄN</t>
        </is>
      </c>
      <c r="E120" t="inlineStr">
        <is>
          <t>VALLENTUNA</t>
        </is>
      </c>
      <c r="G120" t="n">
        <v>1.8</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46158</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21614-2022</t>
        </is>
      </c>
      <c r="B122" s="1" t="n">
        <v>44706</v>
      </c>
      <c r="C122" s="1" t="n">
        <v>46158</v>
      </c>
      <c r="D122" t="inlineStr">
        <is>
          <t>STOCKHOLMS LÄN</t>
        </is>
      </c>
      <c r="E122" t="inlineStr">
        <is>
          <t>VALLENTUNA</t>
        </is>
      </c>
      <c r="G122" t="n">
        <v>4</v>
      </c>
      <c r="H122" t="n">
        <v>0</v>
      </c>
      <c r="I122" t="n">
        <v>0</v>
      </c>
      <c r="J122" t="n">
        <v>0</v>
      </c>
      <c r="K122" t="n">
        <v>0</v>
      </c>
      <c r="L122" t="n">
        <v>0</v>
      </c>
      <c r="M122" t="n">
        <v>0</v>
      </c>
      <c r="N122" t="n">
        <v>0</v>
      </c>
      <c r="O122" t="n">
        <v>0</v>
      </c>
      <c r="P122" t="n">
        <v>0</v>
      </c>
      <c r="Q122" t="n">
        <v>0</v>
      </c>
      <c r="R122" s="2" t="inlineStr"/>
    </row>
    <row r="123" ht="15" customHeight="1">
      <c r="A123" t="inlineStr">
        <is>
          <t>A 12585-2023</t>
        </is>
      </c>
      <c r="B123" s="1" t="n">
        <v>45000.41373842592</v>
      </c>
      <c r="C123" s="1" t="n">
        <v>46158</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8787-2024</t>
        </is>
      </c>
      <c r="B124" s="1" t="n">
        <v>45356</v>
      </c>
      <c r="C124" s="1" t="n">
        <v>46158</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46158</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46158</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23986-2023</t>
        </is>
      </c>
      <c r="B127" s="1" t="n">
        <v>45078</v>
      </c>
      <c r="C127" s="1" t="n">
        <v>46158</v>
      </c>
      <c r="D127" t="inlineStr">
        <is>
          <t>STOCKHOLMS LÄN</t>
        </is>
      </c>
      <c r="E127" t="inlineStr">
        <is>
          <t>VALLENTUNA</t>
        </is>
      </c>
      <c r="F127" t="inlineStr">
        <is>
          <t>Kyrkan</t>
        </is>
      </c>
      <c r="G127" t="n">
        <v>5.7</v>
      </c>
      <c r="H127" t="n">
        <v>0</v>
      </c>
      <c r="I127" t="n">
        <v>0</v>
      </c>
      <c r="J127" t="n">
        <v>0</v>
      </c>
      <c r="K127" t="n">
        <v>0</v>
      </c>
      <c r="L127" t="n">
        <v>0</v>
      </c>
      <c r="M127" t="n">
        <v>0</v>
      </c>
      <c r="N127" t="n">
        <v>0</v>
      </c>
      <c r="O127" t="n">
        <v>0</v>
      </c>
      <c r="P127" t="n">
        <v>0</v>
      </c>
      <c r="Q127" t="n">
        <v>0</v>
      </c>
      <c r="R127" s="2" t="inlineStr"/>
    </row>
    <row r="128" ht="15" customHeight="1">
      <c r="A128" t="inlineStr">
        <is>
          <t>A 15300-2023</t>
        </is>
      </c>
      <c r="B128" s="1" t="n">
        <v>45019</v>
      </c>
      <c r="C128" s="1" t="n">
        <v>46158</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46158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46158</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46158</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46158</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46158</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46158</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46158</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46158</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46158</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46158</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46158</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46158</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46158</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46158</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46158</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46158</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46158</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12621-2024</t>
        </is>
      </c>
      <c r="B146" s="1" t="n">
        <v>45383.6325</v>
      </c>
      <c r="C146" s="1" t="n">
        <v>46158</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row r="147" ht="15" customHeight="1">
      <c r="A147" t="inlineStr">
        <is>
          <t>A 46381-2023</t>
        </is>
      </c>
      <c r="B147" s="1" t="n">
        <v>45193</v>
      </c>
      <c r="C147" s="1" t="n">
        <v>46158</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61027-2023</t>
        </is>
      </c>
      <c r="B148" s="1" t="n">
        <v>45261</v>
      </c>
      <c r="C148" s="1" t="n">
        <v>46158</v>
      </c>
      <c r="D148" t="inlineStr">
        <is>
          <t>STOCKHOLMS LÄN</t>
        </is>
      </c>
      <c r="E148" t="inlineStr">
        <is>
          <t>VALLENTUNA</t>
        </is>
      </c>
      <c r="G148" t="n">
        <v>7.1</v>
      </c>
      <c r="H148" t="n">
        <v>0</v>
      </c>
      <c r="I148" t="n">
        <v>0</v>
      </c>
      <c r="J148" t="n">
        <v>0</v>
      </c>
      <c r="K148" t="n">
        <v>0</v>
      </c>
      <c r="L148" t="n">
        <v>0</v>
      </c>
      <c r="M148" t="n">
        <v>0</v>
      </c>
      <c r="N148" t="n">
        <v>0</v>
      </c>
      <c r="O148" t="n">
        <v>0</v>
      </c>
      <c r="P148" t="n">
        <v>0</v>
      </c>
      <c r="Q148" t="n">
        <v>0</v>
      </c>
      <c r="R148" s="2" t="inlineStr"/>
    </row>
    <row r="149">
      <c r="A149" t="inlineStr">
        <is>
          <t>A 23009-2024</t>
        </is>
      </c>
      <c r="B149" s="1" t="n">
        <v>45450.34506944445</v>
      </c>
      <c r="C149" s="1" t="n">
        <v>46158</v>
      </c>
      <c r="D149" t="inlineStr">
        <is>
          <t>STOCKHOLMS LÄN</t>
        </is>
      </c>
      <c r="E149" t="inlineStr">
        <is>
          <t>VALLENTUNA</t>
        </is>
      </c>
      <c r="G149" t="n">
        <v>1.4</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2026-05-16T12:09:56Z</dcterms:created>
  <dcterms:modified xmlns:dcterms="http://purl.org/dc/terms/" xmlns:xsi="http://www.w3.org/2001/XMLSchema-instance" xsi:type="dcterms:W3CDTF">2026-05-16T12:09:56Z</dcterms:modified>
</cp:coreProperties>
</file>