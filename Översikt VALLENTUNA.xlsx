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46146</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46146</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46146</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46146</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46146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46146</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46146</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46146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46146</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46146</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46146</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46146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46146</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46146</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46146</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46146</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46146</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46146</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46146</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46146</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46146</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46146</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12396-2026</t>
        </is>
      </c>
      <c r="B39" s="1" t="n">
        <v>46090.38930555555</v>
      </c>
      <c r="C39" s="1" t="n">
        <v>46146</v>
      </c>
      <c r="D39" t="inlineStr">
        <is>
          <t>STOCKHOLMS LÄN</t>
        </is>
      </c>
      <c r="E39" t="inlineStr">
        <is>
          <t>VALLENTUNA</t>
        </is>
      </c>
      <c r="G39" t="n">
        <v>3</v>
      </c>
      <c r="H39" t="n">
        <v>1</v>
      </c>
      <c r="I39" t="n">
        <v>0</v>
      </c>
      <c r="J39" t="n">
        <v>1</v>
      </c>
      <c r="K39" t="n">
        <v>0</v>
      </c>
      <c r="L39" t="n">
        <v>0</v>
      </c>
      <c r="M39" t="n">
        <v>0</v>
      </c>
      <c r="N39" t="n">
        <v>0</v>
      </c>
      <c r="O39" t="n">
        <v>1</v>
      </c>
      <c r="P39" t="n">
        <v>0</v>
      </c>
      <c r="Q39" t="n">
        <v>1</v>
      </c>
      <c r="R39" s="2" t="inlineStr">
        <is>
          <t>Spillkråka</t>
        </is>
      </c>
      <c r="S39">
        <f>HYPERLINK("https://klasma.github.io/Logging_0115/artfynd/A 12396-2026 artfynd.xlsx", "A 12396-2026")</f>
        <v/>
      </c>
      <c r="T39">
        <f>HYPERLINK("https://klasma.github.io/Logging_0115/kartor/A 12396-2026 karta.png", "A 12396-2026")</f>
        <v/>
      </c>
      <c r="V39">
        <f>HYPERLINK("https://klasma.github.io/Logging_0115/klagomål/A 12396-2026 FSC-klagomål.docx", "A 12396-2026")</f>
        <v/>
      </c>
      <c r="W39">
        <f>HYPERLINK("https://klasma.github.io/Logging_0115/klagomålsmail/A 12396-2026 FSC-klagomål mail.docx", "A 12396-2026")</f>
        <v/>
      </c>
      <c r="X39">
        <f>HYPERLINK("https://klasma.github.io/Logging_0115/tillsyn/A 12396-2026 tillsynsbegäran.docx", "A 12396-2026")</f>
        <v/>
      </c>
      <c r="Y39">
        <f>HYPERLINK("https://klasma.github.io/Logging_0115/tillsynsmail/A 12396-2026 tillsynsbegäran mail.docx", "A 12396-2026")</f>
        <v/>
      </c>
      <c r="Z39">
        <f>HYPERLINK("https://klasma.github.io/Logging_0115/fåglar/A 12396-2026 prioriterade fågelarter.docx", "A 12396-2026")</f>
        <v/>
      </c>
    </row>
    <row r="40" ht="15" customHeight="1">
      <c r="A40" t="inlineStr">
        <is>
          <t>A 12401-2026</t>
        </is>
      </c>
      <c r="B40" s="1" t="n">
        <v>46090</v>
      </c>
      <c r="C40" s="1" t="n">
        <v>46146</v>
      </c>
      <c r="D40" t="inlineStr">
        <is>
          <t>STOCKHOLMS LÄN</t>
        </is>
      </c>
      <c r="E40" t="inlineStr">
        <is>
          <t>VALLENTUNA</t>
        </is>
      </c>
      <c r="G40" t="n">
        <v>5.9</v>
      </c>
      <c r="H40" t="n">
        <v>1</v>
      </c>
      <c r="I40" t="n">
        <v>0</v>
      </c>
      <c r="J40" t="n">
        <v>1</v>
      </c>
      <c r="K40" t="n">
        <v>0</v>
      </c>
      <c r="L40" t="n">
        <v>0</v>
      </c>
      <c r="M40" t="n">
        <v>0</v>
      </c>
      <c r="N40" t="n">
        <v>0</v>
      </c>
      <c r="O40" t="n">
        <v>1</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34460-2023</t>
        </is>
      </c>
      <c r="B41" s="1" t="n">
        <v>45139</v>
      </c>
      <c r="C41" s="1" t="n">
        <v>46146</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46146</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46146</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8089-2022</t>
        </is>
      </c>
      <c r="B44" s="1" t="n">
        <v>44609.53716435185</v>
      </c>
      <c r="C44" s="1" t="n">
        <v>46146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46146</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46146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46146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46146</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46146</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46146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46146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46146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46146</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46146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46146</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46146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46146</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46146</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46146</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46146</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46146</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46146</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46146</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46146</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3937-2022</t>
        </is>
      </c>
      <c r="B66" s="1" t="n">
        <v>44587</v>
      </c>
      <c r="C66" s="1" t="n">
        <v>46146</v>
      </c>
      <c r="D66" t="inlineStr">
        <is>
          <t>STOCKHOLMS LÄN</t>
        </is>
      </c>
      <c r="E66" t="inlineStr">
        <is>
          <t>VALLENTUNA</t>
        </is>
      </c>
      <c r="G66" t="n">
        <v>6.6</v>
      </c>
      <c r="H66" t="n">
        <v>0</v>
      </c>
      <c r="I66" t="n">
        <v>0</v>
      </c>
      <c r="J66" t="n">
        <v>0</v>
      </c>
      <c r="K66" t="n">
        <v>0</v>
      </c>
      <c r="L66" t="n">
        <v>0</v>
      </c>
      <c r="M66" t="n">
        <v>0</v>
      </c>
      <c r="N66" t="n">
        <v>0</v>
      </c>
      <c r="O66" t="n">
        <v>0</v>
      </c>
      <c r="P66" t="n">
        <v>0</v>
      </c>
      <c r="Q66" t="n">
        <v>0</v>
      </c>
      <c r="R66" s="2" t="inlineStr"/>
    </row>
    <row r="67" ht="15" customHeight="1">
      <c r="A67" t="inlineStr">
        <is>
          <t>A 60818-2023</t>
        </is>
      </c>
      <c r="B67" s="1" t="n">
        <v>45259</v>
      </c>
      <c r="C67" s="1" t="n">
        <v>46146</v>
      </c>
      <c r="D67" t="inlineStr">
        <is>
          <t>STOCKHOLMS LÄN</t>
        </is>
      </c>
      <c r="E67" t="inlineStr">
        <is>
          <t>VALLENTUNA</t>
        </is>
      </c>
      <c r="G67" t="n">
        <v>9.4</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46146</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19356-2025</t>
        </is>
      </c>
      <c r="B69" s="1" t="n">
        <v>45769.62061342593</v>
      </c>
      <c r="C69" s="1" t="n">
        <v>46146</v>
      </c>
      <c r="D69" t="inlineStr">
        <is>
          <t>STOCKHOLMS LÄN</t>
        </is>
      </c>
      <c r="E69" t="inlineStr">
        <is>
          <t>VALLENTUNA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46146</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46146</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44346-2021</t>
        </is>
      </c>
      <c r="B72" s="1" t="n">
        <v>44434</v>
      </c>
      <c r="C72" s="1" t="n">
        <v>46146</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61442-2024</t>
        </is>
      </c>
      <c r="B73" s="1" t="n">
        <v>45646.47003472222</v>
      </c>
      <c r="C73" s="1" t="n">
        <v>46146</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46146</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19503-2023</t>
        </is>
      </c>
      <c r="B75" s="1" t="n">
        <v>45050.47333333334</v>
      </c>
      <c r="C75" s="1" t="n">
        <v>46146</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46146</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21445-2023</t>
        </is>
      </c>
      <c r="B77" s="1" t="n">
        <v>45063</v>
      </c>
      <c r="C77" s="1" t="n">
        <v>46146</v>
      </c>
      <c r="D77" t="inlineStr">
        <is>
          <t>STOCKHOLMS LÄN</t>
        </is>
      </c>
      <c r="E77" t="inlineStr">
        <is>
          <t>VALLENTUNA</t>
        </is>
      </c>
      <c r="G77" t="n">
        <v>3.1</v>
      </c>
      <c r="H77" t="n">
        <v>0</v>
      </c>
      <c r="I77" t="n">
        <v>0</v>
      </c>
      <c r="J77" t="n">
        <v>0</v>
      </c>
      <c r="K77" t="n">
        <v>0</v>
      </c>
      <c r="L77" t="n">
        <v>0</v>
      </c>
      <c r="M77" t="n">
        <v>0</v>
      </c>
      <c r="N77" t="n">
        <v>0</v>
      </c>
      <c r="O77" t="n">
        <v>0</v>
      </c>
      <c r="P77" t="n">
        <v>0</v>
      </c>
      <c r="Q77" t="n">
        <v>0</v>
      </c>
      <c r="R77" s="2" t="inlineStr"/>
    </row>
    <row r="78" ht="15" customHeight="1">
      <c r="A78" t="inlineStr">
        <is>
          <t>A 22683-2023</t>
        </is>
      </c>
      <c r="B78" s="1" t="n">
        <v>45071</v>
      </c>
      <c r="C78" s="1" t="n">
        <v>46146</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46146</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24943-2024</t>
        </is>
      </c>
      <c r="B80" s="1" t="n">
        <v>45461.62585648148</v>
      </c>
      <c r="C80" s="1" t="n">
        <v>46146</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46146</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46146</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46146</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46146</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46146</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46146</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46146</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46146</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46146</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47140-2024</t>
        </is>
      </c>
      <c r="B90" s="1" t="n">
        <v>45586.58753472222</v>
      </c>
      <c r="C90" s="1" t="n">
        <v>46146</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46146</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9063-2024</t>
        </is>
      </c>
      <c r="B92" s="1" t="n">
        <v>45357.72652777778</v>
      </c>
      <c r="C92" s="1" t="n">
        <v>46146</v>
      </c>
      <c r="D92" t="inlineStr">
        <is>
          <t>STOCKHOLMS LÄN</t>
        </is>
      </c>
      <c r="E92" t="inlineStr">
        <is>
          <t>VALLENTUNA</t>
        </is>
      </c>
      <c r="G92" t="n">
        <v>4.1</v>
      </c>
      <c r="H92" t="n">
        <v>0</v>
      </c>
      <c r="I92" t="n">
        <v>0</v>
      </c>
      <c r="J92" t="n">
        <v>0</v>
      </c>
      <c r="K92" t="n">
        <v>0</v>
      </c>
      <c r="L92" t="n">
        <v>0</v>
      </c>
      <c r="M92" t="n">
        <v>0</v>
      </c>
      <c r="N92" t="n">
        <v>0</v>
      </c>
      <c r="O92" t="n">
        <v>0</v>
      </c>
      <c r="P92" t="n">
        <v>0</v>
      </c>
      <c r="Q92" t="n">
        <v>0</v>
      </c>
      <c r="R92" s="2" t="inlineStr"/>
    </row>
    <row r="93" ht="15" customHeight="1">
      <c r="A93" t="inlineStr">
        <is>
          <t>A 27870-2025</t>
        </is>
      </c>
      <c r="B93" s="1" t="n">
        <v>45817</v>
      </c>
      <c r="C93" s="1" t="n">
        <v>46146</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4803-2024</t>
        </is>
      </c>
      <c r="B94" s="1" t="n">
        <v>45328</v>
      </c>
      <c r="C94" s="1" t="n">
        <v>46146</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46146</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46146</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11950-2025</t>
        </is>
      </c>
      <c r="B97" s="1" t="n">
        <v>45728.55622685186</v>
      </c>
      <c r="C97" s="1" t="n">
        <v>46146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14489-2024</t>
        </is>
      </c>
      <c r="B98" s="1" t="n">
        <v>45394.58053240741</v>
      </c>
      <c r="C98" s="1" t="n">
        <v>46146</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414-2026</t>
        </is>
      </c>
      <c r="B99" s="1" t="n">
        <v>46028.76050925926</v>
      </c>
      <c r="C99" s="1" t="n">
        <v>46146</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46146</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46146</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46146</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46146</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46146</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14799-2026</t>
        </is>
      </c>
      <c r="B105" s="1" t="n">
        <v>46102.82101851852</v>
      </c>
      <c r="C105" s="1" t="n">
        <v>46146</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46146</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46146</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46146</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46146</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46146</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17389-2026</t>
        </is>
      </c>
      <c r="B111" s="1" t="n">
        <v>46119.80603009259</v>
      </c>
      <c r="C111" s="1" t="n">
        <v>46146</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12585-2023</t>
        </is>
      </c>
      <c r="B112" s="1" t="n">
        <v>45000.41373842592</v>
      </c>
      <c r="C112" s="1" t="n">
        <v>46146</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17387-2026</t>
        </is>
      </c>
      <c r="B113" s="1" t="n">
        <v>46119.79578703704</v>
      </c>
      <c r="C113" s="1" t="n">
        <v>46146</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17388-2026</t>
        </is>
      </c>
      <c r="B114" s="1" t="n">
        <v>46119.79952546296</v>
      </c>
      <c r="C114" s="1" t="n">
        <v>46146</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46146</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12400-2026</t>
        </is>
      </c>
      <c r="B116" s="1" t="n">
        <v>46090.39423611111</v>
      </c>
      <c r="C116" s="1" t="n">
        <v>46146</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46146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46146</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46146</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46146</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46092.40896990741</v>
      </c>
      <c r="C121" s="1" t="n">
        <v>46146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12830-2026</t>
        </is>
      </c>
      <c r="B122" s="1" t="n">
        <v>46092.42290509259</v>
      </c>
      <c r="C122" s="1" t="n">
        <v>46146</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8077-2022</t>
        </is>
      </c>
      <c r="B123" s="1" t="n">
        <v>44609</v>
      </c>
      <c r="C123" s="1" t="n">
        <v>46146</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12822-2026</t>
        </is>
      </c>
      <c r="B124" s="1" t="n">
        <v>46092.41358796296</v>
      </c>
      <c r="C124" s="1" t="n">
        <v>46146</v>
      </c>
      <c r="D124" t="inlineStr">
        <is>
          <t>STOCKHOLMS LÄN</t>
        </is>
      </c>
      <c r="E124" t="inlineStr">
        <is>
          <t>VALLENTUNA</t>
        </is>
      </c>
      <c r="G124" t="n">
        <v>2.7</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46146</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12828-2026</t>
        </is>
      </c>
      <c r="B126" s="1" t="n">
        <v>46092.41760416667</v>
      </c>
      <c r="C126" s="1" t="n">
        <v>46146</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46146</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46146</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46146</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46146</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46146</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46146</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46146</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20910-2026</t>
        </is>
      </c>
      <c r="B134" s="1" t="n">
        <v>46142.46608796297</v>
      </c>
      <c r="C134" s="1" t="n">
        <v>46146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20914-2026</t>
        </is>
      </c>
      <c r="B135" s="1" t="n">
        <v>46142.4724074074</v>
      </c>
      <c r="C135" s="1" t="n">
        <v>46146</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46146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46146</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46146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46146</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46146</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46146</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46146</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46146</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46146</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46146</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46146</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46146</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46146</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ht="15" customHeight="1">
      <c r="A149" t="inlineStr">
        <is>
          <t>A 25984-2025</t>
        </is>
      </c>
      <c r="B149" s="1" t="n">
        <v>45804.64016203704</v>
      </c>
      <c r="C149" s="1" t="n">
        <v>46146</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row r="150" ht="15" customHeight="1">
      <c r="A150" t="inlineStr">
        <is>
          <t>A 30902-2025</t>
        </is>
      </c>
      <c r="B150" s="1" t="n">
        <v>45832.36104166666</v>
      </c>
      <c r="C150" s="1" t="n">
        <v>46146</v>
      </c>
      <c r="D150" t="inlineStr">
        <is>
          <t>STOCKHOLMS LÄN</t>
        </is>
      </c>
      <c r="E150" t="inlineStr">
        <is>
          <t>VALLENTUNA</t>
        </is>
      </c>
      <c r="G150" t="n">
        <v>8.199999999999999</v>
      </c>
      <c r="H150" t="n">
        <v>0</v>
      </c>
      <c r="I150" t="n">
        <v>0</v>
      </c>
      <c r="J150" t="n">
        <v>0</v>
      </c>
      <c r="K150" t="n">
        <v>0</v>
      </c>
      <c r="L150" t="n">
        <v>0</v>
      </c>
      <c r="M150" t="n">
        <v>0</v>
      </c>
      <c r="N150" t="n">
        <v>0</v>
      </c>
      <c r="O150" t="n">
        <v>0</v>
      </c>
      <c r="P150" t="n">
        <v>0</v>
      </c>
      <c r="Q150" t="n">
        <v>0</v>
      </c>
      <c r="R150" s="2" t="inlineStr"/>
    </row>
    <row r="151">
      <c r="A151" t="inlineStr">
        <is>
          <t>A 28431-2025</t>
        </is>
      </c>
      <c r="B151" s="1" t="n">
        <v>45819.38072916667</v>
      </c>
      <c r="C151" s="1" t="n">
        <v>46146</v>
      </c>
      <c r="D151" t="inlineStr">
        <is>
          <t>STOCKHOLMS LÄN</t>
        </is>
      </c>
      <c r="E151" t="inlineStr">
        <is>
          <t>VALLENTUNA</t>
        </is>
      </c>
      <c r="G151" t="n">
        <v>1.5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2026-05-04T11:00:34Z</dcterms:created>
  <dcterms:modified xmlns:dcterms="http://purl.org/dc/terms/" xmlns:xsi="http://www.w3.org/2001/XMLSchema-instance" xsi:type="dcterms:W3CDTF">2026-05-04T11:00:34Z</dcterms:modified>
</cp:coreProperties>
</file>