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46061</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46061</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46061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46061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46061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46061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46061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46061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46061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46061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46061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46061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46061</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46061</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46061</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46061</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46061</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46061</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46061</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46061</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46061</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46061</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46061</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46061</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46061</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46061</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7890-2023</t>
        </is>
      </c>
      <c r="B28" s="1" t="n">
        <v>44973</v>
      </c>
      <c r="C28" s="1" t="n">
        <v>46061</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46061</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54481-2025</t>
        </is>
      </c>
      <c r="B30" s="1" t="n">
        <v>45965.58837962963</v>
      </c>
      <c r="C30" s="1" t="n">
        <v>46061</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34460-2023</t>
        </is>
      </c>
      <c r="B31" s="1" t="n">
        <v>45139</v>
      </c>
      <c r="C31" s="1" t="n">
        <v>46061</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17348-2025</t>
        </is>
      </c>
      <c r="B32" s="1" t="n">
        <v>45756</v>
      </c>
      <c r="C32" s="1" t="n">
        <v>46061</v>
      </c>
      <c r="D32" t="inlineStr">
        <is>
          <t>STOCKHOLMS LÄN</t>
        </is>
      </c>
      <c r="E32" t="inlineStr">
        <is>
          <t>VALLENTUNA</t>
        </is>
      </c>
      <c r="F32" t="inlineStr">
        <is>
          <t>Övriga Aktiebolag</t>
        </is>
      </c>
      <c r="G32" t="n">
        <v>2.2</v>
      </c>
      <c r="H32" t="n">
        <v>0</v>
      </c>
      <c r="I32" t="n">
        <v>1</v>
      </c>
      <c r="J32" t="n">
        <v>0</v>
      </c>
      <c r="K32" t="n">
        <v>0</v>
      </c>
      <c r="L32" t="n">
        <v>0</v>
      </c>
      <c r="M32" t="n">
        <v>0</v>
      </c>
      <c r="N32" t="n">
        <v>0</v>
      </c>
      <c r="O32" t="n">
        <v>0</v>
      </c>
      <c r="P32" t="n">
        <v>0</v>
      </c>
      <c r="Q32" t="n">
        <v>1</v>
      </c>
      <c r="R32" s="2" t="inlineStr">
        <is>
          <t>Björksplintborre</t>
        </is>
      </c>
      <c r="S32">
        <f>HYPERLINK("https://klasma.github.io/Logging_0115/artfynd/A 17348-2025 artfynd.xlsx", "A 17348-2025")</f>
        <v/>
      </c>
      <c r="T32">
        <f>HYPERLINK("https://klasma.github.io/Logging_0115/kartor/A 17348-2025 karta.png", "A 17348-2025")</f>
        <v/>
      </c>
      <c r="V32">
        <f>HYPERLINK("https://klasma.github.io/Logging_0115/klagomål/A 17348-2025 FSC-klagomål.docx", "A 17348-2025")</f>
        <v/>
      </c>
      <c r="W32">
        <f>HYPERLINK("https://klasma.github.io/Logging_0115/klagomålsmail/A 17348-2025 FSC-klagomål mail.docx", "A 17348-2025")</f>
        <v/>
      </c>
      <c r="X32">
        <f>HYPERLINK("https://klasma.github.io/Logging_0115/tillsyn/A 17348-2025 tillsynsbegäran.docx", "A 17348-2025")</f>
        <v/>
      </c>
      <c r="Y32">
        <f>HYPERLINK("https://klasma.github.io/Logging_0115/tillsynsmail/A 17348-2025 tillsynsbegäran mail.docx", "A 17348-2025")</f>
        <v/>
      </c>
    </row>
    <row r="33" ht="15" customHeight="1">
      <c r="A33" t="inlineStr">
        <is>
          <t>A 63539-2025</t>
        </is>
      </c>
      <c r="B33" s="1" t="n">
        <v>46013.58824074074</v>
      </c>
      <c r="C33" s="1" t="n">
        <v>46061</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46061</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34458-2023</t>
        </is>
      </c>
      <c r="B35" s="1" t="n">
        <v>45139</v>
      </c>
      <c r="C35" s="1" t="n">
        <v>46061</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21-2022</t>
        </is>
      </c>
      <c r="B36" s="1" t="n">
        <v>44560</v>
      </c>
      <c r="C36" s="1" t="n">
        <v>46061</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17341-2025</t>
        </is>
      </c>
      <c r="B37" s="1" t="n">
        <v>45756</v>
      </c>
      <c r="C37" s="1" t="n">
        <v>46061</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14508-2024</t>
        </is>
      </c>
      <c r="B38" s="1" t="n">
        <v>45394.61583333334</v>
      </c>
      <c r="C38" s="1" t="n">
        <v>46061</v>
      </c>
      <c r="D38" t="inlineStr">
        <is>
          <t>STOCKHOLMS LÄN</t>
        </is>
      </c>
      <c r="E38" t="inlineStr">
        <is>
          <t>VALLENTUNA</t>
        </is>
      </c>
      <c r="G38" t="n">
        <v>1.7</v>
      </c>
      <c r="H38" t="n">
        <v>1</v>
      </c>
      <c r="I38" t="n">
        <v>0</v>
      </c>
      <c r="J38" t="n">
        <v>1</v>
      </c>
      <c r="K38" t="n">
        <v>0</v>
      </c>
      <c r="L38" t="n">
        <v>0</v>
      </c>
      <c r="M38" t="n">
        <v>0</v>
      </c>
      <c r="N38" t="n">
        <v>0</v>
      </c>
      <c r="O38" t="n">
        <v>1</v>
      </c>
      <c r="P38" t="n">
        <v>0</v>
      </c>
      <c r="Q38" t="n">
        <v>1</v>
      </c>
      <c r="R38" s="2" t="inlineStr">
        <is>
          <t>Mindre hackspett</t>
        </is>
      </c>
      <c r="S38">
        <f>HYPERLINK("https://klasma.github.io/Logging_0115/artfynd/A 14508-2024 artfynd.xlsx", "A 14508-2024")</f>
        <v/>
      </c>
      <c r="T38">
        <f>HYPERLINK("https://klasma.github.io/Logging_0115/kartor/A 14508-2024 karta.png", "A 14508-2024")</f>
        <v/>
      </c>
      <c r="V38">
        <f>HYPERLINK("https://klasma.github.io/Logging_0115/klagomål/A 14508-2024 FSC-klagomål.docx", "A 14508-2024")</f>
        <v/>
      </c>
      <c r="W38">
        <f>HYPERLINK("https://klasma.github.io/Logging_0115/klagomålsmail/A 14508-2024 FSC-klagomål mail.docx", "A 14508-2024")</f>
        <v/>
      </c>
      <c r="X38">
        <f>HYPERLINK("https://klasma.github.io/Logging_0115/tillsyn/A 14508-2024 tillsynsbegäran.docx", "A 14508-2024")</f>
        <v/>
      </c>
      <c r="Y38">
        <f>HYPERLINK("https://klasma.github.io/Logging_0115/tillsynsmail/A 14508-2024 tillsynsbegäran mail.docx", "A 14508-2024")</f>
        <v/>
      </c>
      <c r="Z38">
        <f>HYPERLINK("https://klasma.github.io/Logging_0115/fåglar/A 14508-2024 prioriterade fågelarter.docx", "A 14508-2024")</f>
        <v/>
      </c>
    </row>
    <row r="39" ht="15" customHeight="1">
      <c r="A39" t="inlineStr">
        <is>
          <t>A 21439-2025</t>
        </is>
      </c>
      <c r="B39" s="1" t="n">
        <v>45782.52939814814</v>
      </c>
      <c r="C39" s="1" t="n">
        <v>46061</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46061</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46061</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46061</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46061</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46061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46061</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46061</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46061</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46061</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46061</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46061</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46061</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46061</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46061</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46061</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46061</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46061</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46061</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46061</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46061</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46061</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46061</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46061</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46061</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46061</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61742-2022</t>
        </is>
      </c>
      <c r="B65" s="1" t="n">
        <v>44917</v>
      </c>
      <c r="C65" s="1" t="n">
        <v>46061</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46061</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12562-2023</t>
        </is>
      </c>
      <c r="B67" s="1" t="n">
        <v>45000</v>
      </c>
      <c r="C67" s="1" t="n">
        <v>46061</v>
      </c>
      <c r="D67" t="inlineStr">
        <is>
          <t>STOCKHOLMS LÄN</t>
        </is>
      </c>
      <c r="E67" t="inlineStr">
        <is>
          <t>VALLENTUNA</t>
        </is>
      </c>
      <c r="G67" t="n">
        <v>2.1</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46061</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17340-2025</t>
        </is>
      </c>
      <c r="B69" s="1" t="n">
        <v>45756</v>
      </c>
      <c r="C69" s="1" t="n">
        <v>46061</v>
      </c>
      <c r="D69" t="inlineStr">
        <is>
          <t>STOCKHOLMS LÄN</t>
        </is>
      </c>
      <c r="E69" t="inlineStr">
        <is>
          <t>VALLENTUNA</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46061</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46061</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29704-2023</t>
        </is>
      </c>
      <c r="B72" s="1" t="n">
        <v>45107</v>
      </c>
      <c r="C72" s="1" t="n">
        <v>46061</v>
      </c>
      <c r="D72" t="inlineStr">
        <is>
          <t>STOCKHOLMS LÄN</t>
        </is>
      </c>
      <c r="E72" t="inlineStr">
        <is>
          <t>VALLENTUNA</t>
        </is>
      </c>
      <c r="G72" t="n">
        <v>3.7</v>
      </c>
      <c r="H72" t="n">
        <v>0</v>
      </c>
      <c r="I72" t="n">
        <v>0</v>
      </c>
      <c r="J72" t="n">
        <v>0</v>
      </c>
      <c r="K72" t="n">
        <v>0</v>
      </c>
      <c r="L72" t="n">
        <v>0</v>
      </c>
      <c r="M72" t="n">
        <v>0</v>
      </c>
      <c r="N72" t="n">
        <v>0</v>
      </c>
      <c r="O72" t="n">
        <v>0</v>
      </c>
      <c r="P72" t="n">
        <v>0</v>
      </c>
      <c r="Q72" t="n">
        <v>0</v>
      </c>
      <c r="R72" s="2" t="inlineStr"/>
    </row>
    <row r="73" ht="15" customHeight="1">
      <c r="A73" t="inlineStr">
        <is>
          <t>A 44988-2025</t>
        </is>
      </c>
      <c r="B73" s="1" t="n">
        <v>45918.65505787037</v>
      </c>
      <c r="C73" s="1" t="n">
        <v>46061</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46061</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12609-2024</t>
        </is>
      </c>
      <c r="B75" s="1" t="n">
        <v>45382.8109375</v>
      </c>
      <c r="C75" s="1" t="n">
        <v>46061</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13836-2022</t>
        </is>
      </c>
      <c r="B76" s="1" t="n">
        <v>44649</v>
      </c>
      <c r="C76" s="1" t="n">
        <v>46061</v>
      </c>
      <c r="D76" t="inlineStr">
        <is>
          <t>STOCKHOLMS LÄN</t>
        </is>
      </c>
      <c r="E76" t="inlineStr">
        <is>
          <t>VALLENTUNA</t>
        </is>
      </c>
      <c r="G76" t="n">
        <v>3.5</v>
      </c>
      <c r="H76" t="n">
        <v>0</v>
      </c>
      <c r="I76" t="n">
        <v>0</v>
      </c>
      <c r="J76" t="n">
        <v>0</v>
      </c>
      <c r="K76" t="n">
        <v>0</v>
      </c>
      <c r="L76" t="n">
        <v>0</v>
      </c>
      <c r="M76" t="n">
        <v>0</v>
      </c>
      <c r="N76" t="n">
        <v>0</v>
      </c>
      <c r="O76" t="n">
        <v>0</v>
      </c>
      <c r="P76" t="n">
        <v>0</v>
      </c>
      <c r="Q76" t="n">
        <v>0</v>
      </c>
      <c r="R76" s="2" t="inlineStr"/>
    </row>
    <row r="77" ht="15" customHeight="1">
      <c r="A77" t="inlineStr">
        <is>
          <t>A 4804-2024</t>
        </is>
      </c>
      <c r="B77" s="1" t="n">
        <v>45328</v>
      </c>
      <c r="C77" s="1" t="n">
        <v>46061</v>
      </c>
      <c r="D77" t="inlineStr">
        <is>
          <t>STOCKHOLMS LÄN</t>
        </is>
      </c>
      <c r="E77" t="inlineStr">
        <is>
          <t>VALLENTUNA</t>
        </is>
      </c>
      <c r="G77" t="n">
        <v>3</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46061</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46061</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24707-2023</t>
        </is>
      </c>
      <c r="B80" s="1" t="n">
        <v>45084</v>
      </c>
      <c r="C80" s="1" t="n">
        <v>46061</v>
      </c>
      <c r="D80" t="inlineStr">
        <is>
          <t>STOCKHOLMS LÄN</t>
        </is>
      </c>
      <c r="E80" t="inlineStr">
        <is>
          <t>VALLENTUNA</t>
        </is>
      </c>
      <c r="G80" t="n">
        <v>1.1</v>
      </c>
      <c r="H80" t="n">
        <v>0</v>
      </c>
      <c r="I80" t="n">
        <v>0</v>
      </c>
      <c r="J80" t="n">
        <v>0</v>
      </c>
      <c r="K80" t="n">
        <v>0</v>
      </c>
      <c r="L80" t="n">
        <v>0</v>
      </c>
      <c r="M80" t="n">
        <v>0</v>
      </c>
      <c r="N80" t="n">
        <v>0</v>
      </c>
      <c r="O80" t="n">
        <v>0</v>
      </c>
      <c r="P80" t="n">
        <v>0</v>
      </c>
      <c r="Q80" t="n">
        <v>0</v>
      </c>
      <c r="R80" s="2" t="inlineStr"/>
    </row>
    <row r="81" ht="15" customHeight="1">
      <c r="A81" t="inlineStr">
        <is>
          <t>A 28431-2025</t>
        </is>
      </c>
      <c r="B81" s="1" t="n">
        <v>45819.38072916667</v>
      </c>
      <c r="C81" s="1" t="n">
        <v>46061</v>
      </c>
      <c r="D81" t="inlineStr">
        <is>
          <t>STOCKHOLMS LÄN</t>
        </is>
      </c>
      <c r="E81" t="inlineStr">
        <is>
          <t>VALLENTUNA</t>
        </is>
      </c>
      <c r="G81" t="n">
        <v>1.5</v>
      </c>
      <c r="H81" t="n">
        <v>0</v>
      </c>
      <c r="I81" t="n">
        <v>0</v>
      </c>
      <c r="J81" t="n">
        <v>0</v>
      </c>
      <c r="K81" t="n">
        <v>0</v>
      </c>
      <c r="L81" t="n">
        <v>0</v>
      </c>
      <c r="M81" t="n">
        <v>0</v>
      </c>
      <c r="N81" t="n">
        <v>0</v>
      </c>
      <c r="O81" t="n">
        <v>0</v>
      </c>
      <c r="P81" t="n">
        <v>0</v>
      </c>
      <c r="Q81" t="n">
        <v>0</v>
      </c>
      <c r="R81" s="2" t="inlineStr"/>
    </row>
    <row r="82" ht="15" customHeight="1">
      <c r="A82" t="inlineStr">
        <is>
          <t>A 50784-2025</t>
        </is>
      </c>
      <c r="B82" s="1" t="n">
        <v>45946</v>
      </c>
      <c r="C82" s="1" t="n">
        <v>46061</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5910-2022</t>
        </is>
      </c>
      <c r="B83" s="1" t="n">
        <v>44597</v>
      </c>
      <c r="C83" s="1" t="n">
        <v>46061</v>
      </c>
      <c r="D83" t="inlineStr">
        <is>
          <t>STOCKHOLMS LÄN</t>
        </is>
      </c>
      <c r="E83" t="inlineStr">
        <is>
          <t>VALLENTUNA</t>
        </is>
      </c>
      <c r="G83" t="n">
        <v>0.6</v>
      </c>
      <c r="H83" t="n">
        <v>0</v>
      </c>
      <c r="I83" t="n">
        <v>0</v>
      </c>
      <c r="J83" t="n">
        <v>0</v>
      </c>
      <c r="K83" t="n">
        <v>0</v>
      </c>
      <c r="L83" t="n">
        <v>0</v>
      </c>
      <c r="M83" t="n">
        <v>0</v>
      </c>
      <c r="N83" t="n">
        <v>0</v>
      </c>
      <c r="O83" t="n">
        <v>0</v>
      </c>
      <c r="P83" t="n">
        <v>0</v>
      </c>
      <c r="Q83" t="n">
        <v>0</v>
      </c>
      <c r="R83" s="2" t="inlineStr"/>
    </row>
    <row r="84" ht="15" customHeight="1">
      <c r="A84" t="inlineStr">
        <is>
          <t>A 24994-2021</t>
        </is>
      </c>
      <c r="B84" s="1" t="n">
        <v>44341</v>
      </c>
      <c r="C84" s="1" t="n">
        <v>46061</v>
      </c>
      <c r="D84" t="inlineStr">
        <is>
          <t>STOCKHOLMS LÄN</t>
        </is>
      </c>
      <c r="E84" t="inlineStr">
        <is>
          <t>VALLENTUNA</t>
        </is>
      </c>
      <c r="G84" t="n">
        <v>2.6</v>
      </c>
      <c r="H84" t="n">
        <v>0</v>
      </c>
      <c r="I84" t="n">
        <v>0</v>
      </c>
      <c r="J84" t="n">
        <v>0</v>
      </c>
      <c r="K84" t="n">
        <v>0</v>
      </c>
      <c r="L84" t="n">
        <v>0</v>
      </c>
      <c r="M84" t="n">
        <v>0</v>
      </c>
      <c r="N84" t="n">
        <v>0</v>
      </c>
      <c r="O84" t="n">
        <v>0</v>
      </c>
      <c r="P84" t="n">
        <v>0</v>
      </c>
      <c r="Q84" t="n">
        <v>0</v>
      </c>
      <c r="R84" s="2" t="inlineStr"/>
    </row>
    <row r="85" ht="15" customHeight="1">
      <c r="A85" t="inlineStr">
        <is>
          <t>A 60795-2023</t>
        </is>
      </c>
      <c r="B85" s="1" t="n">
        <v>45260</v>
      </c>
      <c r="C85" s="1" t="n">
        <v>46061</v>
      </c>
      <c r="D85" t="inlineStr">
        <is>
          <t>STOCKHOLMS LÄN</t>
        </is>
      </c>
      <c r="E85" t="inlineStr">
        <is>
          <t>VALLENTUNA</t>
        </is>
      </c>
      <c r="G85" t="n">
        <v>2.2</v>
      </c>
      <c r="H85" t="n">
        <v>0</v>
      </c>
      <c r="I85" t="n">
        <v>0</v>
      </c>
      <c r="J85" t="n">
        <v>0</v>
      </c>
      <c r="K85" t="n">
        <v>0</v>
      </c>
      <c r="L85" t="n">
        <v>0</v>
      </c>
      <c r="M85" t="n">
        <v>0</v>
      </c>
      <c r="N85" t="n">
        <v>0</v>
      </c>
      <c r="O85" t="n">
        <v>0</v>
      </c>
      <c r="P85" t="n">
        <v>0</v>
      </c>
      <c r="Q85" t="n">
        <v>0</v>
      </c>
      <c r="R85" s="2" t="inlineStr"/>
    </row>
    <row r="86" ht="15" customHeight="1">
      <c r="A86" t="inlineStr">
        <is>
          <t>A 60997-2022</t>
        </is>
      </c>
      <c r="B86" s="1" t="n">
        <v>44914.70746527778</v>
      </c>
      <c r="C86" s="1" t="n">
        <v>46061</v>
      </c>
      <c r="D86" t="inlineStr">
        <is>
          <t>STOCKHOLMS LÄN</t>
        </is>
      </c>
      <c r="E86" t="inlineStr">
        <is>
          <t>VALLENTUNA</t>
        </is>
      </c>
      <c r="G86" t="n">
        <v>1.8</v>
      </c>
      <c r="H86" t="n">
        <v>0</v>
      </c>
      <c r="I86" t="n">
        <v>0</v>
      </c>
      <c r="J86" t="n">
        <v>0</v>
      </c>
      <c r="K86" t="n">
        <v>0</v>
      </c>
      <c r="L86" t="n">
        <v>0</v>
      </c>
      <c r="M86" t="n">
        <v>0</v>
      </c>
      <c r="N86" t="n">
        <v>0</v>
      </c>
      <c r="O86" t="n">
        <v>0</v>
      </c>
      <c r="P86" t="n">
        <v>0</v>
      </c>
      <c r="Q86" t="n">
        <v>0</v>
      </c>
      <c r="R86" s="2" t="inlineStr"/>
    </row>
    <row r="87" ht="15" customHeight="1">
      <c r="A87" t="inlineStr">
        <is>
          <t>A 27868-2025</t>
        </is>
      </c>
      <c r="B87" s="1" t="n">
        <v>45817</v>
      </c>
      <c r="C87" s="1" t="n">
        <v>46061</v>
      </c>
      <c r="D87" t="inlineStr">
        <is>
          <t>STOCKHOLMS LÄN</t>
        </is>
      </c>
      <c r="E87" t="inlineStr">
        <is>
          <t>VALLENTUNA</t>
        </is>
      </c>
      <c r="G87" t="n">
        <v>2.1</v>
      </c>
      <c r="H87" t="n">
        <v>0</v>
      </c>
      <c r="I87" t="n">
        <v>0</v>
      </c>
      <c r="J87" t="n">
        <v>0</v>
      </c>
      <c r="K87" t="n">
        <v>0</v>
      </c>
      <c r="L87" t="n">
        <v>0</v>
      </c>
      <c r="M87" t="n">
        <v>0</v>
      </c>
      <c r="N87" t="n">
        <v>0</v>
      </c>
      <c r="O87" t="n">
        <v>0</v>
      </c>
      <c r="P87" t="n">
        <v>0</v>
      </c>
      <c r="Q87" t="n">
        <v>0</v>
      </c>
      <c r="R87" s="2" t="inlineStr"/>
    </row>
    <row r="88" ht="15" customHeight="1">
      <c r="A88" t="inlineStr">
        <is>
          <t>A 54460-2025</t>
        </is>
      </c>
      <c r="B88" s="1" t="n">
        <v>45965.56219907408</v>
      </c>
      <c r="C88" s="1" t="n">
        <v>46061</v>
      </c>
      <c r="D88" t="inlineStr">
        <is>
          <t>STOCKHOLMS LÄN</t>
        </is>
      </c>
      <c r="E88" t="inlineStr">
        <is>
          <t>VALLENTUNA</t>
        </is>
      </c>
      <c r="G88" t="n">
        <v>22.9</v>
      </c>
      <c r="H88" t="n">
        <v>0</v>
      </c>
      <c r="I88" t="n">
        <v>0</v>
      </c>
      <c r="J88" t="n">
        <v>0</v>
      </c>
      <c r="K88" t="n">
        <v>0</v>
      </c>
      <c r="L88" t="n">
        <v>0</v>
      </c>
      <c r="M88" t="n">
        <v>0</v>
      </c>
      <c r="N88" t="n">
        <v>0</v>
      </c>
      <c r="O88" t="n">
        <v>0</v>
      </c>
      <c r="P88" t="n">
        <v>0</v>
      </c>
      <c r="Q88" t="n">
        <v>0</v>
      </c>
      <c r="R88" s="2" t="inlineStr"/>
    </row>
    <row r="89" ht="15" customHeight="1">
      <c r="A89" t="inlineStr">
        <is>
          <t>A 54466-2025</t>
        </is>
      </c>
      <c r="B89" s="1" t="n">
        <v>45965.56984953704</v>
      </c>
      <c r="C89" s="1" t="n">
        <v>46061</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44346-2021</t>
        </is>
      </c>
      <c r="B90" s="1" t="n">
        <v>44434</v>
      </c>
      <c r="C90" s="1" t="n">
        <v>46061</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14775-2024</t>
        </is>
      </c>
      <c r="B91" s="1" t="n">
        <v>45397.73675925926</v>
      </c>
      <c r="C91" s="1" t="n">
        <v>46061</v>
      </c>
      <c r="D91" t="inlineStr">
        <is>
          <t>STOCKHOLMS LÄN</t>
        </is>
      </c>
      <c r="E91" t="inlineStr">
        <is>
          <t>VALLENTUNA</t>
        </is>
      </c>
      <c r="G91" t="n">
        <v>1.7</v>
      </c>
      <c r="H91" t="n">
        <v>0</v>
      </c>
      <c r="I91" t="n">
        <v>0</v>
      </c>
      <c r="J91" t="n">
        <v>0</v>
      </c>
      <c r="K91" t="n">
        <v>0</v>
      </c>
      <c r="L91" t="n">
        <v>0</v>
      </c>
      <c r="M91" t="n">
        <v>0</v>
      </c>
      <c r="N91" t="n">
        <v>0</v>
      </c>
      <c r="O91" t="n">
        <v>0</v>
      </c>
      <c r="P91" t="n">
        <v>0</v>
      </c>
      <c r="Q91" t="n">
        <v>0</v>
      </c>
      <c r="R91" s="2" t="inlineStr"/>
    </row>
    <row r="92" ht="15" customHeight="1">
      <c r="A92" t="inlineStr">
        <is>
          <t>A 8565-2025</t>
        </is>
      </c>
      <c r="B92" s="1" t="n">
        <v>45709</v>
      </c>
      <c r="C92" s="1" t="n">
        <v>46061</v>
      </c>
      <c r="D92" t="inlineStr">
        <is>
          <t>STOCKHOLMS LÄN</t>
        </is>
      </c>
      <c r="E92" t="inlineStr">
        <is>
          <t>VALLENTUNA</t>
        </is>
      </c>
      <c r="F92" t="inlineStr">
        <is>
          <t>Kommuner</t>
        </is>
      </c>
      <c r="G92" t="n">
        <v>4.2</v>
      </c>
      <c r="H92" t="n">
        <v>0</v>
      </c>
      <c r="I92" t="n">
        <v>0</v>
      </c>
      <c r="J92" t="n">
        <v>0</v>
      </c>
      <c r="K92" t="n">
        <v>0</v>
      </c>
      <c r="L92" t="n">
        <v>0</v>
      </c>
      <c r="M92" t="n">
        <v>0</v>
      </c>
      <c r="N92" t="n">
        <v>0</v>
      </c>
      <c r="O92" t="n">
        <v>0</v>
      </c>
      <c r="P92" t="n">
        <v>0</v>
      </c>
      <c r="Q92" t="n">
        <v>0</v>
      </c>
      <c r="R92" s="2" t="inlineStr"/>
    </row>
    <row r="93" ht="15" customHeight="1">
      <c r="A93" t="inlineStr">
        <is>
          <t>A 8787-2024</t>
        </is>
      </c>
      <c r="B93" s="1" t="n">
        <v>45356</v>
      </c>
      <c r="C93" s="1" t="n">
        <v>46061</v>
      </c>
      <c r="D93" t="inlineStr">
        <is>
          <t>STOCKHOLMS LÄN</t>
        </is>
      </c>
      <c r="E93" t="inlineStr">
        <is>
          <t>VALLENTUNA</t>
        </is>
      </c>
      <c r="G93" t="n">
        <v>1.2</v>
      </c>
      <c r="H93" t="n">
        <v>0</v>
      </c>
      <c r="I93" t="n">
        <v>0</v>
      </c>
      <c r="J93" t="n">
        <v>0</v>
      </c>
      <c r="K93" t="n">
        <v>0</v>
      </c>
      <c r="L93" t="n">
        <v>0</v>
      </c>
      <c r="M93" t="n">
        <v>0</v>
      </c>
      <c r="N93" t="n">
        <v>0</v>
      </c>
      <c r="O93" t="n">
        <v>0</v>
      </c>
      <c r="P93" t="n">
        <v>0</v>
      </c>
      <c r="Q93" t="n">
        <v>0</v>
      </c>
      <c r="R93" s="2" t="inlineStr"/>
    </row>
    <row r="94" ht="15" customHeight="1">
      <c r="A94" t="inlineStr">
        <is>
          <t>A 14782-2024</t>
        </is>
      </c>
      <c r="B94" s="1" t="n">
        <v>45397.74266203704</v>
      </c>
      <c r="C94" s="1" t="n">
        <v>46061</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52562-2023</t>
        </is>
      </c>
      <c r="B95" s="1" t="n">
        <v>45225</v>
      </c>
      <c r="C95" s="1" t="n">
        <v>46061</v>
      </c>
      <c r="D95" t="inlineStr">
        <is>
          <t>STOCKHOLMS LÄN</t>
        </is>
      </c>
      <c r="E95" t="inlineStr">
        <is>
          <t>VALLENTUNA</t>
        </is>
      </c>
      <c r="G95" t="n">
        <v>3.4</v>
      </c>
      <c r="H95" t="n">
        <v>0</v>
      </c>
      <c r="I95" t="n">
        <v>0</v>
      </c>
      <c r="J95" t="n">
        <v>0</v>
      </c>
      <c r="K95" t="n">
        <v>0</v>
      </c>
      <c r="L95" t="n">
        <v>0</v>
      </c>
      <c r="M95" t="n">
        <v>0</v>
      </c>
      <c r="N95" t="n">
        <v>0</v>
      </c>
      <c r="O95" t="n">
        <v>0</v>
      </c>
      <c r="P95" t="n">
        <v>0</v>
      </c>
      <c r="Q95" t="n">
        <v>0</v>
      </c>
      <c r="R95" s="2" t="inlineStr"/>
    </row>
    <row r="96" ht="15" customHeight="1">
      <c r="A96" t="inlineStr">
        <is>
          <t>A 49530-2023</t>
        </is>
      </c>
      <c r="B96" s="1" t="n">
        <v>45205</v>
      </c>
      <c r="C96" s="1" t="n">
        <v>46061</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52542-2023</t>
        </is>
      </c>
      <c r="B97" s="1" t="n">
        <v>45225</v>
      </c>
      <c r="C97" s="1" t="n">
        <v>46061</v>
      </c>
      <c r="D97" t="inlineStr">
        <is>
          <t>STOCKHOLMS LÄN</t>
        </is>
      </c>
      <c r="E97" t="inlineStr">
        <is>
          <t>VALLENTUNA</t>
        </is>
      </c>
      <c r="G97" t="n">
        <v>3.8</v>
      </c>
      <c r="H97" t="n">
        <v>0</v>
      </c>
      <c r="I97" t="n">
        <v>0</v>
      </c>
      <c r="J97" t="n">
        <v>0</v>
      </c>
      <c r="K97" t="n">
        <v>0</v>
      </c>
      <c r="L97" t="n">
        <v>0</v>
      </c>
      <c r="M97" t="n">
        <v>0</v>
      </c>
      <c r="N97" t="n">
        <v>0</v>
      </c>
      <c r="O97" t="n">
        <v>0</v>
      </c>
      <c r="P97" t="n">
        <v>0</v>
      </c>
      <c r="Q97" t="n">
        <v>0</v>
      </c>
      <c r="R97" s="2" t="inlineStr"/>
    </row>
    <row r="98" ht="15" customHeight="1">
      <c r="A98" t="inlineStr">
        <is>
          <t>A 2318-2024</t>
        </is>
      </c>
      <c r="B98" s="1" t="n">
        <v>45310</v>
      </c>
      <c r="C98" s="1" t="n">
        <v>46061</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9063-2024</t>
        </is>
      </c>
      <c r="B99" s="1" t="n">
        <v>45357.72652777778</v>
      </c>
      <c r="C99" s="1" t="n">
        <v>46061</v>
      </c>
      <c r="D99" t="inlineStr">
        <is>
          <t>STOCKHOLMS LÄN</t>
        </is>
      </c>
      <c r="E99" t="inlineStr">
        <is>
          <t>VALLENTUNA</t>
        </is>
      </c>
      <c r="G99" t="n">
        <v>4.1</v>
      </c>
      <c r="H99" t="n">
        <v>0</v>
      </c>
      <c r="I99" t="n">
        <v>0</v>
      </c>
      <c r="J99" t="n">
        <v>0</v>
      </c>
      <c r="K99" t="n">
        <v>0</v>
      </c>
      <c r="L99" t="n">
        <v>0</v>
      </c>
      <c r="M99" t="n">
        <v>0</v>
      </c>
      <c r="N99" t="n">
        <v>0</v>
      </c>
      <c r="O99" t="n">
        <v>0</v>
      </c>
      <c r="P99" t="n">
        <v>0</v>
      </c>
      <c r="Q99" t="n">
        <v>0</v>
      </c>
      <c r="R99" s="2" t="inlineStr"/>
    </row>
    <row r="100" ht="15" customHeight="1">
      <c r="A100" t="inlineStr">
        <is>
          <t>A 414-2026</t>
        </is>
      </c>
      <c r="B100" s="1" t="n">
        <v>46028.76050925926</v>
      </c>
      <c r="C100" s="1" t="n">
        <v>46061</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21445-2023</t>
        </is>
      </c>
      <c r="B101" s="1" t="n">
        <v>45063</v>
      </c>
      <c r="C101" s="1" t="n">
        <v>46061</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34441-2023</t>
        </is>
      </c>
      <c r="B102" s="1" t="n">
        <v>45139</v>
      </c>
      <c r="C102" s="1" t="n">
        <v>46061</v>
      </c>
      <c r="D102" t="inlineStr">
        <is>
          <t>STOCKHOLMS LÄN</t>
        </is>
      </c>
      <c r="E102" t="inlineStr">
        <is>
          <t>VALLENTUNA</t>
        </is>
      </c>
      <c r="G102" t="n">
        <v>1.6</v>
      </c>
      <c r="H102" t="n">
        <v>0</v>
      </c>
      <c r="I102" t="n">
        <v>0</v>
      </c>
      <c r="J102" t="n">
        <v>0</v>
      </c>
      <c r="K102" t="n">
        <v>0</v>
      </c>
      <c r="L102" t="n">
        <v>0</v>
      </c>
      <c r="M102" t="n">
        <v>0</v>
      </c>
      <c r="N102" t="n">
        <v>0</v>
      </c>
      <c r="O102" t="n">
        <v>0</v>
      </c>
      <c r="P102" t="n">
        <v>0</v>
      </c>
      <c r="Q102" t="n">
        <v>0</v>
      </c>
      <c r="R102" s="2" t="inlineStr"/>
    </row>
    <row r="103" ht="15" customHeight="1">
      <c r="A103" t="inlineStr">
        <is>
          <t>A 34445-2023</t>
        </is>
      </c>
      <c r="B103" s="1" t="n">
        <v>45139</v>
      </c>
      <c r="C103" s="1" t="n">
        <v>46061</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27870-2025</t>
        </is>
      </c>
      <c r="B104" s="1" t="n">
        <v>45817</v>
      </c>
      <c r="C104" s="1" t="n">
        <v>46061</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735-2024</t>
        </is>
      </c>
      <c r="B105" s="1" t="n">
        <v>45300</v>
      </c>
      <c r="C105" s="1" t="n">
        <v>46061</v>
      </c>
      <c r="D105" t="inlineStr">
        <is>
          <t>STOCKHOLMS LÄN</t>
        </is>
      </c>
      <c r="E105" t="inlineStr">
        <is>
          <t>VALLENTUNA</t>
        </is>
      </c>
      <c r="G105" t="n">
        <v>1.7</v>
      </c>
      <c r="H105" t="n">
        <v>0</v>
      </c>
      <c r="I105" t="n">
        <v>0</v>
      </c>
      <c r="J105" t="n">
        <v>0</v>
      </c>
      <c r="K105" t="n">
        <v>0</v>
      </c>
      <c r="L105" t="n">
        <v>0</v>
      </c>
      <c r="M105" t="n">
        <v>0</v>
      </c>
      <c r="N105" t="n">
        <v>0</v>
      </c>
      <c r="O105" t="n">
        <v>0</v>
      </c>
      <c r="P105" t="n">
        <v>0</v>
      </c>
      <c r="Q105" t="n">
        <v>0</v>
      </c>
      <c r="R105" s="2" t="inlineStr"/>
    </row>
    <row r="106" ht="15" customHeight="1">
      <c r="A106" t="inlineStr">
        <is>
          <t>A 12585-2023</t>
        </is>
      </c>
      <c r="B106" s="1" t="n">
        <v>45000.41373842592</v>
      </c>
      <c r="C106" s="1" t="n">
        <v>46061</v>
      </c>
      <c r="D106" t="inlineStr">
        <is>
          <t>STOCKHOLMS LÄN</t>
        </is>
      </c>
      <c r="E106" t="inlineStr">
        <is>
          <t>VALLENTUNA</t>
        </is>
      </c>
      <c r="G106" t="n">
        <v>3.7</v>
      </c>
      <c r="H106" t="n">
        <v>0</v>
      </c>
      <c r="I106" t="n">
        <v>0</v>
      </c>
      <c r="J106" t="n">
        <v>0</v>
      </c>
      <c r="K106" t="n">
        <v>0</v>
      </c>
      <c r="L106" t="n">
        <v>0</v>
      </c>
      <c r="M106" t="n">
        <v>0</v>
      </c>
      <c r="N106" t="n">
        <v>0</v>
      </c>
      <c r="O106" t="n">
        <v>0</v>
      </c>
      <c r="P106" t="n">
        <v>0</v>
      </c>
      <c r="Q106" t="n">
        <v>0</v>
      </c>
      <c r="R106" s="2" t="inlineStr"/>
    </row>
    <row r="107" ht="15" customHeight="1">
      <c r="A107" t="inlineStr">
        <is>
          <t>A 8077-2022</t>
        </is>
      </c>
      <c r="B107" s="1" t="n">
        <v>44609</v>
      </c>
      <c r="C107" s="1" t="n">
        <v>46061</v>
      </c>
      <c r="D107" t="inlineStr">
        <is>
          <t>STOCKHOLMS LÄN</t>
        </is>
      </c>
      <c r="E107" t="inlineStr">
        <is>
          <t>VALLENTUNA</t>
        </is>
      </c>
      <c r="G107" t="n">
        <v>1.3</v>
      </c>
      <c r="H107" t="n">
        <v>0</v>
      </c>
      <c r="I107" t="n">
        <v>0</v>
      </c>
      <c r="J107" t="n">
        <v>0</v>
      </c>
      <c r="K107" t="n">
        <v>0</v>
      </c>
      <c r="L107" t="n">
        <v>0</v>
      </c>
      <c r="M107" t="n">
        <v>0</v>
      </c>
      <c r="N107" t="n">
        <v>0</v>
      </c>
      <c r="O107" t="n">
        <v>0</v>
      </c>
      <c r="P107" t="n">
        <v>0</v>
      </c>
      <c r="Q107" t="n">
        <v>0</v>
      </c>
      <c r="R107" s="2" t="inlineStr"/>
    </row>
    <row r="108" ht="15" customHeight="1">
      <c r="A108" t="inlineStr">
        <is>
          <t>A 47140-2024</t>
        </is>
      </c>
      <c r="B108" s="1" t="n">
        <v>45586.58753472222</v>
      </c>
      <c r="C108" s="1" t="n">
        <v>46061</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61646-2025</t>
        </is>
      </c>
      <c r="B109" s="1" t="n">
        <v>46002</v>
      </c>
      <c r="C109" s="1" t="n">
        <v>46061</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6298-2026</t>
        </is>
      </c>
      <c r="B110" s="1" t="n">
        <v>46055.5656712963</v>
      </c>
      <c r="C110" s="1" t="n">
        <v>46061</v>
      </c>
      <c r="D110" t="inlineStr">
        <is>
          <t>STOCKHOLMS LÄN</t>
        </is>
      </c>
      <c r="E110" t="inlineStr">
        <is>
          <t>VALLENTUNA</t>
        </is>
      </c>
      <c r="G110" t="n">
        <v>3.3</v>
      </c>
      <c r="H110" t="n">
        <v>0</v>
      </c>
      <c r="I110" t="n">
        <v>0</v>
      </c>
      <c r="J110" t="n">
        <v>0</v>
      </c>
      <c r="K110" t="n">
        <v>0</v>
      </c>
      <c r="L110" t="n">
        <v>0</v>
      </c>
      <c r="M110" t="n">
        <v>0</v>
      </c>
      <c r="N110" t="n">
        <v>0</v>
      </c>
      <c r="O110" t="n">
        <v>0</v>
      </c>
      <c r="P110" t="n">
        <v>0</v>
      </c>
      <c r="Q110" t="n">
        <v>0</v>
      </c>
      <c r="R110" s="2" t="inlineStr"/>
    </row>
    <row r="111" ht="15" customHeight="1">
      <c r="A111" t="inlineStr">
        <is>
          <t>A 21765-2023</t>
        </is>
      </c>
      <c r="B111" s="1" t="n">
        <v>45064</v>
      </c>
      <c r="C111" s="1" t="n">
        <v>46061</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21614-2022</t>
        </is>
      </c>
      <c r="B112" s="1" t="n">
        <v>44706</v>
      </c>
      <c r="C112" s="1" t="n">
        <v>46061</v>
      </c>
      <c r="D112" t="inlineStr">
        <is>
          <t>STOCKHOLMS LÄN</t>
        </is>
      </c>
      <c r="E112" t="inlineStr">
        <is>
          <t>VALLENTUNA</t>
        </is>
      </c>
      <c r="G112" t="n">
        <v>4</v>
      </c>
      <c r="H112" t="n">
        <v>0</v>
      </c>
      <c r="I112" t="n">
        <v>0</v>
      </c>
      <c r="J112" t="n">
        <v>0</v>
      </c>
      <c r="K112" t="n">
        <v>0</v>
      </c>
      <c r="L112" t="n">
        <v>0</v>
      </c>
      <c r="M112" t="n">
        <v>0</v>
      </c>
      <c r="N112" t="n">
        <v>0</v>
      </c>
      <c r="O112" t="n">
        <v>0</v>
      </c>
      <c r="P112" t="n">
        <v>0</v>
      </c>
      <c r="Q112" t="n">
        <v>0</v>
      </c>
      <c r="R112" s="2" t="inlineStr"/>
    </row>
    <row r="113" ht="15" customHeight="1">
      <c r="A113" t="inlineStr">
        <is>
          <t>A 23986-2023</t>
        </is>
      </c>
      <c r="B113" s="1" t="n">
        <v>45078</v>
      </c>
      <c r="C113" s="1" t="n">
        <v>46061</v>
      </c>
      <c r="D113" t="inlineStr">
        <is>
          <t>STOCKHOLMS LÄN</t>
        </is>
      </c>
      <c r="E113" t="inlineStr">
        <is>
          <t>VALLENTUNA</t>
        </is>
      </c>
      <c r="F113" t="inlineStr">
        <is>
          <t>Kyrkan</t>
        </is>
      </c>
      <c r="G113" t="n">
        <v>5.7</v>
      </c>
      <c r="H113" t="n">
        <v>0</v>
      </c>
      <c r="I113" t="n">
        <v>0</v>
      </c>
      <c r="J113" t="n">
        <v>0</v>
      </c>
      <c r="K113" t="n">
        <v>0</v>
      </c>
      <c r="L113" t="n">
        <v>0</v>
      </c>
      <c r="M113" t="n">
        <v>0</v>
      </c>
      <c r="N113" t="n">
        <v>0</v>
      </c>
      <c r="O113" t="n">
        <v>0</v>
      </c>
      <c r="P113" t="n">
        <v>0</v>
      </c>
      <c r="Q113" t="n">
        <v>0</v>
      </c>
      <c r="R113" s="2" t="inlineStr"/>
    </row>
    <row r="114" ht="15" customHeight="1">
      <c r="A114" t="inlineStr">
        <is>
          <t>A 24068-2024</t>
        </is>
      </c>
      <c r="B114" s="1" t="n">
        <v>45456</v>
      </c>
      <c r="C114" s="1" t="n">
        <v>46061</v>
      </c>
      <c r="D114" t="inlineStr">
        <is>
          <t>STOCKHOLMS LÄN</t>
        </is>
      </c>
      <c r="E114" t="inlineStr">
        <is>
          <t>VALLENTUNA</t>
        </is>
      </c>
      <c r="G114" t="n">
        <v>7.4</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46061</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46061</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3078-2023</t>
        </is>
      </c>
      <c r="B117" s="1" t="n">
        <v>44946.41527777778</v>
      </c>
      <c r="C117" s="1" t="n">
        <v>46061</v>
      </c>
      <c r="D117" t="inlineStr">
        <is>
          <t>STOCKHOLMS LÄN</t>
        </is>
      </c>
      <c r="E117" t="inlineStr">
        <is>
          <t>VALLENTUNA</t>
        </is>
      </c>
      <c r="G117" t="n">
        <v>3.9</v>
      </c>
      <c r="H117" t="n">
        <v>0</v>
      </c>
      <c r="I117" t="n">
        <v>0</v>
      </c>
      <c r="J117" t="n">
        <v>0</v>
      </c>
      <c r="K117" t="n">
        <v>0</v>
      </c>
      <c r="L117" t="n">
        <v>0</v>
      </c>
      <c r="M117" t="n">
        <v>0</v>
      </c>
      <c r="N117" t="n">
        <v>0</v>
      </c>
      <c r="O117" t="n">
        <v>0</v>
      </c>
      <c r="P117" t="n">
        <v>0</v>
      </c>
      <c r="Q117" t="n">
        <v>0</v>
      </c>
      <c r="R117" s="2" t="inlineStr"/>
    </row>
    <row r="118" ht="15" customHeight="1">
      <c r="A118" t="inlineStr">
        <is>
          <t>A 6593-2021</t>
        </is>
      </c>
      <c r="B118" s="1" t="n">
        <v>44236</v>
      </c>
      <c r="C118" s="1" t="n">
        <v>46061</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19503-2023</t>
        </is>
      </c>
      <c r="B119" s="1" t="n">
        <v>45050.47333333334</v>
      </c>
      <c r="C119" s="1" t="n">
        <v>46061</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4803-2024</t>
        </is>
      </c>
      <c r="B120" s="1" t="n">
        <v>45328</v>
      </c>
      <c r="C120" s="1" t="n">
        <v>46061</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46061</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46061</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46061</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24943-2024</t>
        </is>
      </c>
      <c r="B124" s="1" t="n">
        <v>45461.62585648148</v>
      </c>
      <c r="C124" s="1" t="n">
        <v>46061</v>
      </c>
      <c r="D124" t="inlineStr">
        <is>
          <t>STOCKHOLMS LÄN</t>
        </is>
      </c>
      <c r="E124" t="inlineStr">
        <is>
          <t>VALLENTUNA</t>
        </is>
      </c>
      <c r="G124" t="n">
        <v>2</v>
      </c>
      <c r="H124" t="n">
        <v>0</v>
      </c>
      <c r="I124" t="n">
        <v>0</v>
      </c>
      <c r="J124" t="n">
        <v>0</v>
      </c>
      <c r="K124" t="n">
        <v>0</v>
      </c>
      <c r="L124" t="n">
        <v>0</v>
      </c>
      <c r="M124" t="n">
        <v>0</v>
      </c>
      <c r="N124" t="n">
        <v>0</v>
      </c>
      <c r="O124" t="n">
        <v>0</v>
      </c>
      <c r="P124" t="n">
        <v>0</v>
      </c>
      <c r="Q124" t="n">
        <v>0</v>
      </c>
      <c r="R124" s="2" t="inlineStr"/>
    </row>
    <row r="125" ht="15" customHeight="1">
      <c r="A125" t="inlineStr">
        <is>
          <t>A 22683-2023</t>
        </is>
      </c>
      <c r="B125" s="1" t="n">
        <v>45071</v>
      </c>
      <c r="C125" s="1" t="n">
        <v>46061</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46061</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46061</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60818-2023</t>
        </is>
      </c>
      <c r="B128" s="1" t="n">
        <v>45259</v>
      </c>
      <c r="C128" s="1" t="n">
        <v>46061</v>
      </c>
      <c r="D128" t="inlineStr">
        <is>
          <t>STOCKHOLMS LÄN</t>
        </is>
      </c>
      <c r="E128" t="inlineStr">
        <is>
          <t>VALLENTUNA</t>
        </is>
      </c>
      <c r="G128" t="n">
        <v>9.4</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46061</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19356-2025</t>
        </is>
      </c>
      <c r="B130" s="1" t="n">
        <v>45769.62061342593</v>
      </c>
      <c r="C130" s="1" t="n">
        <v>46061</v>
      </c>
      <c r="D130" t="inlineStr">
        <is>
          <t>STOCKHOLMS LÄN</t>
        </is>
      </c>
      <c r="E130" t="inlineStr">
        <is>
          <t>VALLENTUNA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11950-2025</t>
        </is>
      </c>
      <c r="B131" s="1" t="n">
        <v>45728.55622685186</v>
      </c>
      <c r="C131" s="1" t="n">
        <v>46061</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14489-2024</t>
        </is>
      </c>
      <c r="B132" s="1" t="n">
        <v>45394.58053240741</v>
      </c>
      <c r="C132" s="1" t="n">
        <v>46061</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46061</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61442-2024</t>
        </is>
      </c>
      <c r="B134" s="1" t="n">
        <v>45646.47003472222</v>
      </c>
      <c r="C134" s="1" t="n">
        <v>46061</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48068-2021</t>
        </is>
      </c>
      <c r="B135" s="1" t="n">
        <v>44449.42270833333</v>
      </c>
      <c r="C135" s="1" t="n">
        <v>46061</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45499-2023</t>
        </is>
      </c>
      <c r="B136" s="1" t="n">
        <v>45194</v>
      </c>
      <c r="C136" s="1" t="n">
        <v>46061</v>
      </c>
      <c r="D136" t="inlineStr">
        <is>
          <t>STOCKHOLMS LÄN</t>
        </is>
      </c>
      <c r="E136" t="inlineStr">
        <is>
          <t>VALLENTUNA</t>
        </is>
      </c>
      <c r="G136" t="n">
        <v>2.5</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46061</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20791-2025</t>
        </is>
      </c>
      <c r="B138" s="1" t="n">
        <v>45776.62738425926</v>
      </c>
      <c r="C138" s="1" t="n">
        <v>46061</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10073-2024</t>
        </is>
      </c>
      <c r="B139" s="1" t="n">
        <v>45364.40821759259</v>
      </c>
      <c r="C139" s="1" t="n">
        <v>46061</v>
      </c>
      <c r="D139" t="inlineStr">
        <is>
          <t>STOCKHOLMS LÄN</t>
        </is>
      </c>
      <c r="E139" t="inlineStr">
        <is>
          <t>VALLENTUNA</t>
        </is>
      </c>
      <c r="G139" t="n">
        <v>1.1</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46061</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46061</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23009-2024</t>
        </is>
      </c>
      <c r="B142" s="1" t="n">
        <v>45450.34506944445</v>
      </c>
      <c r="C142" s="1" t="n">
        <v>46061</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row r="143" ht="15" customHeight="1">
      <c r="A143" t="inlineStr">
        <is>
          <t>A 61027-2023</t>
        </is>
      </c>
      <c r="B143" s="1" t="n">
        <v>45261</v>
      </c>
      <c r="C143" s="1" t="n">
        <v>46061</v>
      </c>
      <c r="D143" t="inlineStr">
        <is>
          <t>STOCKHOLMS LÄN</t>
        </is>
      </c>
      <c r="E143" t="inlineStr">
        <is>
          <t>VALLENTUNA</t>
        </is>
      </c>
      <c r="G143" t="n">
        <v>7.1</v>
      </c>
      <c r="H143" t="n">
        <v>0</v>
      </c>
      <c r="I143" t="n">
        <v>0</v>
      </c>
      <c r="J143" t="n">
        <v>0</v>
      </c>
      <c r="K143" t="n">
        <v>0</v>
      </c>
      <c r="L143" t="n">
        <v>0</v>
      </c>
      <c r="M143" t="n">
        <v>0</v>
      </c>
      <c r="N143" t="n">
        <v>0</v>
      </c>
      <c r="O143" t="n">
        <v>0</v>
      </c>
      <c r="P143" t="n">
        <v>0</v>
      </c>
      <c r="Q143" t="n">
        <v>0</v>
      </c>
      <c r="R143" s="2" t="inlineStr"/>
    </row>
    <row r="144">
      <c r="A144" t="inlineStr">
        <is>
          <t>A 23923-2025</t>
        </is>
      </c>
      <c r="B144" s="1" t="n">
        <v>45795.39648148148</v>
      </c>
      <c r="C144" s="1" t="n">
        <v>46061</v>
      </c>
      <c r="D144" t="inlineStr">
        <is>
          <t>STOCKHOLMS LÄN</t>
        </is>
      </c>
      <c r="E144" t="inlineStr">
        <is>
          <t>VALLENTUNA</t>
        </is>
      </c>
      <c r="G144" t="n">
        <v>2.3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2026-02-08T10:57:39Z</dcterms:created>
  <dcterms:modified xmlns:dcterms="http://purl.org/dc/terms/" xmlns:xsi="http://www.w3.org/2001/XMLSchema-instance" xsi:type="dcterms:W3CDTF">2026-02-08T10:57:39Z</dcterms:modified>
</cp:coreProperties>
</file>