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45895</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45895</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45895</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45895</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45895</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45895</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45895</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45895</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45895</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45895</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45895</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45895</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45895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45895</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45895</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45895</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45895</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45895</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22830-2024</t>
        </is>
      </c>
      <c r="B26" s="1" t="n">
        <v>45448.56583333333</v>
      </c>
      <c r="C26" s="1" t="n">
        <v>45895</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22936-2025</t>
        </is>
      </c>
      <c r="B27" s="1" t="n">
        <v>45790.45738425926</v>
      </c>
      <c r="C27" s="1" t="n">
        <v>45895</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45895</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17341-2025</t>
        </is>
      </c>
      <c r="B29" s="1" t="n">
        <v>45756</v>
      </c>
      <c r="C29" s="1" t="n">
        <v>45895</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8946-2025</t>
        </is>
      </c>
      <c r="B30" s="1" t="n">
        <v>45712</v>
      </c>
      <c r="C30" s="1" t="n">
        <v>45895</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27870-2025</t>
        </is>
      </c>
      <c r="B31" s="1" t="n">
        <v>45817</v>
      </c>
      <c r="C31" s="1" t="n">
        <v>45895</v>
      </c>
      <c r="D31" t="inlineStr">
        <is>
          <t>STOCKHOLMS LÄN</t>
        </is>
      </c>
      <c r="E31" t="inlineStr">
        <is>
          <t>VALLENTUNA</t>
        </is>
      </c>
      <c r="G31" t="n">
        <v>5</v>
      </c>
      <c r="H31" t="n">
        <v>0</v>
      </c>
      <c r="I31" t="n">
        <v>0</v>
      </c>
      <c r="J31" t="n">
        <v>1</v>
      </c>
      <c r="K31" t="n">
        <v>0</v>
      </c>
      <c r="L31" t="n">
        <v>0</v>
      </c>
      <c r="M31" t="n">
        <v>0</v>
      </c>
      <c r="N31" t="n">
        <v>0</v>
      </c>
      <c r="O31" t="n">
        <v>1</v>
      </c>
      <c r="P31" t="n">
        <v>0</v>
      </c>
      <c r="Q31" t="n">
        <v>1</v>
      </c>
      <c r="R31" s="2" t="inlineStr">
        <is>
          <t>Bronspraktbagge</t>
        </is>
      </c>
      <c r="S31">
        <f>HYPERLINK("https://klasma.github.io/Logging_0115/artfynd/A 27870-2025 artfynd.xlsx", "A 27870-2025")</f>
        <v/>
      </c>
      <c r="T31">
        <f>HYPERLINK("https://klasma.github.io/Logging_0115/kartor/A 27870-2025 karta.png", "A 27870-2025")</f>
        <v/>
      </c>
      <c r="V31">
        <f>HYPERLINK("https://klasma.github.io/Logging_0115/klagomål/A 27870-2025 FSC-klagomål.docx", "A 27870-2025")</f>
        <v/>
      </c>
      <c r="W31">
        <f>HYPERLINK("https://klasma.github.io/Logging_0115/klagomålsmail/A 27870-2025 FSC-klagomål mail.docx", "A 27870-2025")</f>
        <v/>
      </c>
      <c r="X31">
        <f>HYPERLINK("https://klasma.github.io/Logging_0115/tillsyn/A 27870-2025 tillsynsbegäran.docx", "A 27870-2025")</f>
        <v/>
      </c>
      <c r="Y31">
        <f>HYPERLINK("https://klasma.github.io/Logging_0115/tillsynsmail/A 27870-2025 tillsynsbegäran mail.docx", "A 27870-2025")</f>
        <v/>
      </c>
    </row>
    <row r="32" ht="15" customHeight="1">
      <c r="A32" t="inlineStr">
        <is>
          <t>A 7890-2023</t>
        </is>
      </c>
      <c r="B32" s="1" t="n">
        <v>44973</v>
      </c>
      <c r="C32" s="1" t="n">
        <v>45895</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45895</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45895</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45895</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45895</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45895</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45895</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45895</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45895</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45895</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45895</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45895</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45895</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45895</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45895</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45895</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45895</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45895</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45895</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45895</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45895</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45895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45895</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45895</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45895</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17340-2025</t>
        </is>
      </c>
      <c r="B58" s="1" t="n">
        <v>45756</v>
      </c>
      <c r="C58" s="1" t="n">
        <v>45895</v>
      </c>
      <c r="D58" t="inlineStr">
        <is>
          <t>STOCKHOLMS LÄN</t>
        </is>
      </c>
      <c r="E58" t="inlineStr">
        <is>
          <t>VALLENTUNA</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45895</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45895</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45895</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10073-2024</t>
        </is>
      </c>
      <c r="B62" s="1" t="n">
        <v>45364.40821759259</v>
      </c>
      <c r="C62" s="1" t="n">
        <v>45895</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20789-2025</t>
        </is>
      </c>
      <c r="B63" s="1" t="n">
        <v>45776.62518518518</v>
      </c>
      <c r="C63" s="1" t="n">
        <v>45895</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45895</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45895</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47204-2024</t>
        </is>
      </c>
      <c r="B66" s="1" t="n">
        <v>45586.63575231482</v>
      </c>
      <c r="C66" s="1" t="n">
        <v>45895</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12621-2024</t>
        </is>
      </c>
      <c r="B67" s="1" t="n">
        <v>45383.6325</v>
      </c>
      <c r="C67" s="1" t="n">
        <v>45895</v>
      </c>
      <c r="D67" t="inlineStr">
        <is>
          <t>STOCKHOLMS LÄN</t>
        </is>
      </c>
      <c r="E67" t="inlineStr">
        <is>
          <t>VALLENTUNA</t>
        </is>
      </c>
      <c r="G67" t="n">
        <v>4.4</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45895</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24707-2023</t>
        </is>
      </c>
      <c r="B69" s="1" t="n">
        <v>45084</v>
      </c>
      <c r="C69" s="1" t="n">
        <v>45895</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45895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45895</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46381-2023</t>
        </is>
      </c>
      <c r="B72" s="1" t="n">
        <v>45193</v>
      </c>
      <c r="C72" s="1" t="n">
        <v>45895</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47140-2024</t>
        </is>
      </c>
      <c r="B73" s="1" t="n">
        <v>45586.58753472222</v>
      </c>
      <c r="C73" s="1" t="n">
        <v>45895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45895</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45895</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8565-2025</t>
        </is>
      </c>
      <c r="B76" s="1" t="n">
        <v>45709</v>
      </c>
      <c r="C76" s="1" t="n">
        <v>45895</v>
      </c>
      <c r="D76" t="inlineStr">
        <is>
          <t>STOCKHOLMS LÄN</t>
        </is>
      </c>
      <c r="E76" t="inlineStr">
        <is>
          <t>VALLENTUNA</t>
        </is>
      </c>
      <c r="F76" t="inlineStr">
        <is>
          <t>Kommuner</t>
        </is>
      </c>
      <c r="G76" t="n">
        <v>4.2</v>
      </c>
      <c r="H76" t="n">
        <v>0</v>
      </c>
      <c r="I76" t="n">
        <v>0</v>
      </c>
      <c r="J76" t="n">
        <v>0</v>
      </c>
      <c r="K76" t="n">
        <v>0</v>
      </c>
      <c r="L76" t="n">
        <v>0</v>
      </c>
      <c r="M76" t="n">
        <v>0</v>
      </c>
      <c r="N76" t="n">
        <v>0</v>
      </c>
      <c r="O76" t="n">
        <v>0</v>
      </c>
      <c r="P76" t="n">
        <v>0</v>
      </c>
      <c r="Q76" t="n">
        <v>0</v>
      </c>
      <c r="R76" s="2" t="inlineStr"/>
    </row>
    <row r="77" ht="15" customHeight="1">
      <c r="A77" t="inlineStr">
        <is>
          <t>A 23009-2024</t>
        </is>
      </c>
      <c r="B77" s="1" t="n">
        <v>45450.34506944445</v>
      </c>
      <c r="C77" s="1" t="n">
        <v>45895</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9063-2024</t>
        </is>
      </c>
      <c r="B78" s="1" t="n">
        <v>45357.72652777778</v>
      </c>
      <c r="C78" s="1" t="n">
        <v>45895</v>
      </c>
      <c r="D78" t="inlineStr">
        <is>
          <t>STOCKHOLMS LÄN</t>
        </is>
      </c>
      <c r="E78" t="inlineStr">
        <is>
          <t>VALLENTUNA</t>
        </is>
      </c>
      <c r="G78" t="n">
        <v>4.1</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45895</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4803-2024</t>
        </is>
      </c>
      <c r="B80" s="1" t="n">
        <v>45328</v>
      </c>
      <c r="C80" s="1" t="n">
        <v>45895</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45895</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23923-2025</t>
        </is>
      </c>
      <c r="B82" s="1" t="n">
        <v>45795.39648148148</v>
      </c>
      <c r="C82" s="1" t="n">
        <v>45895</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45895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45895</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45895</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45895</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45895</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25984-2025</t>
        </is>
      </c>
      <c r="B88" s="1" t="n">
        <v>45804.64016203704</v>
      </c>
      <c r="C88" s="1" t="n">
        <v>45895</v>
      </c>
      <c r="D88" t="inlineStr">
        <is>
          <t>STOCKHOLMS LÄN</t>
        </is>
      </c>
      <c r="E88" t="inlineStr">
        <is>
          <t>VALLENTUNA</t>
        </is>
      </c>
      <c r="G88" t="n">
        <v>2.5</v>
      </c>
      <c r="H88" t="n">
        <v>0</v>
      </c>
      <c r="I88" t="n">
        <v>0</v>
      </c>
      <c r="J88" t="n">
        <v>0</v>
      </c>
      <c r="K88" t="n">
        <v>0</v>
      </c>
      <c r="L88" t="n">
        <v>0</v>
      </c>
      <c r="M88" t="n">
        <v>0</v>
      </c>
      <c r="N88" t="n">
        <v>0</v>
      </c>
      <c r="O88" t="n">
        <v>0</v>
      </c>
      <c r="P88" t="n">
        <v>0</v>
      </c>
      <c r="Q88" t="n">
        <v>0</v>
      </c>
      <c r="R88" s="2" t="inlineStr"/>
    </row>
    <row r="89" ht="15" customHeight="1">
      <c r="A89" t="inlineStr">
        <is>
          <t>A 11950-2025</t>
        </is>
      </c>
      <c r="B89" s="1" t="n">
        <v>45728.55622685186</v>
      </c>
      <c r="C89" s="1" t="n">
        <v>45895</v>
      </c>
      <c r="D89" t="inlineStr">
        <is>
          <t>STOCKHOLMS LÄN</t>
        </is>
      </c>
      <c r="E89" t="inlineStr">
        <is>
          <t>VALLENTUNA</t>
        </is>
      </c>
      <c r="G89" t="n">
        <v>1.4</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45895</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7264-2022</t>
        </is>
      </c>
      <c r="B91" s="1" t="n">
        <v>44606</v>
      </c>
      <c r="C91" s="1" t="n">
        <v>45895</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14489-2024</t>
        </is>
      </c>
      <c r="B92" s="1" t="n">
        <v>45394.58053240741</v>
      </c>
      <c r="C92" s="1" t="n">
        <v>45895</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68935-2020</t>
        </is>
      </c>
      <c r="B93" s="1" t="n">
        <v>44187</v>
      </c>
      <c r="C93" s="1" t="n">
        <v>45895</v>
      </c>
      <c r="D93" t="inlineStr">
        <is>
          <t>STOCKHOLMS LÄN</t>
        </is>
      </c>
      <c r="E93" t="inlineStr">
        <is>
          <t>VALLENTUNA</t>
        </is>
      </c>
      <c r="G93" t="n">
        <v>7.8</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45895</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45895</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45895</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45895</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45895</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45895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2318-2024</t>
        </is>
      </c>
      <c r="B100" s="1" t="n">
        <v>45310</v>
      </c>
      <c r="C100" s="1" t="n">
        <v>45895</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24068-2024</t>
        </is>
      </c>
      <c r="B101" s="1" t="n">
        <v>45456</v>
      </c>
      <c r="C101" s="1" t="n">
        <v>45895</v>
      </c>
      <c r="D101" t="inlineStr">
        <is>
          <t>STOCKHOLMS LÄN</t>
        </is>
      </c>
      <c r="E101" t="inlineStr">
        <is>
          <t>VALLENTUNA</t>
        </is>
      </c>
      <c r="G101" t="n">
        <v>7.4</v>
      </c>
      <c r="H101" t="n">
        <v>0</v>
      </c>
      <c r="I101" t="n">
        <v>0</v>
      </c>
      <c r="J101" t="n">
        <v>0</v>
      </c>
      <c r="K101" t="n">
        <v>0</v>
      </c>
      <c r="L101" t="n">
        <v>0</v>
      </c>
      <c r="M101" t="n">
        <v>0</v>
      </c>
      <c r="N101" t="n">
        <v>0</v>
      </c>
      <c r="O101" t="n">
        <v>0</v>
      </c>
      <c r="P101" t="n">
        <v>0</v>
      </c>
      <c r="Q101" t="n">
        <v>0</v>
      </c>
      <c r="R101" s="2" t="inlineStr"/>
    </row>
    <row r="102" ht="15" customHeight="1">
      <c r="A102" t="inlineStr">
        <is>
          <t>A 27868-2025</t>
        </is>
      </c>
      <c r="B102" s="1" t="n">
        <v>45817</v>
      </c>
      <c r="C102" s="1" t="n">
        <v>45895</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61442-2024</t>
        </is>
      </c>
      <c r="B103" s="1" t="n">
        <v>45646.47003472222</v>
      </c>
      <c r="C103" s="1" t="n">
        <v>45895</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61742-2022</t>
        </is>
      </c>
      <c r="B104" s="1" t="n">
        <v>44917</v>
      </c>
      <c r="C104" s="1" t="n">
        <v>45895</v>
      </c>
      <c r="D104" t="inlineStr">
        <is>
          <t>STOCKHOLMS LÄN</t>
        </is>
      </c>
      <c r="E104" t="inlineStr">
        <is>
          <t>VALLENTUNA</t>
        </is>
      </c>
      <c r="G104" t="n">
        <v>0.5</v>
      </c>
      <c r="H104" t="n">
        <v>0</v>
      </c>
      <c r="I104" t="n">
        <v>0</v>
      </c>
      <c r="J104" t="n">
        <v>0</v>
      </c>
      <c r="K104" t="n">
        <v>0</v>
      </c>
      <c r="L104" t="n">
        <v>0</v>
      </c>
      <c r="M104" t="n">
        <v>0</v>
      </c>
      <c r="N104" t="n">
        <v>0</v>
      </c>
      <c r="O104" t="n">
        <v>0</v>
      </c>
      <c r="P104" t="n">
        <v>0</v>
      </c>
      <c r="Q104" t="n">
        <v>0</v>
      </c>
      <c r="R104" s="2" t="inlineStr"/>
    </row>
    <row r="105" ht="15" customHeight="1">
      <c r="A105" t="inlineStr">
        <is>
          <t>A 30902-2025</t>
        </is>
      </c>
      <c r="B105" s="1" t="n">
        <v>45832.36104166666</v>
      </c>
      <c r="C105" s="1" t="n">
        <v>45895</v>
      </c>
      <c r="D105" t="inlineStr">
        <is>
          <t>STOCKHOLMS LÄN</t>
        </is>
      </c>
      <c r="E105" t="inlineStr">
        <is>
          <t>VALLENTUNA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45895</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60997-2022</t>
        </is>
      </c>
      <c r="B107" s="1" t="n">
        <v>44914.70746527778</v>
      </c>
      <c r="C107" s="1" t="n">
        <v>45895</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19503-2023</t>
        </is>
      </c>
      <c r="B108" s="1" t="n">
        <v>45050.47333333334</v>
      </c>
      <c r="C108" s="1" t="n">
        <v>45895</v>
      </c>
      <c r="D108" t="inlineStr">
        <is>
          <t>STOCKHOLMS LÄN</t>
        </is>
      </c>
      <c r="E108" t="inlineStr">
        <is>
          <t>VALLENTUNA</t>
        </is>
      </c>
      <c r="G108" t="n">
        <v>0.7</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45895</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45895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45895</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12585-2023</t>
        </is>
      </c>
      <c r="B112" s="1" t="n">
        <v>45000.41373842592</v>
      </c>
      <c r="C112" s="1" t="n">
        <v>45895</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8787-2024</t>
        </is>
      </c>
      <c r="B113" s="1" t="n">
        <v>45356</v>
      </c>
      <c r="C113" s="1" t="n">
        <v>45895</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28431-2025</t>
        </is>
      </c>
      <c r="B114" s="1" t="n">
        <v>45819.38072916667</v>
      </c>
      <c r="C114" s="1" t="n">
        <v>45895</v>
      </c>
      <c r="D114" t="inlineStr">
        <is>
          <t>STOCKHOLMS LÄN</t>
        </is>
      </c>
      <c r="E114" t="inlineStr">
        <is>
          <t>VALLENTUNA</t>
        </is>
      </c>
      <c r="G114" t="n">
        <v>1.5</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45895</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22683-2023</t>
        </is>
      </c>
      <c r="B116" s="1" t="n">
        <v>45071</v>
      </c>
      <c r="C116" s="1" t="n">
        <v>45895</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45895</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48717-2024</t>
        </is>
      </c>
      <c r="B118" s="1" t="n">
        <v>45593</v>
      </c>
      <c r="C118" s="1" t="n">
        <v>45895</v>
      </c>
      <c r="D118" t="inlineStr">
        <is>
          <t>STOCKHOLMS LÄN</t>
        </is>
      </c>
      <c r="E118" t="inlineStr">
        <is>
          <t>VALLENTUNA</t>
        </is>
      </c>
      <c r="G118" t="n">
        <v>6.2</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45895</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17342-2025</t>
        </is>
      </c>
      <c r="B120" s="1" t="n">
        <v>45756</v>
      </c>
      <c r="C120" s="1" t="n">
        <v>45895</v>
      </c>
      <c r="D120" t="inlineStr">
        <is>
          <t>STOCKHOLMS LÄN</t>
        </is>
      </c>
      <c r="E120" t="inlineStr">
        <is>
          <t>VALLENTUNA</t>
        </is>
      </c>
      <c r="F120" t="inlineStr">
        <is>
          <t>Övriga Aktiebolag</t>
        </is>
      </c>
      <c r="G120" t="n">
        <v>3.9</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45895</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45895</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34460-2023</t>
        </is>
      </c>
      <c r="B123" s="1" t="n">
        <v>45139</v>
      </c>
      <c r="C123" s="1" t="n">
        <v>45895</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45895</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15300-2023</t>
        </is>
      </c>
      <c r="B125" s="1" t="n">
        <v>45019</v>
      </c>
      <c r="C125" s="1" t="n">
        <v>45895</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26390-2023</t>
        </is>
      </c>
      <c r="B126" s="1" t="n">
        <v>45086</v>
      </c>
      <c r="C126" s="1" t="n">
        <v>45895</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45895</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45895</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29704-2023</t>
        </is>
      </c>
      <c r="B129" s="1" t="n">
        <v>45107</v>
      </c>
      <c r="C129" s="1" t="n">
        <v>45895</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45895</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45496-2023</t>
        </is>
      </c>
      <c r="B131" s="1" t="n">
        <v>45194</v>
      </c>
      <c r="C131" s="1" t="n">
        <v>45895</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45895</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45895</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45895</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14775-2024</t>
        </is>
      </c>
      <c r="B135" s="1" t="n">
        <v>45397.73675925926</v>
      </c>
      <c r="C135" s="1" t="n">
        <v>45895</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14485-2024</t>
        </is>
      </c>
      <c r="B136" s="1" t="n">
        <v>45394.57304398148</v>
      </c>
      <c r="C136" s="1" t="n">
        <v>45895</v>
      </c>
      <c r="D136" t="inlineStr">
        <is>
          <t>STOCKHOLMS LÄN</t>
        </is>
      </c>
      <c r="E136" t="inlineStr">
        <is>
          <t>VALLENTUNA</t>
        </is>
      </c>
      <c r="G136" t="n">
        <v>5.1</v>
      </c>
      <c r="H136" t="n">
        <v>0</v>
      </c>
      <c r="I136" t="n">
        <v>0</v>
      </c>
      <c r="J136" t="n">
        <v>0</v>
      </c>
      <c r="K136" t="n">
        <v>0</v>
      </c>
      <c r="L136" t="n">
        <v>0</v>
      </c>
      <c r="M136" t="n">
        <v>0</v>
      </c>
      <c r="N136" t="n">
        <v>0</v>
      </c>
      <c r="O136" t="n">
        <v>0</v>
      </c>
      <c r="P136" t="n">
        <v>0</v>
      </c>
      <c r="Q136" t="n">
        <v>0</v>
      </c>
      <c r="R136" s="2" t="inlineStr"/>
    </row>
    <row r="137" ht="15" customHeight="1">
      <c r="A137" t="inlineStr">
        <is>
          <t>A 735-2024</t>
        </is>
      </c>
      <c r="B137" s="1" t="n">
        <v>45300</v>
      </c>
      <c r="C137" s="1" t="n">
        <v>45895</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45895</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62402-2022</t>
        </is>
      </c>
      <c r="B139" s="1" t="n">
        <v>44923</v>
      </c>
      <c r="C139" s="1" t="n">
        <v>45895</v>
      </c>
      <c r="D139" t="inlineStr">
        <is>
          <t>STOCKHOLMS LÄN</t>
        </is>
      </c>
      <c r="E139" t="inlineStr">
        <is>
          <t>VALLENTUNA</t>
        </is>
      </c>
      <c r="G139" t="n">
        <v>3.8</v>
      </c>
      <c r="H139" t="n">
        <v>0</v>
      </c>
      <c r="I139" t="n">
        <v>0</v>
      </c>
      <c r="J139" t="n">
        <v>0</v>
      </c>
      <c r="K139" t="n">
        <v>0</v>
      </c>
      <c r="L139" t="n">
        <v>0</v>
      </c>
      <c r="M139" t="n">
        <v>0</v>
      </c>
      <c r="N139" t="n">
        <v>0</v>
      </c>
      <c r="O139" t="n">
        <v>0</v>
      </c>
      <c r="P139" t="n">
        <v>0</v>
      </c>
      <c r="Q139" t="n">
        <v>0</v>
      </c>
      <c r="R139" s="2" t="inlineStr"/>
    </row>
    <row r="140">
      <c r="A140" t="inlineStr">
        <is>
          <t>A 15268-2023</t>
        </is>
      </c>
      <c r="B140" s="1" t="n">
        <v>45019.41045138889</v>
      </c>
      <c r="C140" s="1" t="n">
        <v>45895</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2025-08-26T08:36:20Z</dcterms:created>
  <dcterms:modified xmlns:dcterms="http://purl.org/dc/terms/" xmlns:xsi="http://www.w3.org/2001/XMLSchema-instance" xsi:type="dcterms:W3CDTF">2025-08-26T08:36:20Z</dcterms:modified>
</cp:coreProperties>
</file>