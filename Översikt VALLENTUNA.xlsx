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46203</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46203</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46203</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46203</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46203</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46203</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46203</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46203</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46203</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46203</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46203</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46203</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34452-2021</t>
        </is>
      </c>
      <c r="B14" s="1" t="n">
        <v>44381</v>
      </c>
      <c r="C14" s="1" t="n">
        <v>46203</v>
      </c>
      <c r="D14" t="inlineStr">
        <is>
          <t>STOCKHOLMS LÄN</t>
        </is>
      </c>
      <c r="E14" t="inlineStr">
        <is>
          <t>VALLENTUNA</t>
        </is>
      </c>
      <c r="G14" t="n">
        <v>14.7</v>
      </c>
      <c r="H14" t="n">
        <v>0</v>
      </c>
      <c r="I14" t="n">
        <v>0</v>
      </c>
      <c r="J14" t="n">
        <v>0</v>
      </c>
      <c r="K14" t="n">
        <v>0</v>
      </c>
      <c r="L14" t="n">
        <v>0</v>
      </c>
      <c r="M14" t="n">
        <v>0</v>
      </c>
      <c r="N14" t="n">
        <v>0</v>
      </c>
      <c r="O14" t="n">
        <v>0</v>
      </c>
      <c r="P14" t="n">
        <v>0</v>
      </c>
      <c r="Q14" t="n">
        <v>3</v>
      </c>
      <c r="R14" s="2" t="inlineStr">
        <is>
          <t>Ekorrbär
Kärrviol
Skogsstjärna</t>
        </is>
      </c>
      <c r="S14">
        <f>HYPERLINK("https://klasma.github.io/Logging_0115/artfynd/A 34452-2021 artfynd.xlsx", "A 34452-2021")</f>
        <v/>
      </c>
      <c r="T14">
        <f>HYPERLINK("https://klasma.github.io/Logging_0115/kartor/A 34452-2021 karta.png", "A 34452-2021")</f>
        <v/>
      </c>
      <c r="V14">
        <f>HYPERLINK("https://klasma.github.io/Logging_0115/klagomål/A 34452-2021 FSC-klagomål.docx", "A 34452-2021")</f>
        <v/>
      </c>
      <c r="W14">
        <f>HYPERLINK("https://klasma.github.io/Logging_0115/klagomålsmail/A 34452-2021 FSC-klagomål mail.docx", "A 34452-2021")</f>
        <v/>
      </c>
      <c r="X14">
        <f>HYPERLINK("https://klasma.github.io/Logging_0115/tillsyn/A 34452-2021 tillsynsbegäran.docx", "A 34452-2021")</f>
        <v/>
      </c>
      <c r="Y14">
        <f>HYPERLINK("https://klasma.github.io/Logging_0115/tillsynsmail/A 34452-2021 tillsynsbegäran mail.docx", "A 34452-2021")</f>
        <v/>
      </c>
    </row>
    <row r="15" ht="15" customHeight="1">
      <c r="A15" t="inlineStr">
        <is>
          <t>A 14508-2024</t>
        </is>
      </c>
      <c r="B15" s="1" t="n">
        <v>45394</v>
      </c>
      <c r="C15" s="1" t="n">
        <v>46203</v>
      </c>
      <c r="D15" t="inlineStr">
        <is>
          <t>STOCKHOLMS LÄN</t>
        </is>
      </c>
      <c r="E15" t="inlineStr">
        <is>
          <t>VALLENTUNA</t>
        </is>
      </c>
      <c r="G15" t="n">
        <v>1.7</v>
      </c>
      <c r="H15" t="n">
        <v>2</v>
      </c>
      <c r="I15" t="n">
        <v>0</v>
      </c>
      <c r="J15" t="n">
        <v>2</v>
      </c>
      <c r="K15" t="n">
        <v>1</v>
      </c>
      <c r="L15" t="n">
        <v>0</v>
      </c>
      <c r="M15" t="n">
        <v>0</v>
      </c>
      <c r="N15" t="n">
        <v>0</v>
      </c>
      <c r="O15" t="n">
        <v>3</v>
      </c>
      <c r="P15" t="n">
        <v>1</v>
      </c>
      <c r="Q15" t="n">
        <v>3</v>
      </c>
      <c r="R15" s="2" t="inlineStr">
        <is>
          <t>Hussvala
Berggräsfjäril
Mindre hackspett</t>
        </is>
      </c>
      <c r="S15">
        <f>HYPERLINK("https://klasma.github.io/Logging_0115/artfynd/A 14508-2024 artfynd.xlsx", "A 14508-2024")</f>
        <v/>
      </c>
      <c r="T15">
        <f>HYPERLINK("https://klasma.github.io/Logging_0115/kartor/A 14508-2024 karta.png", "A 14508-2024")</f>
        <v/>
      </c>
      <c r="V15">
        <f>HYPERLINK("https://klasma.github.io/Logging_0115/klagomål/A 14508-2024 FSC-klagomål.docx", "A 14508-2024")</f>
        <v/>
      </c>
      <c r="W15">
        <f>HYPERLINK("https://klasma.github.io/Logging_0115/klagomålsmail/A 14508-2024 FSC-klagomål mail.docx", "A 14508-2024")</f>
        <v/>
      </c>
      <c r="X15">
        <f>HYPERLINK("https://klasma.github.io/Logging_0115/tillsyn/A 14508-2024 tillsynsbegäran.docx", "A 14508-2024")</f>
        <v/>
      </c>
      <c r="Y15">
        <f>HYPERLINK("https://klasma.github.io/Logging_0115/tillsynsmail/A 14508-2024 tillsynsbegäran mail.docx", "A 14508-2024")</f>
        <v/>
      </c>
      <c r="Z15">
        <f>HYPERLINK("https://klasma.github.io/Logging_0115/fåglar/A 14508-2024 prioriterade fågelarter.docx", "A 14508-2024")</f>
        <v/>
      </c>
    </row>
    <row r="16" ht="15" customHeight="1">
      <c r="A16" t="inlineStr">
        <is>
          <t>A 63543-2025</t>
        </is>
      </c>
      <c r="B16" s="1" t="n">
        <v>46013</v>
      </c>
      <c r="C16" s="1" t="n">
        <v>46203</v>
      </c>
      <c r="D16" t="inlineStr">
        <is>
          <t>STOCKHOLMS LÄN</t>
        </is>
      </c>
      <c r="E16" t="inlineStr">
        <is>
          <t>VALLENTUNA</t>
        </is>
      </c>
      <c r="G16" t="n">
        <v>3.4</v>
      </c>
      <c r="H16" t="n">
        <v>0</v>
      </c>
      <c r="I16" t="n">
        <v>1</v>
      </c>
      <c r="J16" t="n">
        <v>2</v>
      </c>
      <c r="K16" t="n">
        <v>0</v>
      </c>
      <c r="L16" t="n">
        <v>0</v>
      </c>
      <c r="M16" t="n">
        <v>0</v>
      </c>
      <c r="N16" t="n">
        <v>0</v>
      </c>
      <c r="O16" t="n">
        <v>2</v>
      </c>
      <c r="P16" t="n">
        <v>0</v>
      </c>
      <c r="Q16" t="n">
        <v>3</v>
      </c>
      <c r="R16" s="2" t="inlineStr">
        <is>
          <t>Tallticka
Vedskivlav
Björksplintborre</t>
        </is>
      </c>
      <c r="S16">
        <f>HYPERLINK("https://klasma.github.io/Logging_0115/artfynd/A 63543-2025 artfynd.xlsx", "A 63543-2025")</f>
        <v/>
      </c>
      <c r="T16">
        <f>HYPERLINK("https://klasma.github.io/Logging_0115/kartor/A 63543-2025 karta.png", "A 63543-2025")</f>
        <v/>
      </c>
      <c r="V16">
        <f>HYPERLINK("https://klasma.github.io/Logging_0115/klagomål/A 63543-2025 FSC-klagomål.docx", "A 63543-2025")</f>
        <v/>
      </c>
      <c r="W16">
        <f>HYPERLINK("https://klasma.github.io/Logging_0115/klagomålsmail/A 63543-2025 FSC-klagomål mail.docx", "A 63543-2025")</f>
        <v/>
      </c>
      <c r="X16">
        <f>HYPERLINK("https://klasma.github.io/Logging_0115/tillsyn/A 63543-2025 tillsynsbegäran.docx", "A 63543-2025")</f>
        <v/>
      </c>
      <c r="Y16">
        <f>HYPERLINK("https://klasma.github.io/Logging_0115/tillsynsmail/A 63543-2025 tillsynsbegäran mail.docx", "A 63543-2025")</f>
        <v/>
      </c>
    </row>
    <row r="17" ht="15" customHeight="1">
      <c r="A17" t="inlineStr">
        <is>
          <t>A 48717-2024</t>
        </is>
      </c>
      <c r="B17" s="1" t="n">
        <v>45593</v>
      </c>
      <c r="C17" s="1" t="n">
        <v>46203</v>
      </c>
      <c r="D17" t="inlineStr">
        <is>
          <t>STOCKHOLMS LÄN</t>
        </is>
      </c>
      <c r="E17" t="inlineStr">
        <is>
          <t>VALLENTUNA</t>
        </is>
      </c>
      <c r="G17" t="n">
        <v>6.2</v>
      </c>
      <c r="H17" t="n">
        <v>2</v>
      </c>
      <c r="I17" t="n">
        <v>0</v>
      </c>
      <c r="J17" t="n">
        <v>1</v>
      </c>
      <c r="K17" t="n">
        <v>0</v>
      </c>
      <c r="L17" t="n">
        <v>0</v>
      </c>
      <c r="M17" t="n">
        <v>0</v>
      </c>
      <c r="N17" t="n">
        <v>0</v>
      </c>
      <c r="O17" t="n">
        <v>1</v>
      </c>
      <c r="P17" t="n">
        <v>0</v>
      </c>
      <c r="Q17" t="n">
        <v>3</v>
      </c>
      <c r="R17" s="2" t="inlineStr">
        <is>
          <t>Ullticka
Tjäder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46203</v>
      </c>
      <c r="D18" t="inlineStr">
        <is>
          <t>STOCKHOLMS LÄN</t>
        </is>
      </c>
      <c r="E18" t="inlineStr">
        <is>
          <t>VALLENTUNA</t>
        </is>
      </c>
      <c r="G18" t="n">
        <v>2.1</v>
      </c>
      <c r="H18" t="n">
        <v>3</v>
      </c>
      <c r="I18" t="n">
        <v>0</v>
      </c>
      <c r="J18" t="n">
        <v>1</v>
      </c>
      <c r="K18" t="n">
        <v>0</v>
      </c>
      <c r="L18" t="n">
        <v>0</v>
      </c>
      <c r="M18" t="n">
        <v>0</v>
      </c>
      <c r="N18" t="n">
        <v>0</v>
      </c>
      <c r="O18" t="n">
        <v>1</v>
      </c>
      <c r="P18" t="n">
        <v>0</v>
      </c>
      <c r="Q18" t="n">
        <v>3</v>
      </c>
      <c r="R18" s="2" t="inlineStr">
        <is>
          <t>Järnsparv
Grönsiska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37456-2023</t>
        </is>
      </c>
      <c r="B19" s="1" t="n">
        <v>45156</v>
      </c>
      <c r="C19" s="1" t="n">
        <v>46203</v>
      </c>
      <c r="D19" t="inlineStr">
        <is>
          <t>STOCKHOLMS LÄN</t>
        </is>
      </c>
      <c r="E19" t="inlineStr">
        <is>
          <t>VALLENTUNA</t>
        </is>
      </c>
      <c r="F19" t="inlineStr">
        <is>
          <t>Övriga Aktiebolag</t>
        </is>
      </c>
      <c r="G19" t="n">
        <v>3.3</v>
      </c>
      <c r="H19" t="n">
        <v>1</v>
      </c>
      <c r="I19" t="n">
        <v>0</v>
      </c>
      <c r="J19" t="n">
        <v>2</v>
      </c>
      <c r="K19" t="n">
        <v>0</v>
      </c>
      <c r="L19" t="n">
        <v>0</v>
      </c>
      <c r="M19" t="n">
        <v>0</v>
      </c>
      <c r="N19" t="n">
        <v>0</v>
      </c>
      <c r="O19" t="n">
        <v>2</v>
      </c>
      <c r="P19" t="n">
        <v>0</v>
      </c>
      <c r="Q19" t="n">
        <v>3</v>
      </c>
      <c r="R19" s="2" t="inlineStr">
        <is>
          <t>Skarp dropptaggsvamp
Tjockfotad fingersvamp
Blåsippa</t>
        </is>
      </c>
      <c r="S19">
        <f>HYPERLINK("https://klasma.github.io/Logging_0115/artfynd/A 37456-2023 artfynd.xlsx", "A 37456-2023")</f>
        <v/>
      </c>
      <c r="T19">
        <f>HYPERLINK("https://klasma.github.io/Logging_0115/kartor/A 37456-2023 karta.png", "A 37456-2023")</f>
        <v/>
      </c>
      <c r="V19">
        <f>HYPERLINK("https://klasma.github.io/Logging_0115/klagomål/A 37456-2023 FSC-klagomål.docx", "A 37456-2023")</f>
        <v/>
      </c>
      <c r="W19">
        <f>HYPERLINK("https://klasma.github.io/Logging_0115/klagomålsmail/A 37456-2023 FSC-klagomål mail.docx", "A 37456-2023")</f>
        <v/>
      </c>
      <c r="X19">
        <f>HYPERLINK("https://klasma.github.io/Logging_0115/tillsyn/A 37456-2023 tillsynsbegäran.docx", "A 37456-2023")</f>
        <v/>
      </c>
      <c r="Y19">
        <f>HYPERLINK("https://klasma.github.io/Logging_0115/tillsynsmail/A 37456-2023 tillsynsbegäran mail.docx", "A 37456-2023")</f>
        <v/>
      </c>
    </row>
    <row r="20" ht="15" customHeight="1">
      <c r="A20" t="inlineStr">
        <is>
          <t>A 9745-2022</t>
        </is>
      </c>
      <c r="B20" s="1" t="n">
        <v>44618</v>
      </c>
      <c r="C20" s="1" t="n">
        <v>46203</v>
      </c>
      <c r="D20" t="inlineStr">
        <is>
          <t>STOCKHOLMS LÄN</t>
        </is>
      </c>
      <c r="E20" t="inlineStr">
        <is>
          <t>VALLENTUNA</t>
        </is>
      </c>
      <c r="G20" t="n">
        <v>5.9</v>
      </c>
      <c r="H20" t="n">
        <v>1</v>
      </c>
      <c r="I20" t="n">
        <v>2</v>
      </c>
      <c r="J20" t="n">
        <v>0</v>
      </c>
      <c r="K20" t="n">
        <v>0</v>
      </c>
      <c r="L20" t="n">
        <v>0</v>
      </c>
      <c r="M20" t="n">
        <v>0</v>
      </c>
      <c r="N20" t="n">
        <v>0</v>
      </c>
      <c r="O20" t="n">
        <v>0</v>
      </c>
      <c r="P20" t="n">
        <v>0</v>
      </c>
      <c r="Q20" t="n">
        <v>3</v>
      </c>
      <c r="R20" s="2" t="inlineStr">
        <is>
          <t>Björksplintborre
Vedticka
Spillkråka</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60-2022</t>
        </is>
      </c>
      <c r="B21" s="1" t="n">
        <v>44560</v>
      </c>
      <c r="C21" s="1" t="n">
        <v>46203</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46203</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46203</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23923-2025</t>
        </is>
      </c>
      <c r="B24" s="1" t="n">
        <v>45795</v>
      </c>
      <c r="C24" s="1" t="n">
        <v>46203</v>
      </c>
      <c r="D24" t="inlineStr">
        <is>
          <t>STOCKHOLMS LÄN</t>
        </is>
      </c>
      <c r="E24" t="inlineStr">
        <is>
          <t>VALLENTUNA</t>
        </is>
      </c>
      <c r="G24" t="n">
        <v>2.3</v>
      </c>
      <c r="H24" t="n">
        <v>2</v>
      </c>
      <c r="I24" t="n">
        <v>0</v>
      </c>
      <c r="J24" t="n">
        <v>1</v>
      </c>
      <c r="K24" t="n">
        <v>0</v>
      </c>
      <c r="L24" t="n">
        <v>0</v>
      </c>
      <c r="M24" t="n">
        <v>0</v>
      </c>
      <c r="N24" t="n">
        <v>0</v>
      </c>
      <c r="O24" t="n">
        <v>1</v>
      </c>
      <c r="P24" t="n">
        <v>0</v>
      </c>
      <c r="Q24" t="n">
        <v>2</v>
      </c>
      <c r="R24" s="2" t="inlineStr">
        <is>
          <t>Gulsparv
Kråka</t>
        </is>
      </c>
      <c r="S24">
        <f>HYPERLINK("https://klasma.github.io/Logging_0115/artfynd/A 23923-2025 artfynd.xlsx", "A 23923-2025")</f>
        <v/>
      </c>
      <c r="T24">
        <f>HYPERLINK("https://klasma.github.io/Logging_0115/kartor/A 23923-2025 karta.png", "A 23923-2025")</f>
        <v/>
      </c>
      <c r="V24">
        <f>HYPERLINK("https://klasma.github.io/Logging_0115/klagomål/A 23923-2025 FSC-klagomål.docx", "A 23923-2025")</f>
        <v/>
      </c>
      <c r="W24">
        <f>HYPERLINK("https://klasma.github.io/Logging_0115/klagomålsmail/A 23923-2025 FSC-klagomål mail.docx", "A 23923-2025")</f>
        <v/>
      </c>
      <c r="X24">
        <f>HYPERLINK("https://klasma.github.io/Logging_0115/tillsyn/A 23923-2025 tillsynsbegäran.docx", "A 23923-2025")</f>
        <v/>
      </c>
      <c r="Y24">
        <f>HYPERLINK("https://klasma.github.io/Logging_0115/tillsynsmail/A 23923-2025 tillsynsbegäran mail.docx", "A 23923-2025")</f>
        <v/>
      </c>
      <c r="Z24">
        <f>HYPERLINK("https://klasma.github.io/Logging_0115/fåglar/A 23923-2025 prioriterade fågelarter.docx", "A 23923-2025")</f>
        <v/>
      </c>
    </row>
    <row r="25" ht="15" customHeight="1">
      <c r="A25" t="inlineStr">
        <is>
          <t>A 63539-2025</t>
        </is>
      </c>
      <c r="B25" s="1" t="n">
        <v>46013</v>
      </c>
      <c r="C25" s="1" t="n">
        <v>46203</v>
      </c>
      <c r="D25" t="inlineStr">
        <is>
          <t>STOCKHOLMS LÄN</t>
        </is>
      </c>
      <c r="E25" t="inlineStr">
        <is>
          <t>VALLENTUNA</t>
        </is>
      </c>
      <c r="G25" t="n">
        <v>1.1</v>
      </c>
      <c r="H25" t="n">
        <v>0</v>
      </c>
      <c r="I25" t="n">
        <v>0</v>
      </c>
      <c r="J25" t="n">
        <v>2</v>
      </c>
      <c r="K25" t="n">
        <v>0</v>
      </c>
      <c r="L25" t="n">
        <v>0</v>
      </c>
      <c r="M25" t="n">
        <v>0</v>
      </c>
      <c r="N25" t="n">
        <v>0</v>
      </c>
      <c r="O25" t="n">
        <v>2</v>
      </c>
      <c r="P25" t="n">
        <v>0</v>
      </c>
      <c r="Q25" t="n">
        <v>2</v>
      </c>
      <c r="R25" s="2" t="inlineStr">
        <is>
          <t>Tallticka
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27935-2026</t>
        </is>
      </c>
      <c r="B26" s="1" t="n">
        <v>46191</v>
      </c>
      <c r="C26" s="1" t="n">
        <v>46203</v>
      </c>
      <c r="D26" t="inlineStr">
        <is>
          <t>STOCKHOLMS LÄN</t>
        </is>
      </c>
      <c r="E26" t="inlineStr">
        <is>
          <t>VALLENTUNA</t>
        </is>
      </c>
      <c r="G26" t="n">
        <v>5</v>
      </c>
      <c r="H26" t="n">
        <v>2</v>
      </c>
      <c r="I26" t="n">
        <v>0</v>
      </c>
      <c r="J26" t="n">
        <v>0</v>
      </c>
      <c r="K26" t="n">
        <v>0</v>
      </c>
      <c r="L26" t="n">
        <v>0</v>
      </c>
      <c r="M26" t="n">
        <v>0</v>
      </c>
      <c r="N26" t="n">
        <v>0</v>
      </c>
      <c r="O26" t="n">
        <v>0</v>
      </c>
      <c r="P26" t="n">
        <v>0</v>
      </c>
      <c r="Q26" t="n">
        <v>2</v>
      </c>
      <c r="R26" s="2" t="inlineStr">
        <is>
          <t>Större vattensalamander
Mindre vattensalamander</t>
        </is>
      </c>
      <c r="S26">
        <f>HYPERLINK("https://klasma.github.io/Logging_0115/artfynd/A 27935-2026 artfynd.xlsx", "A 27935-2026")</f>
        <v/>
      </c>
      <c r="T26">
        <f>HYPERLINK("https://klasma.github.io/Logging_0115/kartor/A 27935-2026 karta.png", "A 27935-2026")</f>
        <v/>
      </c>
      <c r="V26">
        <f>HYPERLINK("https://klasma.github.io/Logging_0115/klagomål/A 27935-2026 FSC-klagomål.docx", "A 27935-2026")</f>
        <v/>
      </c>
      <c r="W26">
        <f>HYPERLINK("https://klasma.github.io/Logging_0115/klagomålsmail/A 27935-2026 FSC-klagomål mail.docx", "A 27935-2026")</f>
        <v/>
      </c>
      <c r="X26">
        <f>HYPERLINK("https://klasma.github.io/Logging_0115/tillsyn/A 27935-2026 tillsynsbegäran.docx", "A 27935-2026")</f>
        <v/>
      </c>
      <c r="Y26">
        <f>HYPERLINK("https://klasma.github.io/Logging_0115/tillsynsmail/A 27935-2026 tillsynsbegäran mail.docx", "A 27935-2026")</f>
        <v/>
      </c>
    </row>
    <row r="27" ht="15" customHeight="1">
      <c r="A27" t="inlineStr">
        <is>
          <t>A 41021-2023</t>
        </is>
      </c>
      <c r="B27" s="1" t="n">
        <v>45173</v>
      </c>
      <c r="C27" s="1" t="n">
        <v>46203</v>
      </c>
      <c r="D27" t="inlineStr">
        <is>
          <t>STOCKHOLMS LÄN</t>
        </is>
      </c>
      <c r="E27" t="inlineStr">
        <is>
          <t>VALLENTUNA</t>
        </is>
      </c>
      <c r="G27" t="n">
        <v>3</v>
      </c>
      <c r="H27" t="n">
        <v>0</v>
      </c>
      <c r="I27" t="n">
        <v>0</v>
      </c>
      <c r="J27" t="n">
        <v>2</v>
      </c>
      <c r="K27" t="n">
        <v>0</v>
      </c>
      <c r="L27" t="n">
        <v>0</v>
      </c>
      <c r="M27" t="n">
        <v>0</v>
      </c>
      <c r="N27" t="n">
        <v>0</v>
      </c>
      <c r="O27" t="n">
        <v>2</v>
      </c>
      <c r="P27" t="n">
        <v>0</v>
      </c>
      <c r="Q27" t="n">
        <v>2</v>
      </c>
      <c r="R27" s="2" t="inlineStr">
        <is>
          <t>Fjällig taggsvamp s.str.
Orange taggsvamp</t>
        </is>
      </c>
      <c r="S27">
        <f>HYPERLINK("https://klasma.github.io/Logging_0115/artfynd/A 41021-2023 artfynd.xlsx", "A 41021-2023")</f>
        <v/>
      </c>
      <c r="T27">
        <f>HYPERLINK("https://klasma.github.io/Logging_0115/kartor/A 41021-2023 karta.png", "A 41021-2023")</f>
        <v/>
      </c>
      <c r="V27">
        <f>HYPERLINK("https://klasma.github.io/Logging_0115/klagomål/A 41021-2023 FSC-klagomål.docx", "A 41021-2023")</f>
        <v/>
      </c>
      <c r="W27">
        <f>HYPERLINK("https://klasma.github.io/Logging_0115/klagomålsmail/A 41021-2023 FSC-klagomål mail.docx", "A 41021-2023")</f>
        <v/>
      </c>
      <c r="X27">
        <f>HYPERLINK("https://klasma.github.io/Logging_0115/tillsyn/A 41021-2023 tillsynsbegäran.docx", "A 41021-2023")</f>
        <v/>
      </c>
      <c r="Y27">
        <f>HYPERLINK("https://klasma.github.io/Logging_0115/tillsynsmail/A 41021-2023 tillsynsbegäran mail.docx", "A 41021-2023")</f>
        <v/>
      </c>
    </row>
    <row r="28" ht="15" customHeight="1">
      <c r="A28" t="inlineStr">
        <is>
          <t>A 34460-2023</t>
        </is>
      </c>
      <c r="B28" s="1" t="n">
        <v>45139</v>
      </c>
      <c r="C28" s="1" t="n">
        <v>46203</v>
      </c>
      <c r="D28" t="inlineStr">
        <is>
          <t>STOCKHOLMS LÄN</t>
        </is>
      </c>
      <c r="E28" t="inlineStr">
        <is>
          <t>VALLENTUNA</t>
        </is>
      </c>
      <c r="G28" t="n">
        <v>1.7</v>
      </c>
      <c r="H28" t="n">
        <v>0</v>
      </c>
      <c r="I28" t="n">
        <v>0</v>
      </c>
      <c r="J28" t="n">
        <v>2</v>
      </c>
      <c r="K28" t="n">
        <v>0</v>
      </c>
      <c r="L28" t="n">
        <v>0</v>
      </c>
      <c r="M28" t="n">
        <v>0</v>
      </c>
      <c r="N28" t="n">
        <v>0</v>
      </c>
      <c r="O28" t="n">
        <v>2</v>
      </c>
      <c r="P28" t="n">
        <v>0</v>
      </c>
      <c r="Q28" t="n">
        <v>2</v>
      </c>
      <c r="R28" s="2" t="inlineStr">
        <is>
          <t>Motaggsvamp
Orange taggsvamp</t>
        </is>
      </c>
      <c r="S28">
        <f>HYPERLINK("https://klasma.github.io/Logging_0115/artfynd/A 34460-2023 artfynd.xlsx", "A 34460-2023")</f>
        <v/>
      </c>
      <c r="T28">
        <f>HYPERLINK("https://klasma.github.io/Logging_0115/kartor/A 34460-2023 karta.png", "A 34460-2023")</f>
        <v/>
      </c>
      <c r="V28">
        <f>HYPERLINK("https://klasma.github.io/Logging_0115/klagomål/A 34460-2023 FSC-klagomål.docx", "A 34460-2023")</f>
        <v/>
      </c>
      <c r="W28">
        <f>HYPERLINK("https://klasma.github.io/Logging_0115/klagomålsmail/A 34460-2023 FSC-klagomål mail.docx", "A 34460-2023")</f>
        <v/>
      </c>
      <c r="X28">
        <f>HYPERLINK("https://klasma.github.io/Logging_0115/tillsyn/A 34460-2023 tillsynsbegäran.docx", "A 34460-2023")</f>
        <v/>
      </c>
      <c r="Y28">
        <f>HYPERLINK("https://klasma.github.io/Logging_0115/tillsynsmail/A 34460-2023 tillsynsbegäran mail.docx", "A 34460-2023")</f>
        <v/>
      </c>
    </row>
    <row r="29" ht="15" customHeight="1">
      <c r="A29" t="inlineStr">
        <is>
          <t>A 8817-2025</t>
        </is>
      </c>
      <c r="B29" s="1" t="n">
        <v>45712</v>
      </c>
      <c r="C29" s="1" t="n">
        <v>46203</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23009-2024</t>
        </is>
      </c>
      <c r="B30" s="1" t="n">
        <v>45450</v>
      </c>
      <c r="C30" s="1" t="n">
        <v>46203</v>
      </c>
      <c r="D30" t="inlineStr">
        <is>
          <t>STOCKHOLMS LÄN</t>
        </is>
      </c>
      <c r="E30" t="inlineStr">
        <is>
          <t>VALLENTUNA</t>
        </is>
      </c>
      <c r="G30" t="n">
        <v>1.4</v>
      </c>
      <c r="H30" t="n">
        <v>0</v>
      </c>
      <c r="I30" t="n">
        <v>1</v>
      </c>
      <c r="J30" t="n">
        <v>0</v>
      </c>
      <c r="K30" t="n">
        <v>0</v>
      </c>
      <c r="L30" t="n">
        <v>0</v>
      </c>
      <c r="M30" t="n">
        <v>0</v>
      </c>
      <c r="N30" t="n">
        <v>0</v>
      </c>
      <c r="O30" t="n">
        <v>0</v>
      </c>
      <c r="P30" t="n">
        <v>0</v>
      </c>
      <c r="Q30" t="n">
        <v>1</v>
      </c>
      <c r="R30" s="2" t="inlineStr">
        <is>
          <t>Tibast</t>
        </is>
      </c>
      <c r="S30">
        <f>HYPERLINK("https://klasma.github.io/Logging_0115/artfynd/A 23009-2024 artfynd.xlsx", "A 23009-2024")</f>
        <v/>
      </c>
      <c r="T30">
        <f>HYPERLINK("https://klasma.github.io/Logging_0115/kartor/A 23009-2024 karta.png", "A 23009-2024")</f>
        <v/>
      </c>
      <c r="V30">
        <f>HYPERLINK("https://klasma.github.io/Logging_0115/klagomål/A 23009-2024 FSC-klagomål.docx", "A 23009-2024")</f>
        <v/>
      </c>
      <c r="W30">
        <f>HYPERLINK("https://klasma.github.io/Logging_0115/klagomålsmail/A 23009-2024 FSC-klagomål mail.docx", "A 23009-2024")</f>
        <v/>
      </c>
      <c r="X30">
        <f>HYPERLINK("https://klasma.github.io/Logging_0115/tillsyn/A 23009-2024 tillsynsbegäran.docx", "A 23009-2024")</f>
        <v/>
      </c>
      <c r="Y30">
        <f>HYPERLINK("https://klasma.github.io/Logging_0115/tillsynsmail/A 23009-2024 tillsynsbegäran mail.docx", "A 23009-2024")</f>
        <v/>
      </c>
    </row>
    <row r="31" ht="15" customHeight="1">
      <c r="A31" t="inlineStr">
        <is>
          <t>A 17348-2025</t>
        </is>
      </c>
      <c r="B31" s="1" t="n">
        <v>45756</v>
      </c>
      <c r="C31" s="1" t="n">
        <v>46203</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54481-2025</t>
        </is>
      </c>
      <c r="B32" s="1" t="n">
        <v>45965</v>
      </c>
      <c r="C32" s="1" t="n">
        <v>46203</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54460-2025</t>
        </is>
      </c>
      <c r="B33" s="1" t="n">
        <v>45965</v>
      </c>
      <c r="C33" s="1" t="n">
        <v>46203</v>
      </c>
      <c r="D33" t="inlineStr">
        <is>
          <t>STOCKHOLMS LÄN</t>
        </is>
      </c>
      <c r="E33" t="inlineStr">
        <is>
          <t>VALLENTUNA</t>
        </is>
      </c>
      <c r="G33" t="n">
        <v>22.9</v>
      </c>
      <c r="H33" t="n">
        <v>0</v>
      </c>
      <c r="I33" t="n">
        <v>0</v>
      </c>
      <c r="J33" t="n">
        <v>1</v>
      </c>
      <c r="K33" t="n">
        <v>0</v>
      </c>
      <c r="L33" t="n">
        <v>0</v>
      </c>
      <c r="M33" t="n">
        <v>0</v>
      </c>
      <c r="N33" t="n">
        <v>0</v>
      </c>
      <c r="O33" t="n">
        <v>1</v>
      </c>
      <c r="P33" t="n">
        <v>0</v>
      </c>
      <c r="Q33" t="n">
        <v>1</v>
      </c>
      <c r="R33" s="2" t="inlineStr">
        <is>
          <t>Gullklöver</t>
        </is>
      </c>
      <c r="S33">
        <f>HYPERLINK("https://klasma.github.io/Logging_0115/artfynd/A 54460-2025 artfynd.xlsx", "A 54460-2025")</f>
        <v/>
      </c>
      <c r="T33">
        <f>HYPERLINK("https://klasma.github.io/Logging_0115/kartor/A 54460-2025 karta.png", "A 54460-2025")</f>
        <v/>
      </c>
      <c r="V33">
        <f>HYPERLINK("https://klasma.github.io/Logging_0115/klagomål/A 54460-2025 FSC-klagomål.docx", "A 54460-2025")</f>
        <v/>
      </c>
      <c r="W33">
        <f>HYPERLINK("https://klasma.github.io/Logging_0115/klagomålsmail/A 54460-2025 FSC-klagomål mail.docx", "A 54460-2025")</f>
        <v/>
      </c>
      <c r="X33">
        <f>HYPERLINK("https://klasma.github.io/Logging_0115/tillsyn/A 54460-2025 tillsynsbegäran.docx", "A 54460-2025")</f>
        <v/>
      </c>
      <c r="Y33">
        <f>HYPERLINK("https://klasma.github.io/Logging_0115/tillsynsmail/A 54460-2025 tillsynsbegäran mail.docx", "A 54460-2025")</f>
        <v/>
      </c>
    </row>
    <row r="34" ht="15" customHeight="1">
      <c r="A34" t="inlineStr">
        <is>
          <t>A 22830-2024</t>
        </is>
      </c>
      <c r="B34" s="1" t="n">
        <v>45448</v>
      </c>
      <c r="C34" s="1" t="n">
        <v>46203</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12396-2026</t>
        </is>
      </c>
      <c r="B35" s="1" t="n">
        <v>46090</v>
      </c>
      <c r="C35" s="1" t="n">
        <v>46203</v>
      </c>
      <c r="D35" t="inlineStr">
        <is>
          <t>STOCKHOLMS LÄN</t>
        </is>
      </c>
      <c r="E35" t="inlineStr">
        <is>
          <t>VALLENTUNA</t>
        </is>
      </c>
      <c r="G35" t="n">
        <v>3</v>
      </c>
      <c r="H35" t="n">
        <v>1</v>
      </c>
      <c r="I35" t="n">
        <v>0</v>
      </c>
      <c r="J35" t="n">
        <v>0</v>
      </c>
      <c r="K35" t="n">
        <v>0</v>
      </c>
      <c r="L35" t="n">
        <v>0</v>
      </c>
      <c r="M35" t="n">
        <v>0</v>
      </c>
      <c r="N35" t="n">
        <v>0</v>
      </c>
      <c r="O35" t="n">
        <v>0</v>
      </c>
      <c r="P35" t="n">
        <v>0</v>
      </c>
      <c r="Q35" t="n">
        <v>1</v>
      </c>
      <c r="R35" s="2" t="inlineStr">
        <is>
          <t>Spillkråka</t>
        </is>
      </c>
      <c r="S35">
        <f>HYPERLINK("https://klasma.github.io/Logging_0115/artfynd/A 12396-2026 artfynd.xlsx", "A 12396-2026")</f>
        <v/>
      </c>
      <c r="T35">
        <f>HYPERLINK("https://klasma.github.io/Logging_0115/kartor/A 12396-2026 karta.png", "A 12396-2026")</f>
        <v/>
      </c>
      <c r="V35">
        <f>HYPERLINK("https://klasma.github.io/Logging_0115/klagomål/A 12396-2026 FSC-klagomål.docx", "A 12396-2026")</f>
        <v/>
      </c>
      <c r="W35">
        <f>HYPERLINK("https://klasma.github.io/Logging_0115/klagomålsmail/A 12396-2026 FSC-klagomål mail.docx", "A 12396-2026")</f>
        <v/>
      </c>
      <c r="X35">
        <f>HYPERLINK("https://klasma.github.io/Logging_0115/tillsyn/A 12396-2026 tillsynsbegäran.docx", "A 12396-2026")</f>
        <v/>
      </c>
      <c r="Y35">
        <f>HYPERLINK("https://klasma.github.io/Logging_0115/tillsynsmail/A 12396-2026 tillsynsbegäran mail.docx", "A 12396-2026")</f>
        <v/>
      </c>
      <c r="Z35">
        <f>HYPERLINK("https://klasma.github.io/Logging_0115/fåglar/A 12396-2026 prioriterade fågelarter.docx", "A 12396-2026")</f>
        <v/>
      </c>
    </row>
    <row r="36" ht="15" customHeight="1">
      <c r="A36" t="inlineStr">
        <is>
          <t>A 12401-2026</t>
        </is>
      </c>
      <c r="B36" s="1" t="n">
        <v>46090</v>
      </c>
      <c r="C36" s="1" t="n">
        <v>46203</v>
      </c>
      <c r="D36" t="inlineStr">
        <is>
          <t>STOCKHOLMS LÄN</t>
        </is>
      </c>
      <c r="E36" t="inlineStr">
        <is>
          <t>VALLENTUNA</t>
        </is>
      </c>
      <c r="G36" t="n">
        <v>5.9</v>
      </c>
      <c r="H36" t="n">
        <v>1</v>
      </c>
      <c r="I36" t="n">
        <v>0</v>
      </c>
      <c r="J36" t="n">
        <v>0</v>
      </c>
      <c r="K36" t="n">
        <v>0</v>
      </c>
      <c r="L36" t="n">
        <v>0</v>
      </c>
      <c r="M36" t="n">
        <v>0</v>
      </c>
      <c r="N36" t="n">
        <v>0</v>
      </c>
      <c r="O36" t="n">
        <v>0</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24068-2024</t>
        </is>
      </c>
      <c r="B37" s="1" t="n">
        <v>45456</v>
      </c>
      <c r="C37" s="1" t="n">
        <v>46203</v>
      </c>
      <c r="D37" t="inlineStr">
        <is>
          <t>STOCKHOLMS LÄN</t>
        </is>
      </c>
      <c r="E37" t="inlineStr">
        <is>
          <t>VALLENTUNA</t>
        </is>
      </c>
      <c r="G37" t="n">
        <v>7.4</v>
      </c>
      <c r="H37" t="n">
        <v>0</v>
      </c>
      <c r="I37" t="n">
        <v>0</v>
      </c>
      <c r="J37" t="n">
        <v>1</v>
      </c>
      <c r="K37" t="n">
        <v>0</v>
      </c>
      <c r="L37" t="n">
        <v>0</v>
      </c>
      <c r="M37" t="n">
        <v>0</v>
      </c>
      <c r="N37" t="n">
        <v>0</v>
      </c>
      <c r="O37" t="n">
        <v>1</v>
      </c>
      <c r="P37" t="n">
        <v>0</v>
      </c>
      <c r="Q37" t="n">
        <v>1</v>
      </c>
      <c r="R37" s="2" t="inlineStr">
        <is>
          <t>Vedskivlav</t>
        </is>
      </c>
      <c r="S37">
        <f>HYPERLINK("https://klasma.github.io/Logging_0115/artfynd/A 24068-2024 artfynd.xlsx", "A 24068-2024")</f>
        <v/>
      </c>
      <c r="T37">
        <f>HYPERLINK("https://klasma.github.io/Logging_0115/kartor/A 24068-2024 karta.png", "A 24068-2024")</f>
        <v/>
      </c>
      <c r="V37">
        <f>HYPERLINK("https://klasma.github.io/Logging_0115/klagomål/A 24068-2024 FSC-klagomål.docx", "A 24068-2024")</f>
        <v/>
      </c>
      <c r="W37">
        <f>HYPERLINK("https://klasma.github.io/Logging_0115/klagomålsmail/A 24068-2024 FSC-klagomål mail.docx", "A 24068-2024")</f>
        <v/>
      </c>
      <c r="X37">
        <f>HYPERLINK("https://klasma.github.io/Logging_0115/tillsyn/A 24068-2024 tillsynsbegäran.docx", "A 24068-2024")</f>
        <v/>
      </c>
      <c r="Y37">
        <f>HYPERLINK("https://klasma.github.io/Logging_0115/tillsynsmail/A 24068-2024 tillsynsbegäran mail.docx", "A 24068-2024")</f>
        <v/>
      </c>
    </row>
    <row r="38" ht="15" customHeight="1">
      <c r="A38" t="inlineStr">
        <is>
          <t>A 7890-2023</t>
        </is>
      </c>
      <c r="B38" s="1" t="n">
        <v>44973</v>
      </c>
      <c r="C38" s="1" t="n">
        <v>46203</v>
      </c>
      <c r="D38" t="inlineStr">
        <is>
          <t>STOCKHOLMS LÄN</t>
        </is>
      </c>
      <c r="E38" t="inlineStr">
        <is>
          <t>VALLENTUNA</t>
        </is>
      </c>
      <c r="G38" t="n">
        <v>0.5</v>
      </c>
      <c r="H38" t="n">
        <v>0</v>
      </c>
      <c r="I38" t="n">
        <v>0</v>
      </c>
      <c r="J38" t="n">
        <v>1</v>
      </c>
      <c r="K38" t="n">
        <v>0</v>
      </c>
      <c r="L38" t="n">
        <v>0</v>
      </c>
      <c r="M38" t="n">
        <v>0</v>
      </c>
      <c r="N38" t="n">
        <v>0</v>
      </c>
      <c r="O38" t="n">
        <v>1</v>
      </c>
      <c r="P38" t="n">
        <v>0</v>
      </c>
      <c r="Q38" t="n">
        <v>1</v>
      </c>
      <c r="R38" s="2" t="inlineStr">
        <is>
          <t>Ullticka</t>
        </is>
      </c>
      <c r="S38">
        <f>HYPERLINK("https://klasma.github.io/Logging_0115/artfynd/A 7890-2023 artfynd.xlsx", "A 7890-2023")</f>
        <v/>
      </c>
      <c r="T38">
        <f>HYPERLINK("https://klasma.github.io/Logging_0115/kartor/A 7890-2023 karta.png", "A 7890-2023")</f>
        <v/>
      </c>
      <c r="V38">
        <f>HYPERLINK("https://klasma.github.io/Logging_0115/klagomål/A 7890-2023 FSC-klagomål.docx", "A 7890-2023")</f>
        <v/>
      </c>
      <c r="W38">
        <f>HYPERLINK("https://klasma.github.io/Logging_0115/klagomålsmail/A 7890-2023 FSC-klagomål mail.docx", "A 7890-2023")</f>
        <v/>
      </c>
      <c r="X38">
        <f>HYPERLINK("https://klasma.github.io/Logging_0115/tillsyn/A 7890-2023 tillsynsbegäran.docx", "A 7890-2023")</f>
        <v/>
      </c>
      <c r="Y38">
        <f>HYPERLINK("https://klasma.github.io/Logging_0115/tillsynsmail/A 7890-2023 tillsynsbegäran mail.docx", "A 7890-2023")</f>
        <v/>
      </c>
    </row>
    <row r="39" ht="15" customHeight="1">
      <c r="A39" t="inlineStr">
        <is>
          <t>A 20910-2026</t>
        </is>
      </c>
      <c r="B39" s="1" t="n">
        <v>46142</v>
      </c>
      <c r="C39" s="1" t="n">
        <v>46203</v>
      </c>
      <c r="D39" t="inlineStr">
        <is>
          <t>STOCKHOLMS LÄN</t>
        </is>
      </c>
      <c r="E39" t="inlineStr">
        <is>
          <t>VALLENTUNA</t>
        </is>
      </c>
      <c r="G39" t="n">
        <v>1.8</v>
      </c>
      <c r="H39" t="n">
        <v>1</v>
      </c>
      <c r="I39" t="n">
        <v>0</v>
      </c>
      <c r="J39" t="n">
        <v>0</v>
      </c>
      <c r="K39" t="n">
        <v>0</v>
      </c>
      <c r="L39" t="n">
        <v>0</v>
      </c>
      <c r="M39" t="n">
        <v>0</v>
      </c>
      <c r="N39" t="n">
        <v>0</v>
      </c>
      <c r="O39" t="n">
        <v>0</v>
      </c>
      <c r="P39" t="n">
        <v>0</v>
      </c>
      <c r="Q39" t="n">
        <v>1</v>
      </c>
      <c r="R39" s="2" t="inlineStr">
        <is>
          <t>Revlummer</t>
        </is>
      </c>
      <c r="S39">
        <f>HYPERLINK("https://klasma.github.io/Logging_0115/artfynd/A 20910-2026 artfynd.xlsx", "A 20910-2026")</f>
        <v/>
      </c>
      <c r="T39">
        <f>HYPERLINK("https://klasma.github.io/Logging_0115/kartor/A 20910-2026 karta.png", "A 20910-2026")</f>
        <v/>
      </c>
      <c r="V39">
        <f>HYPERLINK("https://klasma.github.io/Logging_0115/klagomål/A 20910-2026 FSC-klagomål.docx", "A 20910-2026")</f>
        <v/>
      </c>
      <c r="W39">
        <f>HYPERLINK("https://klasma.github.io/Logging_0115/klagomålsmail/A 20910-2026 FSC-klagomål mail.docx", "A 20910-2026")</f>
        <v/>
      </c>
      <c r="X39">
        <f>HYPERLINK("https://klasma.github.io/Logging_0115/tillsyn/A 20910-2026 tillsynsbegäran.docx", "A 20910-2026")</f>
        <v/>
      </c>
      <c r="Y39">
        <f>HYPERLINK("https://klasma.github.io/Logging_0115/tillsynsmail/A 20910-2026 tillsynsbegäran mail.docx", "A 20910-2026")</f>
        <v/>
      </c>
    </row>
    <row r="40" ht="15" customHeight="1">
      <c r="A40" t="inlineStr">
        <is>
          <t>A 20914-2026</t>
        </is>
      </c>
      <c r="B40" s="1" t="n">
        <v>46142</v>
      </c>
      <c r="C40" s="1" t="n">
        <v>46203</v>
      </c>
      <c r="D40" t="inlineStr">
        <is>
          <t>STOCKHOLMS LÄN</t>
        </is>
      </c>
      <c r="E40" t="inlineStr">
        <is>
          <t>VALLENTUNA</t>
        </is>
      </c>
      <c r="G40" t="n">
        <v>1.1</v>
      </c>
      <c r="H40" t="n">
        <v>0</v>
      </c>
      <c r="I40" t="n">
        <v>0</v>
      </c>
      <c r="J40" t="n">
        <v>1</v>
      </c>
      <c r="K40" t="n">
        <v>0</v>
      </c>
      <c r="L40" t="n">
        <v>0</v>
      </c>
      <c r="M40" t="n">
        <v>0</v>
      </c>
      <c r="N40" t="n">
        <v>0</v>
      </c>
      <c r="O40" t="n">
        <v>1</v>
      </c>
      <c r="P40" t="n">
        <v>0</v>
      </c>
      <c r="Q40" t="n">
        <v>1</v>
      </c>
      <c r="R40" s="2" t="inlineStr">
        <is>
          <t>Tallticka</t>
        </is>
      </c>
      <c r="S40">
        <f>HYPERLINK("https://klasma.github.io/Logging_0115/artfynd/A 20914-2026 artfynd.xlsx", "A 20914-2026")</f>
        <v/>
      </c>
      <c r="T40">
        <f>HYPERLINK("https://klasma.github.io/Logging_0115/kartor/A 20914-2026 karta.png", "A 20914-2026")</f>
        <v/>
      </c>
      <c r="V40">
        <f>HYPERLINK("https://klasma.github.io/Logging_0115/klagomål/A 20914-2026 FSC-klagomål.docx", "A 20914-2026")</f>
        <v/>
      </c>
      <c r="W40">
        <f>HYPERLINK("https://klasma.github.io/Logging_0115/klagomålsmail/A 20914-2026 FSC-klagomål mail.docx", "A 20914-2026")</f>
        <v/>
      </c>
      <c r="X40">
        <f>HYPERLINK("https://klasma.github.io/Logging_0115/tillsyn/A 20914-2026 tillsynsbegäran.docx", "A 20914-2026")</f>
        <v/>
      </c>
      <c r="Y40">
        <f>HYPERLINK("https://klasma.github.io/Logging_0115/tillsynsmail/A 20914-2026 tillsynsbegäran mail.docx", "A 20914-2026")</f>
        <v/>
      </c>
    </row>
    <row r="41" ht="15" customHeight="1">
      <c r="A41" t="inlineStr">
        <is>
          <t>A 21-2022</t>
        </is>
      </c>
      <c r="B41" s="1" t="n">
        <v>44560</v>
      </c>
      <c r="C41" s="1" t="n">
        <v>46203</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17341-2025</t>
        </is>
      </c>
      <c r="B42" s="1" t="n">
        <v>45756</v>
      </c>
      <c r="C42" s="1" t="n">
        <v>46203</v>
      </c>
      <c r="D42" t="inlineStr">
        <is>
          <t>STOCKHOLMS LÄN</t>
        </is>
      </c>
      <c r="E42" t="inlineStr">
        <is>
          <t>VALLENTUNA</t>
        </is>
      </c>
      <c r="F42" t="inlineStr">
        <is>
          <t>Övriga Aktiebolag</t>
        </is>
      </c>
      <c r="G42" t="n">
        <v>5.2</v>
      </c>
      <c r="H42" t="n">
        <v>0</v>
      </c>
      <c r="I42" t="n">
        <v>1</v>
      </c>
      <c r="J42" t="n">
        <v>0</v>
      </c>
      <c r="K42" t="n">
        <v>0</v>
      </c>
      <c r="L42" t="n">
        <v>0</v>
      </c>
      <c r="M42" t="n">
        <v>0</v>
      </c>
      <c r="N42" t="n">
        <v>0</v>
      </c>
      <c r="O42" t="n">
        <v>0</v>
      </c>
      <c r="P42" t="n">
        <v>0</v>
      </c>
      <c r="Q42" t="n">
        <v>1</v>
      </c>
      <c r="R42" s="2" t="inlineStr">
        <is>
          <t>Björksplintborre</t>
        </is>
      </c>
      <c r="S42">
        <f>HYPERLINK("https://klasma.github.io/Logging_0115/artfynd/A 17341-2025 artfynd.xlsx", "A 17341-2025")</f>
        <v/>
      </c>
      <c r="T42">
        <f>HYPERLINK("https://klasma.github.io/Logging_0115/kartor/A 17341-2025 karta.png", "A 17341-2025")</f>
        <v/>
      </c>
      <c r="V42">
        <f>HYPERLINK("https://klasma.github.io/Logging_0115/klagomål/A 17341-2025 FSC-klagomål.docx", "A 17341-2025")</f>
        <v/>
      </c>
      <c r="W42">
        <f>HYPERLINK("https://klasma.github.io/Logging_0115/klagomålsmail/A 17341-2025 FSC-klagomål mail.docx", "A 17341-2025")</f>
        <v/>
      </c>
      <c r="X42">
        <f>HYPERLINK("https://klasma.github.io/Logging_0115/tillsyn/A 17341-2025 tillsynsbegäran.docx", "A 17341-2025")</f>
        <v/>
      </c>
      <c r="Y42">
        <f>HYPERLINK("https://klasma.github.io/Logging_0115/tillsynsmail/A 17341-2025 tillsynsbegäran mail.docx", "A 17341-2025")</f>
        <v/>
      </c>
    </row>
    <row r="43" ht="15" customHeight="1">
      <c r="A43" t="inlineStr">
        <is>
          <t>A 34458-2023</t>
        </is>
      </c>
      <c r="B43" s="1" t="n">
        <v>45139</v>
      </c>
      <c r="C43" s="1" t="n">
        <v>46203</v>
      </c>
      <c r="D43" t="inlineStr">
        <is>
          <t>STOCKHOLMS LÄN</t>
        </is>
      </c>
      <c r="E43" t="inlineStr">
        <is>
          <t>VALLENTUNA</t>
        </is>
      </c>
      <c r="G43" t="n">
        <v>2.5</v>
      </c>
      <c r="H43" t="n">
        <v>0</v>
      </c>
      <c r="I43" t="n">
        <v>0</v>
      </c>
      <c r="J43" t="n">
        <v>1</v>
      </c>
      <c r="K43" t="n">
        <v>0</v>
      </c>
      <c r="L43" t="n">
        <v>0</v>
      </c>
      <c r="M43" t="n">
        <v>0</v>
      </c>
      <c r="N43" t="n">
        <v>0</v>
      </c>
      <c r="O43" t="n">
        <v>1</v>
      </c>
      <c r="P43" t="n">
        <v>0</v>
      </c>
      <c r="Q43" t="n">
        <v>1</v>
      </c>
      <c r="R43" s="2" t="inlineStr">
        <is>
          <t>Motaggsvamp</t>
        </is>
      </c>
      <c r="S43">
        <f>HYPERLINK("https://klasma.github.io/Logging_0115/artfynd/A 34458-2023 artfynd.xlsx", "A 34458-2023")</f>
        <v/>
      </c>
      <c r="T43">
        <f>HYPERLINK("https://klasma.github.io/Logging_0115/kartor/A 34458-2023 karta.png", "A 34458-2023")</f>
        <v/>
      </c>
      <c r="V43">
        <f>HYPERLINK("https://klasma.github.io/Logging_0115/klagomål/A 34458-2023 FSC-klagomål.docx", "A 34458-2023")</f>
        <v/>
      </c>
      <c r="W43">
        <f>HYPERLINK("https://klasma.github.io/Logging_0115/klagomålsmail/A 34458-2023 FSC-klagomål mail.docx", "A 34458-2023")</f>
        <v/>
      </c>
      <c r="X43">
        <f>HYPERLINK("https://klasma.github.io/Logging_0115/tillsyn/A 34458-2023 tillsynsbegäran.docx", "A 34458-2023")</f>
        <v/>
      </c>
      <c r="Y43">
        <f>HYPERLINK("https://klasma.github.io/Logging_0115/tillsynsmail/A 34458-2023 tillsynsbegäran mail.docx", "A 34458-2023")</f>
        <v/>
      </c>
    </row>
    <row r="44" ht="15" customHeight="1">
      <c r="A44" t="inlineStr">
        <is>
          <t>A 8089-2022</t>
        </is>
      </c>
      <c r="B44" s="1" t="n">
        <v>44609</v>
      </c>
      <c r="C44" s="1" t="n">
        <v>46203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46203</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46203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46203</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46203</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46203</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46203</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46203</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46203</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46203</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46203</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46203</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38102-2024</t>
        </is>
      </c>
      <c r="B56" s="1" t="n">
        <v>45545</v>
      </c>
      <c r="C56" s="1" t="n">
        <v>46203</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48014-2025</t>
        </is>
      </c>
      <c r="B57" s="1" t="n">
        <v>45932</v>
      </c>
      <c r="C57" s="1" t="n">
        <v>46203</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17340-2025</t>
        </is>
      </c>
      <c r="B58" s="1" t="n">
        <v>45756</v>
      </c>
      <c r="C58" s="1" t="n">
        <v>46203</v>
      </c>
      <c r="D58" t="inlineStr">
        <is>
          <t>STOCKHOLMS LÄN</t>
        </is>
      </c>
      <c r="E58" t="inlineStr">
        <is>
          <t>VALLENTUNA</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48038-2025</t>
        </is>
      </c>
      <c r="B59" s="1" t="n">
        <v>45932</v>
      </c>
      <c r="C59" s="1" t="n">
        <v>46203</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20791-2025</t>
        </is>
      </c>
      <c r="B60" s="1" t="n">
        <v>45776</v>
      </c>
      <c r="C60" s="1" t="n">
        <v>46203</v>
      </c>
      <c r="D60" t="inlineStr">
        <is>
          <t>STOCKHOLMS LÄN</t>
        </is>
      </c>
      <c r="E60" t="inlineStr">
        <is>
          <t>VALLENTUNA</t>
        </is>
      </c>
      <c r="G60" t="n">
        <v>1.5</v>
      </c>
      <c r="H60" t="n">
        <v>0</v>
      </c>
      <c r="I60" t="n">
        <v>0</v>
      </c>
      <c r="J60" t="n">
        <v>0</v>
      </c>
      <c r="K60" t="n">
        <v>0</v>
      </c>
      <c r="L60" t="n">
        <v>0</v>
      </c>
      <c r="M60" t="n">
        <v>0</v>
      </c>
      <c r="N60" t="n">
        <v>0</v>
      </c>
      <c r="O60" t="n">
        <v>0</v>
      </c>
      <c r="P60" t="n">
        <v>0</v>
      </c>
      <c r="Q60" t="n">
        <v>0</v>
      </c>
      <c r="R60" s="2" t="inlineStr"/>
    </row>
    <row r="61" ht="15" customHeight="1">
      <c r="A61" t="inlineStr">
        <is>
          <t>A 10073-2024</t>
        </is>
      </c>
      <c r="B61" s="1" t="n">
        <v>45364</v>
      </c>
      <c r="C61" s="1" t="n">
        <v>46203</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46203</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12621-2024</t>
        </is>
      </c>
      <c r="B63" s="1" t="n">
        <v>45383</v>
      </c>
      <c r="C63" s="1" t="n">
        <v>46203</v>
      </c>
      <c r="D63" t="inlineStr">
        <is>
          <t>STOCKHOLMS LÄN</t>
        </is>
      </c>
      <c r="E63" t="inlineStr">
        <is>
          <t>VALLENTUNA</t>
        </is>
      </c>
      <c r="G63" t="n">
        <v>4.4</v>
      </c>
      <c r="H63" t="n">
        <v>0</v>
      </c>
      <c r="I63" t="n">
        <v>0</v>
      </c>
      <c r="J63" t="n">
        <v>0</v>
      </c>
      <c r="K63" t="n">
        <v>0</v>
      </c>
      <c r="L63" t="n">
        <v>0</v>
      </c>
      <c r="M63" t="n">
        <v>0</v>
      </c>
      <c r="N63" t="n">
        <v>0</v>
      </c>
      <c r="O63" t="n">
        <v>0</v>
      </c>
      <c r="P63" t="n">
        <v>0</v>
      </c>
      <c r="Q63" t="n">
        <v>0</v>
      </c>
      <c r="R63" s="2" t="inlineStr"/>
    </row>
    <row r="64" ht="15" customHeight="1">
      <c r="A64" t="inlineStr">
        <is>
          <t>A 46381-2023</t>
        </is>
      </c>
      <c r="B64" s="1" t="n">
        <v>45193</v>
      </c>
      <c r="C64" s="1" t="n">
        <v>46203</v>
      </c>
      <c r="D64" t="inlineStr">
        <is>
          <t>STOCKHOLMS LÄN</t>
        </is>
      </c>
      <c r="E64" t="inlineStr">
        <is>
          <t>VALLENTUNA</t>
        </is>
      </c>
      <c r="G64" t="n">
        <v>2.9</v>
      </c>
      <c r="H64" t="n">
        <v>0</v>
      </c>
      <c r="I64" t="n">
        <v>0</v>
      </c>
      <c r="J64" t="n">
        <v>0</v>
      </c>
      <c r="K64" t="n">
        <v>0</v>
      </c>
      <c r="L64" t="n">
        <v>0</v>
      </c>
      <c r="M64" t="n">
        <v>0</v>
      </c>
      <c r="N64" t="n">
        <v>0</v>
      </c>
      <c r="O64" t="n">
        <v>0</v>
      </c>
      <c r="P64" t="n">
        <v>0</v>
      </c>
      <c r="Q64" t="n">
        <v>0</v>
      </c>
      <c r="R64" s="2" t="inlineStr"/>
    </row>
    <row r="65" ht="15" customHeight="1">
      <c r="A65" t="inlineStr">
        <is>
          <t>A 61027-2023</t>
        </is>
      </c>
      <c r="B65" s="1" t="n">
        <v>45261</v>
      </c>
      <c r="C65" s="1" t="n">
        <v>46203</v>
      </c>
      <c r="D65" t="inlineStr">
        <is>
          <t>STOCKHOLMS LÄN</t>
        </is>
      </c>
      <c r="E65" t="inlineStr">
        <is>
          <t>VALLENTUNA</t>
        </is>
      </c>
      <c r="G65" t="n">
        <v>7.1</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46203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3078-2023</t>
        </is>
      </c>
      <c r="B67" s="1" t="n">
        <v>44946</v>
      </c>
      <c r="C67" s="1" t="n">
        <v>46203</v>
      </c>
      <c r="D67" t="inlineStr">
        <is>
          <t>STOCKHOLMS LÄN</t>
        </is>
      </c>
      <c r="E67" t="inlineStr">
        <is>
          <t>VALLENTUNA</t>
        </is>
      </c>
      <c r="G67" t="n">
        <v>3.9</v>
      </c>
      <c r="H67" t="n">
        <v>0</v>
      </c>
      <c r="I67" t="n">
        <v>0</v>
      </c>
      <c r="J67" t="n">
        <v>0</v>
      </c>
      <c r="K67" t="n">
        <v>0</v>
      </c>
      <c r="L67" t="n">
        <v>0</v>
      </c>
      <c r="M67" t="n">
        <v>0</v>
      </c>
      <c r="N67" t="n">
        <v>0</v>
      </c>
      <c r="O67" t="n">
        <v>0</v>
      </c>
      <c r="P67" t="n">
        <v>0</v>
      </c>
      <c r="Q67" t="n">
        <v>0</v>
      </c>
      <c r="R67" s="2" t="inlineStr"/>
    </row>
    <row r="68" ht="15" customHeight="1">
      <c r="A68" t="inlineStr">
        <is>
          <t>A 60795-2023</t>
        </is>
      </c>
      <c r="B68" s="1" t="n">
        <v>45260</v>
      </c>
      <c r="C68" s="1" t="n">
        <v>46203</v>
      </c>
      <c r="D68" t="inlineStr">
        <is>
          <t>STOCKHOLMS LÄN</t>
        </is>
      </c>
      <c r="E68" t="inlineStr">
        <is>
          <t>VALLENTUNA</t>
        </is>
      </c>
      <c r="G68" t="n">
        <v>2.2</v>
      </c>
      <c r="H68" t="n">
        <v>0</v>
      </c>
      <c r="I68" t="n">
        <v>0</v>
      </c>
      <c r="J68" t="n">
        <v>0</v>
      </c>
      <c r="K68" t="n">
        <v>0</v>
      </c>
      <c r="L68" t="n">
        <v>0</v>
      </c>
      <c r="M68" t="n">
        <v>0</v>
      </c>
      <c r="N68" t="n">
        <v>0</v>
      </c>
      <c r="O68" t="n">
        <v>0</v>
      </c>
      <c r="P68" t="n">
        <v>0</v>
      </c>
      <c r="Q68" t="n">
        <v>0</v>
      </c>
      <c r="R68" s="2" t="inlineStr"/>
    </row>
    <row r="69" ht="15" customHeight="1">
      <c r="A69" t="inlineStr">
        <is>
          <t>A 30902-2025</t>
        </is>
      </c>
      <c r="B69" s="1" t="n">
        <v>45832</v>
      </c>
      <c r="C69" s="1" t="n">
        <v>46203</v>
      </c>
      <c r="D69" t="inlineStr">
        <is>
          <t>STOCKHOLMS LÄN</t>
        </is>
      </c>
      <c r="E69" t="inlineStr">
        <is>
          <t>VALLENTUNA</t>
        </is>
      </c>
      <c r="G69" t="n">
        <v>8.199999999999999</v>
      </c>
      <c r="H69" t="n">
        <v>0</v>
      </c>
      <c r="I69" t="n">
        <v>0</v>
      </c>
      <c r="J69" t="n">
        <v>0</v>
      </c>
      <c r="K69" t="n">
        <v>0</v>
      </c>
      <c r="L69" t="n">
        <v>0</v>
      </c>
      <c r="M69" t="n">
        <v>0</v>
      </c>
      <c r="N69" t="n">
        <v>0</v>
      </c>
      <c r="O69" t="n">
        <v>0</v>
      </c>
      <c r="P69" t="n">
        <v>0</v>
      </c>
      <c r="Q69" t="n">
        <v>0</v>
      </c>
      <c r="R69" s="2" t="inlineStr"/>
    </row>
    <row r="70" ht="15" customHeight="1">
      <c r="A70" t="inlineStr">
        <is>
          <t>A 14480-2024</t>
        </is>
      </c>
      <c r="B70" s="1" t="n">
        <v>45394</v>
      </c>
      <c r="C70" s="1" t="n">
        <v>46203</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46203</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28431-2025</t>
        </is>
      </c>
      <c r="B72" s="1" t="n">
        <v>45819</v>
      </c>
      <c r="C72" s="1" t="n">
        <v>46203</v>
      </c>
      <c r="D72" t="inlineStr">
        <is>
          <t>STOCKHOLMS LÄN</t>
        </is>
      </c>
      <c r="E72" t="inlineStr">
        <is>
          <t>VALLENTUNA</t>
        </is>
      </c>
      <c r="G72" t="n">
        <v>1.5</v>
      </c>
      <c r="H72" t="n">
        <v>0</v>
      </c>
      <c r="I72" t="n">
        <v>0</v>
      </c>
      <c r="J72" t="n">
        <v>0</v>
      </c>
      <c r="K72" t="n">
        <v>0</v>
      </c>
      <c r="L72" t="n">
        <v>0</v>
      </c>
      <c r="M72" t="n">
        <v>0</v>
      </c>
      <c r="N72" t="n">
        <v>0</v>
      </c>
      <c r="O72" t="n">
        <v>0</v>
      </c>
      <c r="P72" t="n">
        <v>0</v>
      </c>
      <c r="Q72" t="n">
        <v>0</v>
      </c>
      <c r="R72" s="2" t="inlineStr"/>
    </row>
    <row r="73" ht="15" customHeight="1">
      <c r="A73" t="inlineStr">
        <is>
          <t>A 414-2026</t>
        </is>
      </c>
      <c r="B73" s="1" t="n">
        <v>46028</v>
      </c>
      <c r="C73" s="1" t="n">
        <v>46203</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44346-2021</t>
        </is>
      </c>
      <c r="B74" s="1" t="n">
        <v>44434</v>
      </c>
      <c r="C74" s="1" t="n">
        <v>46203</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48068-2021</t>
        </is>
      </c>
      <c r="B75" s="1" t="n">
        <v>44449</v>
      </c>
      <c r="C75" s="1" t="n">
        <v>46203</v>
      </c>
      <c r="D75" t="inlineStr">
        <is>
          <t>STOCKHOLMS LÄN</t>
        </is>
      </c>
      <c r="E75" t="inlineStr">
        <is>
          <t>VALLENTUNA</t>
        </is>
      </c>
      <c r="G75" t="n">
        <v>1.3</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46203</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60818-2023</t>
        </is>
      </c>
      <c r="B77" s="1" t="n">
        <v>45259</v>
      </c>
      <c r="C77" s="1" t="n">
        <v>46203</v>
      </c>
      <c r="D77" t="inlineStr">
        <is>
          <t>STOCKHOLMS LÄN</t>
        </is>
      </c>
      <c r="E77" t="inlineStr">
        <is>
          <t>VALLENTUNA</t>
        </is>
      </c>
      <c r="G77" t="n">
        <v>9.4</v>
      </c>
      <c r="H77" t="n">
        <v>0</v>
      </c>
      <c r="I77" t="n">
        <v>0</v>
      </c>
      <c r="J77" t="n">
        <v>0</v>
      </c>
      <c r="K77" t="n">
        <v>0</v>
      </c>
      <c r="L77" t="n">
        <v>0</v>
      </c>
      <c r="M77" t="n">
        <v>0</v>
      </c>
      <c r="N77" t="n">
        <v>0</v>
      </c>
      <c r="O77" t="n">
        <v>0</v>
      </c>
      <c r="P77" t="n">
        <v>0</v>
      </c>
      <c r="Q77" t="n">
        <v>0</v>
      </c>
      <c r="R77" s="2" t="inlineStr"/>
    </row>
    <row r="78" ht="15" customHeight="1">
      <c r="A78" t="inlineStr">
        <is>
          <t>A 6298-2026</t>
        </is>
      </c>
      <c r="B78" s="1" t="n">
        <v>46055</v>
      </c>
      <c r="C78" s="1" t="n">
        <v>46203</v>
      </c>
      <c r="D78" t="inlineStr">
        <is>
          <t>STOCKHOLMS LÄN</t>
        </is>
      </c>
      <c r="E78" t="inlineStr">
        <is>
          <t>VALLENTUNA</t>
        </is>
      </c>
      <c r="G78" t="n">
        <v>3.3</v>
      </c>
      <c r="H78" t="n">
        <v>0</v>
      </c>
      <c r="I78" t="n">
        <v>0</v>
      </c>
      <c r="J78" t="n">
        <v>0</v>
      </c>
      <c r="K78" t="n">
        <v>0</v>
      </c>
      <c r="L78" t="n">
        <v>0</v>
      </c>
      <c r="M78" t="n">
        <v>0</v>
      </c>
      <c r="N78" t="n">
        <v>0</v>
      </c>
      <c r="O78" t="n">
        <v>0</v>
      </c>
      <c r="P78" t="n">
        <v>0</v>
      </c>
      <c r="Q78" t="n">
        <v>0</v>
      </c>
      <c r="R78" s="2" t="inlineStr"/>
    </row>
    <row r="79" ht="15" customHeight="1">
      <c r="A79" t="inlineStr">
        <is>
          <t>A 7264-2022</t>
        </is>
      </c>
      <c r="B79" s="1" t="n">
        <v>44606</v>
      </c>
      <c r="C79" s="1" t="n">
        <v>46203</v>
      </c>
      <c r="D79" t="inlineStr">
        <is>
          <t>STOCKHOLMS LÄN</t>
        </is>
      </c>
      <c r="E79" t="inlineStr">
        <is>
          <t>VALLENTUNA</t>
        </is>
      </c>
      <c r="G79" t="n">
        <v>2.4</v>
      </c>
      <c r="H79" t="n">
        <v>0</v>
      </c>
      <c r="I79" t="n">
        <v>0</v>
      </c>
      <c r="J79" t="n">
        <v>0</v>
      </c>
      <c r="K79" t="n">
        <v>0</v>
      </c>
      <c r="L79" t="n">
        <v>0</v>
      </c>
      <c r="M79" t="n">
        <v>0</v>
      </c>
      <c r="N79" t="n">
        <v>0</v>
      </c>
      <c r="O79" t="n">
        <v>0</v>
      </c>
      <c r="P79" t="n">
        <v>0</v>
      </c>
      <c r="Q79" t="n">
        <v>0</v>
      </c>
      <c r="R79" s="2" t="inlineStr"/>
    </row>
    <row r="80" ht="15" customHeight="1">
      <c r="A80" t="inlineStr">
        <is>
          <t>A 19356-2025</t>
        </is>
      </c>
      <c r="B80" s="1" t="n">
        <v>45769</v>
      </c>
      <c r="C80" s="1" t="n">
        <v>46203</v>
      </c>
      <c r="D80" t="inlineStr">
        <is>
          <t>STOCKHOLMS LÄN</t>
        </is>
      </c>
      <c r="E80" t="inlineStr">
        <is>
          <t>VALLENTUNA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12562-2023</t>
        </is>
      </c>
      <c r="B81" s="1" t="n">
        <v>45000</v>
      </c>
      <c r="C81" s="1" t="n">
        <v>46203</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12400-2026</t>
        </is>
      </c>
      <c r="B82" s="1" t="n">
        <v>46090</v>
      </c>
      <c r="C82" s="1" t="n">
        <v>46203</v>
      </c>
      <c r="D82" t="inlineStr">
        <is>
          <t>STOCKHOLMS LÄN</t>
        </is>
      </c>
      <c r="E82" t="inlineStr">
        <is>
          <t>VALLENTUNA</t>
        </is>
      </c>
      <c r="G82" t="n">
        <v>1.9</v>
      </c>
      <c r="H82" t="n">
        <v>0</v>
      </c>
      <c r="I82" t="n">
        <v>0</v>
      </c>
      <c r="J82" t="n">
        <v>0</v>
      </c>
      <c r="K82" t="n">
        <v>0</v>
      </c>
      <c r="L82" t="n">
        <v>0</v>
      </c>
      <c r="M82" t="n">
        <v>0</v>
      </c>
      <c r="N82" t="n">
        <v>0</v>
      </c>
      <c r="O82" t="n">
        <v>0</v>
      </c>
      <c r="P82" t="n">
        <v>0</v>
      </c>
      <c r="Q82" t="n">
        <v>0</v>
      </c>
      <c r="R82" s="2" t="inlineStr"/>
    </row>
    <row r="83" ht="15" customHeight="1">
      <c r="A83" t="inlineStr">
        <is>
          <t>A 12819-2026</t>
        </is>
      </c>
      <c r="B83" s="1" t="n">
        <v>46092</v>
      </c>
      <c r="C83" s="1" t="n">
        <v>46203</v>
      </c>
      <c r="D83" t="inlineStr">
        <is>
          <t>STOCKHOLMS LÄN</t>
        </is>
      </c>
      <c r="E83" t="inlineStr">
        <is>
          <t>VALLENTUNA</t>
        </is>
      </c>
      <c r="G83" t="n">
        <v>3.5</v>
      </c>
      <c r="H83" t="n">
        <v>0</v>
      </c>
      <c r="I83" t="n">
        <v>0</v>
      </c>
      <c r="J83" t="n">
        <v>0</v>
      </c>
      <c r="K83" t="n">
        <v>0</v>
      </c>
      <c r="L83" t="n">
        <v>0</v>
      </c>
      <c r="M83" t="n">
        <v>0</v>
      </c>
      <c r="N83" t="n">
        <v>0</v>
      </c>
      <c r="O83" t="n">
        <v>0</v>
      </c>
      <c r="P83" t="n">
        <v>0</v>
      </c>
      <c r="Q83" t="n">
        <v>0</v>
      </c>
      <c r="R83" s="2" t="inlineStr"/>
    </row>
    <row r="84" ht="15" customHeight="1">
      <c r="A84" t="inlineStr">
        <is>
          <t>A 12830-2026</t>
        </is>
      </c>
      <c r="B84" s="1" t="n">
        <v>46092</v>
      </c>
      <c r="C84" s="1" t="n">
        <v>46203</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12822-2026</t>
        </is>
      </c>
      <c r="B85" s="1" t="n">
        <v>46092</v>
      </c>
      <c r="C85" s="1" t="n">
        <v>46203</v>
      </c>
      <c r="D85" t="inlineStr">
        <is>
          <t>STOCKHOLMS LÄN</t>
        </is>
      </c>
      <c r="E85" t="inlineStr">
        <is>
          <t>VALLENTUNA</t>
        </is>
      </c>
      <c r="G85" t="n">
        <v>2.7</v>
      </c>
      <c r="H85" t="n">
        <v>0</v>
      </c>
      <c r="I85" t="n">
        <v>0</v>
      </c>
      <c r="J85" t="n">
        <v>0</v>
      </c>
      <c r="K85" t="n">
        <v>0</v>
      </c>
      <c r="L85" t="n">
        <v>0</v>
      </c>
      <c r="M85" t="n">
        <v>0</v>
      </c>
      <c r="N85" t="n">
        <v>0</v>
      </c>
      <c r="O85" t="n">
        <v>0</v>
      </c>
      <c r="P85" t="n">
        <v>0</v>
      </c>
      <c r="Q85" t="n">
        <v>0</v>
      </c>
      <c r="R85" s="2" t="inlineStr"/>
    </row>
    <row r="86" ht="15" customHeight="1">
      <c r="A86" t="inlineStr">
        <is>
          <t>A 12828-2026</t>
        </is>
      </c>
      <c r="B86" s="1" t="n">
        <v>46092</v>
      </c>
      <c r="C86" s="1" t="n">
        <v>46203</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14799-2026</t>
        </is>
      </c>
      <c r="B87" s="1" t="n">
        <v>46102</v>
      </c>
      <c r="C87" s="1" t="n">
        <v>46203</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61442-2024</t>
        </is>
      </c>
      <c r="B88" s="1" t="n">
        <v>45646</v>
      </c>
      <c r="C88" s="1" t="n">
        <v>46203</v>
      </c>
      <c r="D88" t="inlineStr">
        <is>
          <t>STOCKHOLMS LÄN</t>
        </is>
      </c>
      <c r="E88" t="inlineStr">
        <is>
          <t>VALLENTUNA</t>
        </is>
      </c>
      <c r="G88" t="n">
        <v>4.6</v>
      </c>
      <c r="H88" t="n">
        <v>0</v>
      </c>
      <c r="I88" t="n">
        <v>0</v>
      </c>
      <c r="J88" t="n">
        <v>0</v>
      </c>
      <c r="K88" t="n">
        <v>0</v>
      </c>
      <c r="L88" t="n">
        <v>0</v>
      </c>
      <c r="M88" t="n">
        <v>0</v>
      </c>
      <c r="N88" t="n">
        <v>0</v>
      </c>
      <c r="O88" t="n">
        <v>0</v>
      </c>
      <c r="P88" t="n">
        <v>0</v>
      </c>
      <c r="Q88" t="n">
        <v>0</v>
      </c>
      <c r="R88" s="2" t="inlineStr"/>
    </row>
    <row r="89" ht="15" customHeight="1">
      <c r="A89" t="inlineStr">
        <is>
          <t>A 17389-2026</t>
        </is>
      </c>
      <c r="B89" s="1" t="n">
        <v>46119</v>
      </c>
      <c r="C89" s="1" t="n">
        <v>46203</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17387-2026</t>
        </is>
      </c>
      <c r="B90" s="1" t="n">
        <v>46119</v>
      </c>
      <c r="C90" s="1" t="n">
        <v>46203</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4804-2024</t>
        </is>
      </c>
      <c r="B91" s="1" t="n">
        <v>45328</v>
      </c>
      <c r="C91" s="1" t="n">
        <v>46203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25740-2026</t>
        </is>
      </c>
      <c r="B92" s="1" t="n">
        <v>46178</v>
      </c>
      <c r="C92" s="1" t="n">
        <v>46203</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25752-2026</t>
        </is>
      </c>
      <c r="B93" s="1" t="n">
        <v>46178</v>
      </c>
      <c r="C93" s="1" t="n">
        <v>46203</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19503-2023</t>
        </is>
      </c>
      <c r="B94" s="1" t="n">
        <v>45050</v>
      </c>
      <c r="C94" s="1" t="n">
        <v>46203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24740-2026</t>
        </is>
      </c>
      <c r="B95" s="1" t="n">
        <v>46171</v>
      </c>
      <c r="C95" s="1" t="n">
        <v>46203</v>
      </c>
      <c r="D95" t="inlineStr">
        <is>
          <t>STOCKHOLMS LÄN</t>
        </is>
      </c>
      <c r="E95" t="inlineStr">
        <is>
          <t>VALLENTUNA</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21445-2023</t>
        </is>
      </c>
      <c r="B96" s="1" t="n">
        <v>45063</v>
      </c>
      <c r="C96" s="1" t="n">
        <v>46203</v>
      </c>
      <c r="D96" t="inlineStr">
        <is>
          <t>STOCKHOLMS LÄN</t>
        </is>
      </c>
      <c r="E96" t="inlineStr">
        <is>
          <t>VALLENTUNA</t>
        </is>
      </c>
      <c r="G96" t="n">
        <v>3.1</v>
      </c>
      <c r="H96" t="n">
        <v>0</v>
      </c>
      <c r="I96" t="n">
        <v>0</v>
      </c>
      <c r="J96" t="n">
        <v>0</v>
      </c>
      <c r="K96" t="n">
        <v>0</v>
      </c>
      <c r="L96" t="n">
        <v>0</v>
      </c>
      <c r="M96" t="n">
        <v>0</v>
      </c>
      <c r="N96" t="n">
        <v>0</v>
      </c>
      <c r="O96" t="n">
        <v>0</v>
      </c>
      <c r="P96" t="n">
        <v>0</v>
      </c>
      <c r="Q96" t="n">
        <v>0</v>
      </c>
      <c r="R96" s="2" t="inlineStr"/>
    </row>
    <row r="97" ht="15" customHeight="1">
      <c r="A97" t="inlineStr">
        <is>
          <t>A 22683-2023</t>
        </is>
      </c>
      <c r="B97" s="1" t="n">
        <v>45071</v>
      </c>
      <c r="C97" s="1" t="n">
        <v>46203</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24943-2024</t>
        </is>
      </c>
      <c r="B98" s="1" t="n">
        <v>45461</v>
      </c>
      <c r="C98" s="1" t="n">
        <v>46203</v>
      </c>
      <c r="D98" t="inlineStr">
        <is>
          <t>STOCKHOLMS LÄN</t>
        </is>
      </c>
      <c r="E98" t="inlineStr">
        <is>
          <t>VALLENTUNA</t>
        </is>
      </c>
      <c r="G98" t="n">
        <v>2</v>
      </c>
      <c r="H98" t="n">
        <v>0</v>
      </c>
      <c r="I98" t="n">
        <v>0</v>
      </c>
      <c r="J98" t="n">
        <v>0</v>
      </c>
      <c r="K98" t="n">
        <v>0</v>
      </c>
      <c r="L98" t="n">
        <v>0</v>
      </c>
      <c r="M98" t="n">
        <v>0</v>
      </c>
      <c r="N98" t="n">
        <v>0</v>
      </c>
      <c r="O98" t="n">
        <v>0</v>
      </c>
      <c r="P98" t="n">
        <v>0</v>
      </c>
      <c r="Q98" t="n">
        <v>0</v>
      </c>
      <c r="R98" s="2" t="inlineStr"/>
    </row>
    <row r="99" ht="15" customHeight="1">
      <c r="A99" t="inlineStr">
        <is>
          <t>A 5910-2022</t>
        </is>
      </c>
      <c r="B99" s="1" t="n">
        <v>44597</v>
      </c>
      <c r="C99" s="1" t="n">
        <v>46203</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26390-2023</t>
        </is>
      </c>
      <c r="B100" s="1" t="n">
        <v>45086</v>
      </c>
      <c r="C100" s="1" t="n">
        <v>46203</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46203</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v>
      </c>
      <c r="C102" s="1" t="n">
        <v>46203</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v>
      </c>
      <c r="C103" s="1" t="n">
        <v>46203</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v>
      </c>
      <c r="C104" s="1" t="n">
        <v>46203</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4803-2024</t>
        </is>
      </c>
      <c r="B105" s="1" t="n">
        <v>45328</v>
      </c>
      <c r="C105" s="1" t="n">
        <v>46203</v>
      </c>
      <c r="D105" t="inlineStr">
        <is>
          <t>STOCKHOLMS LÄN</t>
        </is>
      </c>
      <c r="E105" t="inlineStr">
        <is>
          <t>VALLENTUNA</t>
        </is>
      </c>
      <c r="G105" t="n">
        <v>4.6</v>
      </c>
      <c r="H105" t="n">
        <v>0</v>
      </c>
      <c r="I105" t="n">
        <v>0</v>
      </c>
      <c r="J105" t="n">
        <v>0</v>
      </c>
      <c r="K105" t="n">
        <v>0</v>
      </c>
      <c r="L105" t="n">
        <v>0</v>
      </c>
      <c r="M105" t="n">
        <v>0</v>
      </c>
      <c r="N105" t="n">
        <v>0</v>
      </c>
      <c r="O105" t="n">
        <v>0</v>
      </c>
      <c r="P105" t="n">
        <v>0</v>
      </c>
      <c r="Q105" t="n">
        <v>0</v>
      </c>
      <c r="R105" s="2" t="inlineStr"/>
    </row>
    <row r="106" ht="15" customHeight="1">
      <c r="A106" t="inlineStr">
        <is>
          <t>A 52542-2023</t>
        </is>
      </c>
      <c r="B106" s="1" t="n">
        <v>45225</v>
      </c>
      <c r="C106" s="1" t="n">
        <v>46203</v>
      </c>
      <c r="D106" t="inlineStr">
        <is>
          <t>STOCKHOLMS LÄN</t>
        </is>
      </c>
      <c r="E106" t="inlineStr">
        <is>
          <t>VALLENTUNA</t>
        </is>
      </c>
      <c r="G106" t="n">
        <v>3.8</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v>
      </c>
      <c r="C107" s="1" t="n">
        <v>46203</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14489-2024</t>
        </is>
      </c>
      <c r="B108" s="1" t="n">
        <v>45394</v>
      </c>
      <c r="C108" s="1" t="n">
        <v>46203</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52562-2023</t>
        </is>
      </c>
      <c r="B109" s="1" t="n">
        <v>45225</v>
      </c>
      <c r="C109" s="1" t="n">
        <v>46203</v>
      </c>
      <c r="D109" t="inlineStr">
        <is>
          <t>STOCKHOLMS LÄN</t>
        </is>
      </c>
      <c r="E109" t="inlineStr">
        <is>
          <t>VALLENTUNA</t>
        </is>
      </c>
      <c r="G109" t="n">
        <v>3.4</v>
      </c>
      <c r="H109" t="n">
        <v>0</v>
      </c>
      <c r="I109" t="n">
        <v>0</v>
      </c>
      <c r="J109" t="n">
        <v>0</v>
      </c>
      <c r="K109" t="n">
        <v>0</v>
      </c>
      <c r="L109" t="n">
        <v>0</v>
      </c>
      <c r="M109" t="n">
        <v>0</v>
      </c>
      <c r="N109" t="n">
        <v>0</v>
      </c>
      <c r="O109" t="n">
        <v>0</v>
      </c>
      <c r="P109" t="n">
        <v>0</v>
      </c>
      <c r="Q109" t="n">
        <v>0</v>
      </c>
      <c r="R109" s="2" t="inlineStr"/>
    </row>
    <row r="110" ht="15" customHeight="1">
      <c r="A110" t="inlineStr">
        <is>
          <t>A 23013-2024</t>
        </is>
      </c>
      <c r="B110" s="1" t="n">
        <v>45450</v>
      </c>
      <c r="C110" s="1" t="n">
        <v>46203</v>
      </c>
      <c r="D110" t="inlineStr">
        <is>
          <t>STOCKHOLMS LÄN</t>
        </is>
      </c>
      <c r="E110" t="inlineStr">
        <is>
          <t>VALLENTUNA</t>
        </is>
      </c>
      <c r="G110" t="n">
        <v>0.4</v>
      </c>
      <c r="H110" t="n">
        <v>0</v>
      </c>
      <c r="I110" t="n">
        <v>0</v>
      </c>
      <c r="J110" t="n">
        <v>0</v>
      </c>
      <c r="K110" t="n">
        <v>0</v>
      </c>
      <c r="L110" t="n">
        <v>0</v>
      </c>
      <c r="M110" t="n">
        <v>0</v>
      </c>
      <c r="N110" t="n">
        <v>0</v>
      </c>
      <c r="O110" t="n">
        <v>0</v>
      </c>
      <c r="P110" t="n">
        <v>0</v>
      </c>
      <c r="Q110" t="n">
        <v>0</v>
      </c>
      <c r="R110" s="2" t="inlineStr"/>
    </row>
    <row r="111" ht="15" customHeight="1">
      <c r="A111" t="inlineStr">
        <is>
          <t>A 2318-2024</t>
        </is>
      </c>
      <c r="B111" s="1" t="n">
        <v>45310</v>
      </c>
      <c r="C111" s="1" t="n">
        <v>46203</v>
      </c>
      <c r="D111" t="inlineStr">
        <is>
          <t>STOCKHOLMS LÄN</t>
        </is>
      </c>
      <c r="E111" t="inlineStr">
        <is>
          <t>VALLENTUNA</t>
        </is>
      </c>
      <c r="G111" t="n">
        <v>2.2</v>
      </c>
      <c r="H111" t="n">
        <v>0</v>
      </c>
      <c r="I111" t="n">
        <v>0</v>
      </c>
      <c r="J111" t="n">
        <v>0</v>
      </c>
      <c r="K111" t="n">
        <v>0</v>
      </c>
      <c r="L111" t="n">
        <v>0</v>
      </c>
      <c r="M111" t="n">
        <v>0</v>
      </c>
      <c r="N111" t="n">
        <v>0</v>
      </c>
      <c r="O111" t="n">
        <v>0</v>
      </c>
      <c r="P111" t="n">
        <v>0</v>
      </c>
      <c r="Q111" t="n">
        <v>0</v>
      </c>
      <c r="R111" s="2" t="inlineStr"/>
    </row>
    <row r="112" ht="15" customHeight="1">
      <c r="A112" t="inlineStr">
        <is>
          <t>A 61742-2022</t>
        </is>
      </c>
      <c r="B112" s="1" t="n">
        <v>44917</v>
      </c>
      <c r="C112" s="1" t="n">
        <v>46203</v>
      </c>
      <c r="D112" t="inlineStr">
        <is>
          <t>STOCKHOLMS LÄN</t>
        </is>
      </c>
      <c r="E112" t="inlineStr">
        <is>
          <t>VALLENTUNA</t>
        </is>
      </c>
      <c r="G112" t="n">
        <v>0.5</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46203</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46203</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46203</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12585-2023</t>
        </is>
      </c>
      <c r="B116" s="1" t="n">
        <v>45000</v>
      </c>
      <c r="C116" s="1" t="n">
        <v>46203</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46203</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46203</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46203</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46203</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46203</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46203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46203</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46203</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46203</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46203</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v>
      </c>
      <c r="C127" s="1" t="n">
        <v>46203</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46203</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v>
      </c>
      <c r="C129" s="1" t="n">
        <v>46203</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c r="A130" t="inlineStr">
        <is>
          <t>A 17411-2023</t>
        </is>
      </c>
      <c r="B130" s="1" t="n">
        <v>45035</v>
      </c>
      <c r="C130" s="1" t="n">
        <v>46203</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2026-06-30T00:56:23Z</dcterms:created>
  <dcterms:modified xmlns:dcterms="http://purl.org/dc/terms/" xmlns:xsi="http://www.w3.org/2001/XMLSchema-instance" xsi:type="dcterms:W3CDTF">2026-06-30T00:56:23Z</dcterms:modified>
</cp:coreProperties>
</file>