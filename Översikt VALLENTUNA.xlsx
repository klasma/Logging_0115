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45938</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45938</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45938</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45938</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45938</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45938</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45938</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45938</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45938</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41021-2023</t>
        </is>
      </c>
      <c r="B17" s="1" t="n">
        <v>45173</v>
      </c>
      <c r="C17" s="1" t="n">
        <v>45938</v>
      </c>
      <c r="D17" t="inlineStr">
        <is>
          <t>STOCKHOLMS LÄN</t>
        </is>
      </c>
      <c r="E17" t="inlineStr">
        <is>
          <t>VALLENTUNA</t>
        </is>
      </c>
      <c r="G17" t="n">
        <v>3</v>
      </c>
      <c r="H17" t="n">
        <v>0</v>
      </c>
      <c r="I17" t="n">
        <v>1</v>
      </c>
      <c r="J17" t="n">
        <v>1</v>
      </c>
      <c r="K17" t="n">
        <v>0</v>
      </c>
      <c r="L17" t="n">
        <v>0</v>
      </c>
      <c r="M17" t="n">
        <v>0</v>
      </c>
      <c r="N17" t="n">
        <v>0</v>
      </c>
      <c r="O17" t="n">
        <v>1</v>
      </c>
      <c r="P17" t="n">
        <v>0</v>
      </c>
      <c r="Q17" t="n">
        <v>2</v>
      </c>
      <c r="R17" s="2" t="inlineStr">
        <is>
          <t>Orange taggsvamp
Fjällig taggsvamp s.str.</t>
        </is>
      </c>
      <c r="S17">
        <f>HYPERLINK("https://klasma.github.io/Logging_0115/artfynd/A 41021-2023 artfynd.xlsx", "A 41021-2023")</f>
        <v/>
      </c>
      <c r="T17">
        <f>HYPERLINK("https://klasma.github.io/Logging_0115/kartor/A 41021-2023 karta.png", "A 41021-2023")</f>
        <v/>
      </c>
      <c r="V17">
        <f>HYPERLINK("https://klasma.github.io/Logging_0115/klagomål/A 41021-2023 FSC-klagomål.docx", "A 41021-2023")</f>
        <v/>
      </c>
      <c r="W17">
        <f>HYPERLINK("https://klasma.github.io/Logging_0115/klagomålsmail/A 41021-2023 FSC-klagomål mail.docx", "A 41021-2023")</f>
        <v/>
      </c>
      <c r="X17">
        <f>HYPERLINK("https://klasma.github.io/Logging_0115/tillsyn/A 41021-2023 tillsynsbegäran.docx", "A 41021-2023")</f>
        <v/>
      </c>
      <c r="Y17">
        <f>HYPERLINK("https://klasma.github.io/Logging_0115/tillsynsmail/A 41021-2023 tillsynsbegäran mail.docx", "A 41021-2023")</f>
        <v/>
      </c>
    </row>
    <row r="18" ht="15" customHeight="1">
      <c r="A18" t="inlineStr">
        <is>
          <t>A 46-2022</t>
        </is>
      </c>
      <c r="B18" s="1" t="n">
        <v>44560</v>
      </c>
      <c r="C18" s="1" t="n">
        <v>45938</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45938</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45938</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45938</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7890-2023</t>
        </is>
      </c>
      <c r="B22" s="1" t="n">
        <v>44973</v>
      </c>
      <c r="C22" s="1" t="n">
        <v>45938</v>
      </c>
      <c r="D22" t="inlineStr">
        <is>
          <t>STOCKHOLMS LÄN</t>
        </is>
      </c>
      <c r="E22" t="inlineStr">
        <is>
          <t>VALLENTUNA</t>
        </is>
      </c>
      <c r="G22" t="n">
        <v>0.5</v>
      </c>
      <c r="H22" t="n">
        <v>0</v>
      </c>
      <c r="I22" t="n">
        <v>0</v>
      </c>
      <c r="J22" t="n">
        <v>1</v>
      </c>
      <c r="K22" t="n">
        <v>0</v>
      </c>
      <c r="L22" t="n">
        <v>0</v>
      </c>
      <c r="M22" t="n">
        <v>0</v>
      </c>
      <c r="N22" t="n">
        <v>0</v>
      </c>
      <c r="O22" t="n">
        <v>1</v>
      </c>
      <c r="P22" t="n">
        <v>0</v>
      </c>
      <c r="Q22" t="n">
        <v>1</v>
      </c>
      <c r="R22" s="2" t="inlineStr">
        <is>
          <t>Ullticka</t>
        </is>
      </c>
      <c r="S22">
        <f>HYPERLINK("https://klasma.github.io/Logging_0115/artfynd/A 7890-2023 artfynd.xlsx", "A 7890-2023")</f>
        <v/>
      </c>
      <c r="T22">
        <f>HYPERLINK("https://klasma.github.io/Logging_0115/kartor/A 7890-2023 karta.png", "A 7890-2023")</f>
        <v/>
      </c>
      <c r="V22">
        <f>HYPERLINK("https://klasma.github.io/Logging_0115/klagomål/A 7890-2023 FSC-klagomål.docx", "A 7890-2023")</f>
        <v/>
      </c>
      <c r="W22">
        <f>HYPERLINK("https://klasma.github.io/Logging_0115/klagomålsmail/A 7890-2023 FSC-klagomål mail.docx", "A 7890-2023")</f>
        <v/>
      </c>
      <c r="X22">
        <f>HYPERLINK("https://klasma.github.io/Logging_0115/tillsyn/A 7890-2023 tillsynsbegäran.docx", "A 7890-2023")</f>
        <v/>
      </c>
      <c r="Y22">
        <f>HYPERLINK("https://klasma.github.io/Logging_0115/tillsynsmail/A 7890-2023 tillsynsbegäran mail.docx", "A 7890-2023")</f>
        <v/>
      </c>
    </row>
    <row r="23" ht="15" customHeight="1">
      <c r="A23" t="inlineStr">
        <is>
          <t>A 22830-2024</t>
        </is>
      </c>
      <c r="B23" s="1" t="n">
        <v>45448.56583333333</v>
      </c>
      <c r="C23" s="1" t="n">
        <v>45938</v>
      </c>
      <c r="D23" t="inlineStr">
        <is>
          <t>STOCKHOLMS LÄN</t>
        </is>
      </c>
      <c r="E23" t="inlineStr">
        <is>
          <t>VALLENTUNA</t>
        </is>
      </c>
      <c r="G23" t="n">
        <v>0.3</v>
      </c>
      <c r="H23" t="n">
        <v>0</v>
      </c>
      <c r="I23" t="n">
        <v>0</v>
      </c>
      <c r="J23" t="n">
        <v>1</v>
      </c>
      <c r="K23" t="n">
        <v>0</v>
      </c>
      <c r="L23" t="n">
        <v>0</v>
      </c>
      <c r="M23" t="n">
        <v>0</v>
      </c>
      <c r="N23" t="n">
        <v>0</v>
      </c>
      <c r="O23" t="n">
        <v>1</v>
      </c>
      <c r="P23" t="n">
        <v>0</v>
      </c>
      <c r="Q23" t="n">
        <v>1</v>
      </c>
      <c r="R23" s="2" t="inlineStr">
        <is>
          <t>Tallticka</t>
        </is>
      </c>
      <c r="S23">
        <f>HYPERLINK("https://klasma.github.io/Logging_0115/artfynd/A 22830-2024 artfynd.xlsx", "A 22830-2024")</f>
        <v/>
      </c>
      <c r="T23">
        <f>HYPERLINK("https://klasma.github.io/Logging_0115/kartor/A 22830-2024 karta.png", "A 22830-2024")</f>
        <v/>
      </c>
      <c r="V23">
        <f>HYPERLINK("https://klasma.github.io/Logging_0115/klagomål/A 22830-2024 FSC-klagomål.docx", "A 22830-2024")</f>
        <v/>
      </c>
      <c r="W23">
        <f>HYPERLINK("https://klasma.github.io/Logging_0115/klagomålsmail/A 22830-2024 FSC-klagomål mail.docx", "A 22830-2024")</f>
        <v/>
      </c>
      <c r="X23">
        <f>HYPERLINK("https://klasma.github.io/Logging_0115/tillsyn/A 22830-2024 tillsynsbegäran.docx", "A 22830-2024")</f>
        <v/>
      </c>
      <c r="Y23">
        <f>HYPERLINK("https://klasma.github.io/Logging_0115/tillsynsmail/A 22830-2024 tillsynsbegäran mail.docx", "A 22830-2024")</f>
        <v/>
      </c>
    </row>
    <row r="24" ht="15" customHeight="1">
      <c r="A24" t="inlineStr">
        <is>
          <t>A 27870-2025</t>
        </is>
      </c>
      <c r="B24" s="1" t="n">
        <v>45817</v>
      </c>
      <c r="C24" s="1" t="n">
        <v>45938</v>
      </c>
      <c r="D24" t="inlineStr">
        <is>
          <t>STOCKHOLMS LÄN</t>
        </is>
      </c>
      <c r="E24" t="inlineStr">
        <is>
          <t>VALLENTUNA</t>
        </is>
      </c>
      <c r="G24" t="n">
        <v>5</v>
      </c>
      <c r="H24" t="n">
        <v>0</v>
      </c>
      <c r="I24" t="n">
        <v>0</v>
      </c>
      <c r="J24" t="n">
        <v>1</v>
      </c>
      <c r="K24" t="n">
        <v>0</v>
      </c>
      <c r="L24" t="n">
        <v>0</v>
      </c>
      <c r="M24" t="n">
        <v>0</v>
      </c>
      <c r="N24" t="n">
        <v>0</v>
      </c>
      <c r="O24" t="n">
        <v>1</v>
      </c>
      <c r="P24" t="n">
        <v>0</v>
      </c>
      <c r="Q24" t="n">
        <v>1</v>
      </c>
      <c r="R24" s="2" t="inlineStr">
        <is>
          <t>Bronspraktbagge</t>
        </is>
      </c>
      <c r="S24">
        <f>HYPERLINK("https://klasma.github.io/Logging_0115/artfynd/A 27870-2025 artfynd.xlsx", "A 27870-2025")</f>
        <v/>
      </c>
      <c r="T24">
        <f>HYPERLINK("https://klasma.github.io/Logging_0115/kartor/A 27870-2025 karta.png", "A 27870-2025")</f>
        <v/>
      </c>
      <c r="V24">
        <f>HYPERLINK("https://klasma.github.io/Logging_0115/klagomål/A 27870-2025 FSC-klagomål.docx", "A 27870-2025")</f>
        <v/>
      </c>
      <c r="W24">
        <f>HYPERLINK("https://klasma.github.io/Logging_0115/klagomålsmail/A 27870-2025 FSC-klagomål mail.docx", "A 27870-2025")</f>
        <v/>
      </c>
      <c r="X24">
        <f>HYPERLINK("https://klasma.github.io/Logging_0115/tillsyn/A 27870-2025 tillsynsbegäran.docx", "A 27870-2025")</f>
        <v/>
      </c>
      <c r="Y24">
        <f>HYPERLINK("https://klasma.github.io/Logging_0115/tillsynsmail/A 27870-2025 tillsynsbegäran mail.docx", "A 27870-2025")</f>
        <v/>
      </c>
    </row>
    <row r="25" ht="15" customHeight="1">
      <c r="A25" t="inlineStr">
        <is>
          <t>A 17341-2025</t>
        </is>
      </c>
      <c r="B25" s="1" t="n">
        <v>45756</v>
      </c>
      <c r="C25" s="1" t="n">
        <v>45938</v>
      </c>
      <c r="D25" t="inlineStr">
        <is>
          <t>STOCKHOLMS LÄN</t>
        </is>
      </c>
      <c r="E25" t="inlineStr">
        <is>
          <t>VALLENTUNA</t>
        </is>
      </c>
      <c r="F25" t="inlineStr">
        <is>
          <t>Övriga Aktiebolag</t>
        </is>
      </c>
      <c r="G25" t="n">
        <v>5.2</v>
      </c>
      <c r="H25" t="n">
        <v>0</v>
      </c>
      <c r="I25" t="n">
        <v>1</v>
      </c>
      <c r="J25" t="n">
        <v>0</v>
      </c>
      <c r="K25" t="n">
        <v>0</v>
      </c>
      <c r="L25" t="n">
        <v>0</v>
      </c>
      <c r="M25" t="n">
        <v>0</v>
      </c>
      <c r="N25" t="n">
        <v>0</v>
      </c>
      <c r="O25" t="n">
        <v>0</v>
      </c>
      <c r="P25" t="n">
        <v>0</v>
      </c>
      <c r="Q25" t="n">
        <v>1</v>
      </c>
      <c r="R25" s="2" t="inlineStr">
        <is>
          <t>Björksplintborre</t>
        </is>
      </c>
      <c r="S25">
        <f>HYPERLINK("https://klasma.github.io/Logging_0115/artfynd/A 17341-2025 artfynd.xlsx", "A 17341-2025")</f>
        <v/>
      </c>
      <c r="T25">
        <f>HYPERLINK("https://klasma.github.io/Logging_0115/kartor/A 17341-2025 karta.png", "A 17341-2025")</f>
        <v/>
      </c>
      <c r="V25">
        <f>HYPERLINK("https://klasma.github.io/Logging_0115/klagomål/A 17341-2025 FSC-klagomål.docx", "A 17341-2025")</f>
        <v/>
      </c>
      <c r="W25">
        <f>HYPERLINK("https://klasma.github.io/Logging_0115/klagomålsmail/A 17341-2025 FSC-klagomål mail.docx", "A 17341-2025")</f>
        <v/>
      </c>
      <c r="X25">
        <f>HYPERLINK("https://klasma.github.io/Logging_0115/tillsyn/A 17341-2025 tillsynsbegäran.docx", "A 17341-2025")</f>
        <v/>
      </c>
      <c r="Y25">
        <f>HYPERLINK("https://klasma.github.io/Logging_0115/tillsynsmail/A 17341-2025 tillsynsbegäran mail.docx", "A 17341-2025")</f>
        <v/>
      </c>
    </row>
    <row r="26" ht="15" customHeight="1">
      <c r="A26" t="inlineStr">
        <is>
          <t>A 14508-2024</t>
        </is>
      </c>
      <c r="B26" s="1" t="n">
        <v>45394.61583333334</v>
      </c>
      <c r="C26" s="1" t="n">
        <v>45938</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21439-2025</t>
        </is>
      </c>
      <c r="B27" s="1" t="n">
        <v>45782.52939814814</v>
      </c>
      <c r="C27" s="1" t="n">
        <v>45938</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17348-2025</t>
        </is>
      </c>
      <c r="B28" s="1" t="n">
        <v>45756</v>
      </c>
      <c r="C28" s="1" t="n">
        <v>45938</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22936-2025</t>
        </is>
      </c>
      <c r="B29" s="1" t="n">
        <v>45790.45738425926</v>
      </c>
      <c r="C29" s="1" t="n">
        <v>45938</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21-2022</t>
        </is>
      </c>
      <c r="B30" s="1" t="n">
        <v>44560</v>
      </c>
      <c r="C30" s="1" t="n">
        <v>45938</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20612-2021</t>
        </is>
      </c>
      <c r="B31" s="1" t="n">
        <v>44315</v>
      </c>
      <c r="C31" s="1" t="n">
        <v>45938</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45938</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45938</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45938</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45938</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45938</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45938</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45938</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2867-2022</t>
        </is>
      </c>
      <c r="B39" s="1" t="n">
        <v>44581</v>
      </c>
      <c r="C39" s="1" t="n">
        <v>45938</v>
      </c>
      <c r="D39" t="inlineStr">
        <is>
          <t>STOCKHOLMS LÄN</t>
        </is>
      </c>
      <c r="E39" t="inlineStr">
        <is>
          <t>VALLENTUNA</t>
        </is>
      </c>
      <c r="G39" t="n">
        <v>1.6</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45938</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45938</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46924-2021</t>
        </is>
      </c>
      <c r="B42" s="1" t="n">
        <v>44446</v>
      </c>
      <c r="C42" s="1" t="n">
        <v>45938</v>
      </c>
      <c r="D42" t="inlineStr">
        <is>
          <t>STOCKHOLMS LÄN</t>
        </is>
      </c>
      <c r="E42" t="inlineStr">
        <is>
          <t>VALLENTUNA</t>
        </is>
      </c>
      <c r="G42" t="n">
        <v>0.6</v>
      </c>
      <c r="H42" t="n">
        <v>0</v>
      </c>
      <c r="I42" t="n">
        <v>0</v>
      </c>
      <c r="J42" t="n">
        <v>0</v>
      </c>
      <c r="K42" t="n">
        <v>0</v>
      </c>
      <c r="L42" t="n">
        <v>0</v>
      </c>
      <c r="M42" t="n">
        <v>0</v>
      </c>
      <c r="N42" t="n">
        <v>0</v>
      </c>
      <c r="O42" t="n">
        <v>0</v>
      </c>
      <c r="P42" t="n">
        <v>0</v>
      </c>
      <c r="Q42" t="n">
        <v>0</v>
      </c>
      <c r="R42" s="2" t="inlineStr"/>
    </row>
    <row r="43" ht="15" customHeight="1">
      <c r="A43" t="inlineStr">
        <is>
          <t>A 14430-2021</t>
        </is>
      </c>
      <c r="B43" s="1" t="n">
        <v>44279.4665625</v>
      </c>
      <c r="C43" s="1" t="n">
        <v>45938</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14443-2021</t>
        </is>
      </c>
      <c r="B44" s="1" t="n">
        <v>44279</v>
      </c>
      <c r="C44" s="1" t="n">
        <v>45938</v>
      </c>
      <c r="D44" t="inlineStr">
        <is>
          <t>STOCKHOLMS LÄN</t>
        </is>
      </c>
      <c r="E44" t="inlineStr">
        <is>
          <t>VALLENTUNA</t>
        </is>
      </c>
      <c r="G44" t="n">
        <v>3.5</v>
      </c>
      <c r="H44" t="n">
        <v>0</v>
      </c>
      <c r="I44" t="n">
        <v>0</v>
      </c>
      <c r="J44" t="n">
        <v>0</v>
      </c>
      <c r="K44" t="n">
        <v>0</v>
      </c>
      <c r="L44" t="n">
        <v>0</v>
      </c>
      <c r="M44" t="n">
        <v>0</v>
      </c>
      <c r="N44" t="n">
        <v>0</v>
      </c>
      <c r="O44" t="n">
        <v>0</v>
      </c>
      <c r="P44" t="n">
        <v>0</v>
      </c>
      <c r="Q44" t="n">
        <v>0</v>
      </c>
      <c r="R44" s="2" t="inlineStr"/>
    </row>
    <row r="45" ht="15" customHeight="1">
      <c r="A45" t="inlineStr">
        <is>
          <t>A 14447-2021</t>
        </is>
      </c>
      <c r="B45" s="1" t="n">
        <v>44279</v>
      </c>
      <c r="C45" s="1" t="n">
        <v>45938</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52377-2021</t>
        </is>
      </c>
      <c r="B46" s="1" t="n">
        <v>44465</v>
      </c>
      <c r="C46" s="1" t="n">
        <v>45938</v>
      </c>
      <c r="D46" t="inlineStr">
        <is>
          <t>STOCKHOLMS LÄN</t>
        </is>
      </c>
      <c r="E46" t="inlineStr">
        <is>
          <t>VALLENTUNA</t>
        </is>
      </c>
      <c r="G46" t="n">
        <v>1.4</v>
      </c>
      <c r="H46" t="n">
        <v>0</v>
      </c>
      <c r="I46" t="n">
        <v>0</v>
      </c>
      <c r="J46" t="n">
        <v>0</v>
      </c>
      <c r="K46" t="n">
        <v>0</v>
      </c>
      <c r="L46" t="n">
        <v>0</v>
      </c>
      <c r="M46" t="n">
        <v>0</v>
      </c>
      <c r="N46" t="n">
        <v>0</v>
      </c>
      <c r="O46" t="n">
        <v>0</v>
      </c>
      <c r="P46" t="n">
        <v>0</v>
      </c>
      <c r="Q46" t="n">
        <v>0</v>
      </c>
      <c r="R46" s="2" t="inlineStr"/>
    </row>
    <row r="47" ht="15" customHeight="1">
      <c r="A47" t="inlineStr">
        <is>
          <t>A 14725-2022</t>
        </is>
      </c>
      <c r="B47" s="1" t="n">
        <v>44655</v>
      </c>
      <c r="C47" s="1" t="n">
        <v>45938</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37657-2021</t>
        </is>
      </c>
      <c r="B48" s="1" t="n">
        <v>44400</v>
      </c>
      <c r="C48" s="1" t="n">
        <v>45938</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7085-2022</t>
        </is>
      </c>
      <c r="B49" s="1" t="n">
        <v>44603</v>
      </c>
      <c r="C49" s="1" t="n">
        <v>45938</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42624-2021</t>
        </is>
      </c>
      <c r="B50" s="1" t="n">
        <v>44428</v>
      </c>
      <c r="C50" s="1" t="n">
        <v>45938</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68938-2020</t>
        </is>
      </c>
      <c r="B51" s="1" t="n">
        <v>44187</v>
      </c>
      <c r="C51" s="1" t="n">
        <v>45938</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45938</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52989-2023</t>
        </is>
      </c>
      <c r="B53" s="1" t="n">
        <v>45226</v>
      </c>
      <c r="C53" s="1" t="n">
        <v>45938</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24707-2023</t>
        </is>
      </c>
      <c r="B54" s="1" t="n">
        <v>45084</v>
      </c>
      <c r="C54" s="1" t="n">
        <v>45938</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26390-2023</t>
        </is>
      </c>
      <c r="B55" s="1" t="n">
        <v>45086</v>
      </c>
      <c r="C55" s="1" t="n">
        <v>45938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45938</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27868-2025</t>
        </is>
      </c>
      <c r="B57" s="1" t="n">
        <v>45817</v>
      </c>
      <c r="C57" s="1" t="n">
        <v>45938</v>
      </c>
      <c r="D57" t="inlineStr">
        <is>
          <t>STOCKHOLMS LÄN</t>
        </is>
      </c>
      <c r="E57" t="inlineStr">
        <is>
          <t>VALLENTUNA</t>
        </is>
      </c>
      <c r="G57" t="n">
        <v>2.2</v>
      </c>
      <c r="H57" t="n">
        <v>0</v>
      </c>
      <c r="I57" t="n">
        <v>0</v>
      </c>
      <c r="J57" t="n">
        <v>0</v>
      </c>
      <c r="K57" t="n">
        <v>0</v>
      </c>
      <c r="L57" t="n">
        <v>0</v>
      </c>
      <c r="M57" t="n">
        <v>0</v>
      </c>
      <c r="N57" t="n">
        <v>0</v>
      </c>
      <c r="O57" t="n">
        <v>0</v>
      </c>
      <c r="P57" t="n">
        <v>0</v>
      </c>
      <c r="Q57" t="n">
        <v>0</v>
      </c>
      <c r="R57" s="2" t="inlineStr"/>
    </row>
    <row r="58" ht="15" customHeight="1">
      <c r="A58" t="inlineStr">
        <is>
          <t>A 62402-2022</t>
        </is>
      </c>
      <c r="B58" s="1" t="n">
        <v>44923</v>
      </c>
      <c r="C58" s="1" t="n">
        <v>45938</v>
      </c>
      <c r="D58" t="inlineStr">
        <is>
          <t>STOCKHOLMS LÄN</t>
        </is>
      </c>
      <c r="E58" t="inlineStr">
        <is>
          <t>VALLENTUNA</t>
        </is>
      </c>
      <c r="G58" t="n">
        <v>3.8</v>
      </c>
      <c r="H58" t="n">
        <v>0</v>
      </c>
      <c r="I58" t="n">
        <v>0</v>
      </c>
      <c r="J58" t="n">
        <v>0</v>
      </c>
      <c r="K58" t="n">
        <v>0</v>
      </c>
      <c r="L58" t="n">
        <v>0</v>
      </c>
      <c r="M58" t="n">
        <v>0</v>
      </c>
      <c r="N58" t="n">
        <v>0</v>
      </c>
      <c r="O58" t="n">
        <v>0</v>
      </c>
      <c r="P58" t="n">
        <v>0</v>
      </c>
      <c r="Q58" t="n">
        <v>0</v>
      </c>
      <c r="R58" s="2" t="inlineStr"/>
    </row>
    <row r="59" ht="15" customHeight="1">
      <c r="A59" t="inlineStr">
        <is>
          <t>A 5910-2022</t>
        </is>
      </c>
      <c r="B59" s="1" t="n">
        <v>44597</v>
      </c>
      <c r="C59" s="1" t="n">
        <v>45938</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45938</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17411-2023</t>
        </is>
      </c>
      <c r="B61" s="1" t="n">
        <v>45035.82512731481</v>
      </c>
      <c r="C61" s="1" t="n">
        <v>45938</v>
      </c>
      <c r="D61" t="inlineStr">
        <is>
          <t>STOCKHOLMS LÄN</t>
        </is>
      </c>
      <c r="E61" t="inlineStr">
        <is>
          <t>VALLENTUNA</t>
        </is>
      </c>
      <c r="G61" t="n">
        <v>0.7</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45938</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60997-2022</t>
        </is>
      </c>
      <c r="B63" s="1" t="n">
        <v>44914.70746527778</v>
      </c>
      <c r="C63" s="1" t="n">
        <v>45938</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45938</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1385-2024</t>
        </is>
      </c>
      <c r="B65" s="1" t="n">
        <v>45303</v>
      </c>
      <c r="C65" s="1" t="n">
        <v>45938</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14775-2024</t>
        </is>
      </c>
      <c r="B66" s="1" t="n">
        <v>45397.73675925926</v>
      </c>
      <c r="C66" s="1" t="n">
        <v>45938</v>
      </c>
      <c r="D66" t="inlineStr">
        <is>
          <t>STOCKHOLMS LÄN</t>
        </is>
      </c>
      <c r="E66" t="inlineStr">
        <is>
          <t>VALLENTUNA</t>
        </is>
      </c>
      <c r="G66" t="n">
        <v>1.7</v>
      </c>
      <c r="H66" t="n">
        <v>0</v>
      </c>
      <c r="I66" t="n">
        <v>0</v>
      </c>
      <c r="J66" t="n">
        <v>0</v>
      </c>
      <c r="K66" t="n">
        <v>0</v>
      </c>
      <c r="L66" t="n">
        <v>0</v>
      </c>
      <c r="M66" t="n">
        <v>0</v>
      </c>
      <c r="N66" t="n">
        <v>0</v>
      </c>
      <c r="O66" t="n">
        <v>0</v>
      </c>
      <c r="P66" t="n">
        <v>0</v>
      </c>
      <c r="Q66" t="n">
        <v>0</v>
      </c>
      <c r="R66" s="2" t="inlineStr"/>
    </row>
    <row r="67" ht="15" customHeight="1">
      <c r="A67" t="inlineStr">
        <is>
          <t>A 48040-2025</t>
        </is>
      </c>
      <c r="B67" s="1" t="n">
        <v>45932.6628125</v>
      </c>
      <c r="C67" s="1" t="n">
        <v>45938</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8565-2025</t>
        </is>
      </c>
      <c r="B68" s="1" t="n">
        <v>45709</v>
      </c>
      <c r="C68" s="1" t="n">
        <v>45938</v>
      </c>
      <c r="D68" t="inlineStr">
        <is>
          <t>STOCKHOLMS LÄN</t>
        </is>
      </c>
      <c r="E68" t="inlineStr">
        <is>
          <t>VALLENTUNA</t>
        </is>
      </c>
      <c r="F68" t="inlineStr">
        <is>
          <t>Kommuner</t>
        </is>
      </c>
      <c r="G68" t="n">
        <v>4.2</v>
      </c>
      <c r="H68" t="n">
        <v>0</v>
      </c>
      <c r="I68" t="n">
        <v>0</v>
      </c>
      <c r="J68" t="n">
        <v>0</v>
      </c>
      <c r="K68" t="n">
        <v>0</v>
      </c>
      <c r="L68" t="n">
        <v>0</v>
      </c>
      <c r="M68" t="n">
        <v>0</v>
      </c>
      <c r="N68" t="n">
        <v>0</v>
      </c>
      <c r="O68" t="n">
        <v>0</v>
      </c>
      <c r="P68" t="n">
        <v>0</v>
      </c>
      <c r="Q68" t="n">
        <v>0</v>
      </c>
      <c r="R68" s="2" t="inlineStr"/>
    </row>
    <row r="69" ht="15" customHeight="1">
      <c r="A69" t="inlineStr">
        <is>
          <t>A 8787-2024</t>
        </is>
      </c>
      <c r="B69" s="1" t="n">
        <v>45356</v>
      </c>
      <c r="C69" s="1" t="n">
        <v>45938</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45938</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48038-2025</t>
        </is>
      </c>
      <c r="B71" s="1" t="n">
        <v>45932.66008101852</v>
      </c>
      <c r="C71" s="1" t="n">
        <v>45938</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48014-2025</t>
        </is>
      </c>
      <c r="B72" s="1" t="n">
        <v>45932.64520833334</v>
      </c>
      <c r="C72" s="1" t="n">
        <v>45938</v>
      </c>
      <c r="D72" t="inlineStr">
        <is>
          <t>STOCKHOLMS LÄN</t>
        </is>
      </c>
      <c r="E72" t="inlineStr">
        <is>
          <t>VALLENTUNA</t>
        </is>
      </c>
      <c r="G72" t="n">
        <v>0.6</v>
      </c>
      <c r="H72" t="n">
        <v>0</v>
      </c>
      <c r="I72" t="n">
        <v>0</v>
      </c>
      <c r="J72" t="n">
        <v>0</v>
      </c>
      <c r="K72" t="n">
        <v>0</v>
      </c>
      <c r="L72" t="n">
        <v>0</v>
      </c>
      <c r="M72" t="n">
        <v>0</v>
      </c>
      <c r="N72" t="n">
        <v>0</v>
      </c>
      <c r="O72" t="n">
        <v>0</v>
      </c>
      <c r="P72" t="n">
        <v>0</v>
      </c>
      <c r="Q72" t="n">
        <v>0</v>
      </c>
      <c r="R72" s="2" t="inlineStr"/>
    </row>
    <row r="73" ht="15" customHeight="1">
      <c r="A73" t="inlineStr">
        <is>
          <t>A 60818-2023</t>
        </is>
      </c>
      <c r="B73" s="1" t="n">
        <v>45259</v>
      </c>
      <c r="C73" s="1" t="n">
        <v>45938</v>
      </c>
      <c r="D73" t="inlineStr">
        <is>
          <t>STOCKHOLMS LÄN</t>
        </is>
      </c>
      <c r="E73" t="inlineStr">
        <is>
          <t>VALLENTUNA</t>
        </is>
      </c>
      <c r="G73" t="n">
        <v>9.4</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45938</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14782-2024</t>
        </is>
      </c>
      <c r="B75" s="1" t="n">
        <v>45397.74266203704</v>
      </c>
      <c r="C75" s="1" t="n">
        <v>45938</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52562-2023</t>
        </is>
      </c>
      <c r="B76" s="1" t="n">
        <v>45225</v>
      </c>
      <c r="C76" s="1" t="n">
        <v>45938</v>
      </c>
      <c r="D76" t="inlineStr">
        <is>
          <t>STOCKHOLMS LÄN</t>
        </is>
      </c>
      <c r="E76" t="inlineStr">
        <is>
          <t>VALLENTUNA</t>
        </is>
      </c>
      <c r="G76" t="n">
        <v>3.4</v>
      </c>
      <c r="H76" t="n">
        <v>0</v>
      </c>
      <c r="I76" t="n">
        <v>0</v>
      </c>
      <c r="J76" t="n">
        <v>0</v>
      </c>
      <c r="K76" t="n">
        <v>0</v>
      </c>
      <c r="L76" t="n">
        <v>0</v>
      </c>
      <c r="M76" t="n">
        <v>0</v>
      </c>
      <c r="N76" t="n">
        <v>0</v>
      </c>
      <c r="O76" t="n">
        <v>0</v>
      </c>
      <c r="P76" t="n">
        <v>0</v>
      </c>
      <c r="Q76" t="n">
        <v>0</v>
      </c>
      <c r="R76" s="2" t="inlineStr"/>
    </row>
    <row r="77" ht="15" customHeight="1">
      <c r="A77" t="inlineStr">
        <is>
          <t>A 49530-2023</t>
        </is>
      </c>
      <c r="B77" s="1" t="n">
        <v>45205</v>
      </c>
      <c r="C77" s="1" t="n">
        <v>45938</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52542-2023</t>
        </is>
      </c>
      <c r="B78" s="1" t="n">
        <v>45225</v>
      </c>
      <c r="C78" s="1" t="n">
        <v>45938</v>
      </c>
      <c r="D78" t="inlineStr">
        <is>
          <t>STOCKHOLMS LÄN</t>
        </is>
      </c>
      <c r="E78" t="inlineStr">
        <is>
          <t>VALLENTUNA</t>
        </is>
      </c>
      <c r="G78" t="n">
        <v>3.8</v>
      </c>
      <c r="H78" t="n">
        <v>0</v>
      </c>
      <c r="I78" t="n">
        <v>0</v>
      </c>
      <c r="J78" t="n">
        <v>0</v>
      </c>
      <c r="K78" t="n">
        <v>0</v>
      </c>
      <c r="L78" t="n">
        <v>0</v>
      </c>
      <c r="M78" t="n">
        <v>0</v>
      </c>
      <c r="N78" t="n">
        <v>0</v>
      </c>
      <c r="O78" t="n">
        <v>0</v>
      </c>
      <c r="P78" t="n">
        <v>0</v>
      </c>
      <c r="Q78" t="n">
        <v>0</v>
      </c>
      <c r="R78" s="2" t="inlineStr"/>
    </row>
    <row r="79" ht="15" customHeight="1">
      <c r="A79" t="inlineStr">
        <is>
          <t>A 61655-2020</t>
        </is>
      </c>
      <c r="B79" s="1" t="n">
        <v>44158</v>
      </c>
      <c r="C79" s="1" t="n">
        <v>45938</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2318-2024</t>
        </is>
      </c>
      <c r="B80" s="1" t="n">
        <v>45310</v>
      </c>
      <c r="C80" s="1" t="n">
        <v>45938</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48717-2024</t>
        </is>
      </c>
      <c r="B81" s="1" t="n">
        <v>45593</v>
      </c>
      <c r="C81" s="1" t="n">
        <v>45938</v>
      </c>
      <c r="D81" t="inlineStr">
        <is>
          <t>STOCKHOLMS LÄN</t>
        </is>
      </c>
      <c r="E81" t="inlineStr">
        <is>
          <t>VALLENTUNA</t>
        </is>
      </c>
      <c r="G81" t="n">
        <v>6.2</v>
      </c>
      <c r="H81" t="n">
        <v>0</v>
      </c>
      <c r="I81" t="n">
        <v>0</v>
      </c>
      <c r="J81" t="n">
        <v>0</v>
      </c>
      <c r="K81" t="n">
        <v>0</v>
      </c>
      <c r="L81" t="n">
        <v>0</v>
      </c>
      <c r="M81" t="n">
        <v>0</v>
      </c>
      <c r="N81" t="n">
        <v>0</v>
      </c>
      <c r="O81" t="n">
        <v>0</v>
      </c>
      <c r="P81" t="n">
        <v>0</v>
      </c>
      <c r="Q81" t="n">
        <v>0</v>
      </c>
      <c r="R81" s="2" t="inlineStr"/>
    </row>
    <row r="82" ht="15" customHeight="1">
      <c r="A82" t="inlineStr">
        <is>
          <t>A 9063-2024</t>
        </is>
      </c>
      <c r="B82" s="1" t="n">
        <v>45357.72652777778</v>
      </c>
      <c r="C82" s="1" t="n">
        <v>45938</v>
      </c>
      <c r="D82" t="inlineStr">
        <is>
          <t>STOCKHOLMS LÄN</t>
        </is>
      </c>
      <c r="E82" t="inlineStr">
        <is>
          <t>VALLENTUNA</t>
        </is>
      </c>
      <c r="G82" t="n">
        <v>4.1</v>
      </c>
      <c r="H82" t="n">
        <v>0</v>
      </c>
      <c r="I82" t="n">
        <v>0</v>
      </c>
      <c r="J82" t="n">
        <v>0</v>
      </c>
      <c r="K82" t="n">
        <v>0</v>
      </c>
      <c r="L82" t="n">
        <v>0</v>
      </c>
      <c r="M82" t="n">
        <v>0</v>
      </c>
      <c r="N82" t="n">
        <v>0</v>
      </c>
      <c r="O82" t="n">
        <v>0</v>
      </c>
      <c r="P82" t="n">
        <v>0</v>
      </c>
      <c r="Q82" t="n">
        <v>0</v>
      </c>
      <c r="R82" s="2" t="inlineStr"/>
    </row>
    <row r="83" ht="15" customHeight="1">
      <c r="A83" t="inlineStr">
        <is>
          <t>A 17342-2025</t>
        </is>
      </c>
      <c r="B83" s="1" t="n">
        <v>45756</v>
      </c>
      <c r="C83" s="1" t="n">
        <v>45938</v>
      </c>
      <c r="D83" t="inlineStr">
        <is>
          <t>STOCKHOLMS LÄN</t>
        </is>
      </c>
      <c r="E83" t="inlineStr">
        <is>
          <t>VALLENTUNA</t>
        </is>
      </c>
      <c r="F83" t="inlineStr">
        <is>
          <t>Övriga Aktiebolag</t>
        </is>
      </c>
      <c r="G83" t="n">
        <v>3.9</v>
      </c>
      <c r="H83" t="n">
        <v>0</v>
      </c>
      <c r="I83" t="n">
        <v>0</v>
      </c>
      <c r="J83" t="n">
        <v>0</v>
      </c>
      <c r="K83" t="n">
        <v>0</v>
      </c>
      <c r="L83" t="n">
        <v>0</v>
      </c>
      <c r="M83" t="n">
        <v>0</v>
      </c>
      <c r="N83" t="n">
        <v>0</v>
      </c>
      <c r="O83" t="n">
        <v>0</v>
      </c>
      <c r="P83" t="n">
        <v>0</v>
      </c>
      <c r="Q83" t="n">
        <v>0</v>
      </c>
      <c r="R83" s="2" t="inlineStr"/>
    </row>
    <row r="84" ht="15" customHeight="1">
      <c r="A84" t="inlineStr">
        <is>
          <t>A 7264-2022</t>
        </is>
      </c>
      <c r="B84" s="1" t="n">
        <v>44606</v>
      </c>
      <c r="C84" s="1" t="n">
        <v>45938</v>
      </c>
      <c r="D84" t="inlineStr">
        <is>
          <t>STOCKHOLMS LÄN</t>
        </is>
      </c>
      <c r="E84" t="inlineStr">
        <is>
          <t>VALLENTUNA</t>
        </is>
      </c>
      <c r="G84" t="n">
        <v>2.4</v>
      </c>
      <c r="H84" t="n">
        <v>0</v>
      </c>
      <c r="I84" t="n">
        <v>0</v>
      </c>
      <c r="J84" t="n">
        <v>0</v>
      </c>
      <c r="K84" t="n">
        <v>0</v>
      </c>
      <c r="L84" t="n">
        <v>0</v>
      </c>
      <c r="M84" t="n">
        <v>0</v>
      </c>
      <c r="N84" t="n">
        <v>0</v>
      </c>
      <c r="O84" t="n">
        <v>0</v>
      </c>
      <c r="P84" t="n">
        <v>0</v>
      </c>
      <c r="Q84" t="n">
        <v>0</v>
      </c>
      <c r="R84" s="2" t="inlineStr"/>
    </row>
    <row r="85" ht="15" customHeight="1">
      <c r="A85" t="inlineStr">
        <is>
          <t>A 12562-2023</t>
        </is>
      </c>
      <c r="B85" s="1" t="n">
        <v>45000</v>
      </c>
      <c r="C85" s="1" t="n">
        <v>45938</v>
      </c>
      <c r="D85" t="inlineStr">
        <is>
          <t>STOCKHOLMS LÄN</t>
        </is>
      </c>
      <c r="E85" t="inlineStr">
        <is>
          <t>VALLENTUNA</t>
        </is>
      </c>
      <c r="G85" t="n">
        <v>2.1</v>
      </c>
      <c r="H85" t="n">
        <v>0</v>
      </c>
      <c r="I85" t="n">
        <v>0</v>
      </c>
      <c r="J85" t="n">
        <v>0</v>
      </c>
      <c r="K85" t="n">
        <v>0</v>
      </c>
      <c r="L85" t="n">
        <v>0</v>
      </c>
      <c r="M85" t="n">
        <v>0</v>
      </c>
      <c r="N85" t="n">
        <v>0</v>
      </c>
      <c r="O85" t="n">
        <v>0</v>
      </c>
      <c r="P85" t="n">
        <v>0</v>
      </c>
      <c r="Q85" t="n">
        <v>0</v>
      </c>
      <c r="R85" s="2" t="inlineStr"/>
    </row>
    <row r="86" ht="15" customHeight="1">
      <c r="A86" t="inlineStr">
        <is>
          <t>A 21445-2023</t>
        </is>
      </c>
      <c r="B86" s="1" t="n">
        <v>45063</v>
      </c>
      <c r="C86" s="1" t="n">
        <v>45938</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14480-2024</t>
        </is>
      </c>
      <c r="B87" s="1" t="n">
        <v>45394.56777777777</v>
      </c>
      <c r="C87" s="1" t="n">
        <v>45938</v>
      </c>
      <c r="D87" t="inlineStr">
        <is>
          <t>STOCKHOLMS LÄN</t>
        </is>
      </c>
      <c r="E87" t="inlineStr">
        <is>
          <t>VALLENTUNA</t>
        </is>
      </c>
      <c r="G87" t="n">
        <v>1.8</v>
      </c>
      <c r="H87" t="n">
        <v>0</v>
      </c>
      <c r="I87" t="n">
        <v>0</v>
      </c>
      <c r="J87" t="n">
        <v>0</v>
      </c>
      <c r="K87" t="n">
        <v>0</v>
      </c>
      <c r="L87" t="n">
        <v>0</v>
      </c>
      <c r="M87" t="n">
        <v>0</v>
      </c>
      <c r="N87" t="n">
        <v>0</v>
      </c>
      <c r="O87" t="n">
        <v>0</v>
      </c>
      <c r="P87" t="n">
        <v>0</v>
      </c>
      <c r="Q87" t="n">
        <v>0</v>
      </c>
      <c r="R87" s="2" t="inlineStr"/>
    </row>
    <row r="88" ht="15" customHeight="1">
      <c r="A88" t="inlineStr">
        <is>
          <t>A 17340-2025</t>
        </is>
      </c>
      <c r="B88" s="1" t="n">
        <v>45756</v>
      </c>
      <c r="C88" s="1" t="n">
        <v>45938</v>
      </c>
      <c r="D88" t="inlineStr">
        <is>
          <t>STOCKHOLMS LÄN</t>
        </is>
      </c>
      <c r="E88" t="inlineStr">
        <is>
          <t>VALLENTUNA</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45938</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45938</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19356-2025</t>
        </is>
      </c>
      <c r="B91" s="1" t="n">
        <v>45769.62061342593</v>
      </c>
      <c r="C91" s="1" t="n">
        <v>45938</v>
      </c>
      <c r="D91" t="inlineStr">
        <is>
          <t>STOCKHOLMS LÄN</t>
        </is>
      </c>
      <c r="E91" t="inlineStr">
        <is>
          <t>VALLENTUNA</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11950-2025</t>
        </is>
      </c>
      <c r="B92" s="1" t="n">
        <v>45728.55622685186</v>
      </c>
      <c r="C92" s="1" t="n">
        <v>45938</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34441-2023</t>
        </is>
      </c>
      <c r="B93" s="1" t="n">
        <v>45139</v>
      </c>
      <c r="C93" s="1" t="n">
        <v>45938</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34445-2023</t>
        </is>
      </c>
      <c r="B94" s="1" t="n">
        <v>45139</v>
      </c>
      <c r="C94" s="1" t="n">
        <v>45938</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34460-2023</t>
        </is>
      </c>
      <c r="B95" s="1" t="n">
        <v>45139</v>
      </c>
      <c r="C95" s="1" t="n">
        <v>45938</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29704-2023</t>
        </is>
      </c>
      <c r="B96" s="1" t="n">
        <v>45107</v>
      </c>
      <c r="C96" s="1" t="n">
        <v>45938</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14489-2024</t>
        </is>
      </c>
      <c r="B97" s="1" t="n">
        <v>45394.58053240741</v>
      </c>
      <c r="C97" s="1" t="n">
        <v>45938</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15268-2023</t>
        </is>
      </c>
      <c r="B98" s="1" t="n">
        <v>45019.41045138889</v>
      </c>
      <c r="C98" s="1" t="n">
        <v>45938</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61442-2024</t>
        </is>
      </c>
      <c r="B99" s="1" t="n">
        <v>45646.47003472222</v>
      </c>
      <c r="C99" s="1" t="n">
        <v>45938</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48068-2021</t>
        </is>
      </c>
      <c r="B100" s="1" t="n">
        <v>44449.42270833333</v>
      </c>
      <c r="C100" s="1" t="n">
        <v>45938</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735-2024</t>
        </is>
      </c>
      <c r="B101" s="1" t="n">
        <v>45300</v>
      </c>
      <c r="C101" s="1" t="n">
        <v>45938</v>
      </c>
      <c r="D101" t="inlineStr">
        <is>
          <t>STOCKHOLMS LÄN</t>
        </is>
      </c>
      <c r="E101" t="inlineStr">
        <is>
          <t>VALLENTUNA</t>
        </is>
      </c>
      <c r="G101" t="n">
        <v>1.7</v>
      </c>
      <c r="H101" t="n">
        <v>0</v>
      </c>
      <c r="I101" t="n">
        <v>0</v>
      </c>
      <c r="J101" t="n">
        <v>0</v>
      </c>
      <c r="K101" t="n">
        <v>0</v>
      </c>
      <c r="L101" t="n">
        <v>0</v>
      </c>
      <c r="M101" t="n">
        <v>0</v>
      </c>
      <c r="N101" t="n">
        <v>0</v>
      </c>
      <c r="O101" t="n">
        <v>0</v>
      </c>
      <c r="P101" t="n">
        <v>0</v>
      </c>
      <c r="Q101" t="n">
        <v>0</v>
      </c>
      <c r="R101" s="2" t="inlineStr"/>
    </row>
    <row r="102" ht="15" customHeight="1">
      <c r="A102" t="inlineStr">
        <is>
          <t>A 12585-2023</t>
        </is>
      </c>
      <c r="B102" s="1" t="n">
        <v>45000.41373842592</v>
      </c>
      <c r="C102" s="1" t="n">
        <v>45938</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45499-2023</t>
        </is>
      </c>
      <c r="B103" s="1" t="n">
        <v>45194</v>
      </c>
      <c r="C103" s="1" t="n">
        <v>45938</v>
      </c>
      <c r="D103" t="inlineStr">
        <is>
          <t>STOCKHOLMS LÄN</t>
        </is>
      </c>
      <c r="E103" t="inlineStr">
        <is>
          <t>VALLENTUNA</t>
        </is>
      </c>
      <c r="G103" t="n">
        <v>2.5</v>
      </c>
      <c r="H103" t="n">
        <v>0</v>
      </c>
      <c r="I103" t="n">
        <v>0</v>
      </c>
      <c r="J103" t="n">
        <v>0</v>
      </c>
      <c r="K103" t="n">
        <v>0</v>
      </c>
      <c r="L103" t="n">
        <v>0</v>
      </c>
      <c r="M103" t="n">
        <v>0</v>
      </c>
      <c r="N103" t="n">
        <v>0</v>
      </c>
      <c r="O103" t="n">
        <v>0</v>
      </c>
      <c r="P103" t="n">
        <v>0</v>
      </c>
      <c r="Q103" t="n">
        <v>0</v>
      </c>
      <c r="R103" s="2" t="inlineStr"/>
    </row>
    <row r="104" ht="15" customHeight="1">
      <c r="A104" t="inlineStr">
        <is>
          <t>A 47204-2024</t>
        </is>
      </c>
      <c r="B104" s="1" t="n">
        <v>45586.63575231482</v>
      </c>
      <c r="C104" s="1" t="n">
        <v>45938</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34452-2021</t>
        </is>
      </c>
      <c r="B105" s="1" t="n">
        <v>44381</v>
      </c>
      <c r="C105" s="1" t="n">
        <v>45938</v>
      </c>
      <c r="D105" t="inlineStr">
        <is>
          <t>STOCKHOLMS LÄN</t>
        </is>
      </c>
      <c r="E105" t="inlineStr">
        <is>
          <t>VALLENTUNA</t>
        </is>
      </c>
      <c r="G105" t="n">
        <v>14.7</v>
      </c>
      <c r="H105" t="n">
        <v>0</v>
      </c>
      <c r="I105" t="n">
        <v>0</v>
      </c>
      <c r="J105" t="n">
        <v>0</v>
      </c>
      <c r="K105" t="n">
        <v>0</v>
      </c>
      <c r="L105" t="n">
        <v>0</v>
      </c>
      <c r="M105" t="n">
        <v>0</v>
      </c>
      <c r="N105" t="n">
        <v>0</v>
      </c>
      <c r="O105" t="n">
        <v>0</v>
      </c>
      <c r="P105" t="n">
        <v>0</v>
      </c>
      <c r="Q105" t="n">
        <v>0</v>
      </c>
      <c r="R105" s="2" t="inlineStr"/>
    </row>
    <row r="106" ht="15" customHeight="1">
      <c r="A106" t="inlineStr">
        <is>
          <t>A 20791-2025</t>
        </is>
      </c>
      <c r="B106" s="1" t="n">
        <v>45776.62738425926</v>
      </c>
      <c r="C106" s="1" t="n">
        <v>45938</v>
      </c>
      <c r="D106" t="inlineStr">
        <is>
          <t>STOCKHOLMS LÄN</t>
        </is>
      </c>
      <c r="E106" t="inlineStr">
        <is>
          <t>VALLENTUNA</t>
        </is>
      </c>
      <c r="G106" t="n">
        <v>1.5</v>
      </c>
      <c r="H106" t="n">
        <v>0</v>
      </c>
      <c r="I106" t="n">
        <v>0</v>
      </c>
      <c r="J106" t="n">
        <v>0</v>
      </c>
      <c r="K106" t="n">
        <v>0</v>
      </c>
      <c r="L106" t="n">
        <v>0</v>
      </c>
      <c r="M106" t="n">
        <v>0</v>
      </c>
      <c r="N106" t="n">
        <v>0</v>
      </c>
      <c r="O106" t="n">
        <v>0</v>
      </c>
      <c r="P106" t="n">
        <v>0</v>
      </c>
      <c r="Q106" t="n">
        <v>0</v>
      </c>
      <c r="R106" s="2" t="inlineStr"/>
    </row>
    <row r="107" ht="15" customHeight="1">
      <c r="A107" t="inlineStr">
        <is>
          <t>A 10073-2024</t>
        </is>
      </c>
      <c r="B107" s="1" t="n">
        <v>45364.40821759259</v>
      </c>
      <c r="C107" s="1" t="n">
        <v>45938</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12621-2024</t>
        </is>
      </c>
      <c r="B108" s="1" t="n">
        <v>45383.6325</v>
      </c>
      <c r="C108" s="1" t="n">
        <v>45938</v>
      </c>
      <c r="D108" t="inlineStr">
        <is>
          <t>STOCKHOLMS LÄN</t>
        </is>
      </c>
      <c r="E108" t="inlineStr">
        <is>
          <t>VALLENTUNA</t>
        </is>
      </c>
      <c r="G108" t="n">
        <v>4.4</v>
      </c>
      <c r="H108" t="n">
        <v>0</v>
      </c>
      <c r="I108" t="n">
        <v>0</v>
      </c>
      <c r="J108" t="n">
        <v>0</v>
      </c>
      <c r="K108" t="n">
        <v>0</v>
      </c>
      <c r="L108" t="n">
        <v>0</v>
      </c>
      <c r="M108" t="n">
        <v>0</v>
      </c>
      <c r="N108" t="n">
        <v>0</v>
      </c>
      <c r="O108" t="n">
        <v>0</v>
      </c>
      <c r="P108" t="n">
        <v>0</v>
      </c>
      <c r="Q108" t="n">
        <v>0</v>
      </c>
      <c r="R108" s="2" t="inlineStr"/>
    </row>
    <row r="109" ht="15" customHeight="1">
      <c r="A109" t="inlineStr">
        <is>
          <t>A 12609-2024</t>
        </is>
      </c>
      <c r="B109" s="1" t="n">
        <v>45382.8109375</v>
      </c>
      <c r="C109" s="1" t="n">
        <v>45938</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45938</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13836-2022</t>
        </is>
      </c>
      <c r="B111" s="1" t="n">
        <v>44649</v>
      </c>
      <c r="C111" s="1" t="n">
        <v>45938</v>
      </c>
      <c r="D111" t="inlineStr">
        <is>
          <t>STOCKHOLMS LÄN</t>
        </is>
      </c>
      <c r="E111" t="inlineStr">
        <is>
          <t>VALLENTUNA</t>
        </is>
      </c>
      <c r="G111" t="n">
        <v>3.5</v>
      </c>
      <c r="H111" t="n">
        <v>0</v>
      </c>
      <c r="I111" t="n">
        <v>0</v>
      </c>
      <c r="J111" t="n">
        <v>0</v>
      </c>
      <c r="K111" t="n">
        <v>0</v>
      </c>
      <c r="L111" t="n">
        <v>0</v>
      </c>
      <c r="M111" t="n">
        <v>0</v>
      </c>
      <c r="N111" t="n">
        <v>0</v>
      </c>
      <c r="O111" t="n">
        <v>0</v>
      </c>
      <c r="P111" t="n">
        <v>0</v>
      </c>
      <c r="Q111" t="n">
        <v>0</v>
      </c>
      <c r="R111" s="2" t="inlineStr"/>
    </row>
    <row r="112" ht="15" customHeight="1">
      <c r="A112" t="inlineStr">
        <is>
          <t>A 47140-2024</t>
        </is>
      </c>
      <c r="B112" s="1" t="n">
        <v>45586.58753472222</v>
      </c>
      <c r="C112" s="1" t="n">
        <v>45938</v>
      </c>
      <c r="D112" t="inlineStr">
        <is>
          <t>STOCKHOLMS LÄN</t>
        </is>
      </c>
      <c r="E112" t="inlineStr">
        <is>
          <t>VALLENTUNA</t>
        </is>
      </c>
      <c r="G112" t="n">
        <v>1</v>
      </c>
      <c r="H112" t="n">
        <v>0</v>
      </c>
      <c r="I112" t="n">
        <v>0</v>
      </c>
      <c r="J112" t="n">
        <v>0</v>
      </c>
      <c r="K112" t="n">
        <v>0</v>
      </c>
      <c r="L112" t="n">
        <v>0</v>
      </c>
      <c r="M112" t="n">
        <v>0</v>
      </c>
      <c r="N112" t="n">
        <v>0</v>
      </c>
      <c r="O112" t="n">
        <v>0</v>
      </c>
      <c r="P112" t="n">
        <v>0</v>
      </c>
      <c r="Q112" t="n">
        <v>0</v>
      </c>
      <c r="R112" s="2" t="inlineStr"/>
    </row>
    <row r="113" ht="15" customHeight="1">
      <c r="A113" t="inlineStr">
        <is>
          <t>A 46381-2023</t>
        </is>
      </c>
      <c r="B113" s="1" t="n">
        <v>45193</v>
      </c>
      <c r="C113" s="1" t="n">
        <v>45938</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23009-2024</t>
        </is>
      </c>
      <c r="B114" s="1" t="n">
        <v>45450.34506944445</v>
      </c>
      <c r="C114" s="1" t="n">
        <v>45938</v>
      </c>
      <c r="D114" t="inlineStr">
        <is>
          <t>STOCKHOLMS LÄN</t>
        </is>
      </c>
      <c r="E114" t="inlineStr">
        <is>
          <t>VALLENTUNA</t>
        </is>
      </c>
      <c r="G114" t="n">
        <v>1.4</v>
      </c>
      <c r="H114" t="n">
        <v>0</v>
      </c>
      <c r="I114" t="n">
        <v>0</v>
      </c>
      <c r="J114" t="n">
        <v>0</v>
      </c>
      <c r="K114" t="n">
        <v>0</v>
      </c>
      <c r="L114" t="n">
        <v>0</v>
      </c>
      <c r="M114" t="n">
        <v>0</v>
      </c>
      <c r="N114" t="n">
        <v>0</v>
      </c>
      <c r="O114" t="n">
        <v>0</v>
      </c>
      <c r="P114" t="n">
        <v>0</v>
      </c>
      <c r="Q114" t="n">
        <v>0</v>
      </c>
      <c r="R114" s="2" t="inlineStr"/>
    </row>
    <row r="115" ht="15" customHeight="1">
      <c r="A115" t="inlineStr">
        <is>
          <t>A 61027-2023</t>
        </is>
      </c>
      <c r="B115" s="1" t="n">
        <v>45261</v>
      </c>
      <c r="C115" s="1" t="n">
        <v>45938</v>
      </c>
      <c r="D115" t="inlineStr">
        <is>
          <t>STOCKHOLMS LÄN</t>
        </is>
      </c>
      <c r="E115" t="inlineStr">
        <is>
          <t>VALLENTUNA</t>
        </is>
      </c>
      <c r="G115" t="n">
        <v>7.1</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45938</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45938</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21765-2023</t>
        </is>
      </c>
      <c r="B118" s="1" t="n">
        <v>45064</v>
      </c>
      <c r="C118" s="1" t="n">
        <v>45938</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21614-2022</t>
        </is>
      </c>
      <c r="B119" s="1" t="n">
        <v>44706</v>
      </c>
      <c r="C119" s="1" t="n">
        <v>45938</v>
      </c>
      <c r="D119" t="inlineStr">
        <is>
          <t>STOCKHOLMS LÄN</t>
        </is>
      </c>
      <c r="E119" t="inlineStr">
        <is>
          <t>VALLENTUNA</t>
        </is>
      </c>
      <c r="G119" t="n">
        <v>4</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45938</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45938</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34458-2023</t>
        </is>
      </c>
      <c r="B122" s="1" t="n">
        <v>45139</v>
      </c>
      <c r="C122" s="1" t="n">
        <v>45938</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24068-2024</t>
        </is>
      </c>
      <c r="B123" s="1" t="n">
        <v>45456</v>
      </c>
      <c r="C123" s="1" t="n">
        <v>45938</v>
      </c>
      <c r="D123" t="inlineStr">
        <is>
          <t>STOCKHOLMS LÄN</t>
        </is>
      </c>
      <c r="E123" t="inlineStr">
        <is>
          <t>VALLENTUNA</t>
        </is>
      </c>
      <c r="G123" t="n">
        <v>7.4</v>
      </c>
      <c r="H123" t="n">
        <v>0</v>
      </c>
      <c r="I123" t="n">
        <v>0</v>
      </c>
      <c r="J123" t="n">
        <v>0</v>
      </c>
      <c r="K123" t="n">
        <v>0</v>
      </c>
      <c r="L123" t="n">
        <v>0</v>
      </c>
      <c r="M123" t="n">
        <v>0</v>
      </c>
      <c r="N123" t="n">
        <v>0</v>
      </c>
      <c r="O123" t="n">
        <v>0</v>
      </c>
      <c r="P123" t="n">
        <v>0</v>
      </c>
      <c r="Q123" t="n">
        <v>0</v>
      </c>
      <c r="R123" s="2" t="inlineStr"/>
    </row>
    <row r="124" ht="15" customHeight="1">
      <c r="A124" t="inlineStr">
        <is>
          <t>A 3937-2022</t>
        </is>
      </c>
      <c r="B124" s="1" t="n">
        <v>44587</v>
      </c>
      <c r="C124" s="1" t="n">
        <v>45938</v>
      </c>
      <c r="D124" t="inlineStr">
        <is>
          <t>STOCKHOLMS LÄN</t>
        </is>
      </c>
      <c r="E124" t="inlineStr">
        <is>
          <t>VALLENTUNA</t>
        </is>
      </c>
      <c r="G124" t="n">
        <v>6.6</v>
      </c>
      <c r="H124" t="n">
        <v>0</v>
      </c>
      <c r="I124" t="n">
        <v>0</v>
      </c>
      <c r="J124" t="n">
        <v>0</v>
      </c>
      <c r="K124" t="n">
        <v>0</v>
      </c>
      <c r="L124" t="n">
        <v>0</v>
      </c>
      <c r="M124" t="n">
        <v>0</v>
      </c>
      <c r="N124" t="n">
        <v>0</v>
      </c>
      <c r="O124" t="n">
        <v>0</v>
      </c>
      <c r="P124" t="n">
        <v>0</v>
      </c>
      <c r="Q124" t="n">
        <v>0</v>
      </c>
      <c r="R124" s="2" t="inlineStr"/>
    </row>
    <row r="125" ht="15" customHeight="1">
      <c r="A125" t="inlineStr">
        <is>
          <t>A 23013-2024</t>
        </is>
      </c>
      <c r="B125" s="1" t="n">
        <v>45450.35116898148</v>
      </c>
      <c r="C125" s="1" t="n">
        <v>45938</v>
      </c>
      <c r="D125" t="inlineStr">
        <is>
          <t>STOCKHOLMS LÄN</t>
        </is>
      </c>
      <c r="E125" t="inlineStr">
        <is>
          <t>VALLENTUNA</t>
        </is>
      </c>
      <c r="G125" t="n">
        <v>0.4</v>
      </c>
      <c r="H125" t="n">
        <v>0</v>
      </c>
      <c r="I125" t="n">
        <v>0</v>
      </c>
      <c r="J125" t="n">
        <v>0</v>
      </c>
      <c r="K125" t="n">
        <v>0</v>
      </c>
      <c r="L125" t="n">
        <v>0</v>
      </c>
      <c r="M125" t="n">
        <v>0</v>
      </c>
      <c r="N125" t="n">
        <v>0</v>
      </c>
      <c r="O125" t="n">
        <v>0</v>
      </c>
      <c r="P125" t="n">
        <v>0</v>
      </c>
      <c r="Q125" t="n">
        <v>0</v>
      </c>
      <c r="R125" s="2" t="inlineStr"/>
    </row>
    <row r="126" ht="15" customHeight="1">
      <c r="A126" t="inlineStr">
        <is>
          <t>A 3078-2023</t>
        </is>
      </c>
      <c r="B126" s="1" t="n">
        <v>44946.41527777778</v>
      </c>
      <c r="C126" s="1" t="n">
        <v>45938</v>
      </c>
      <c r="D126" t="inlineStr">
        <is>
          <t>STOCKHOLMS LÄN</t>
        </is>
      </c>
      <c r="E126" t="inlineStr">
        <is>
          <t>VALLENTUNA</t>
        </is>
      </c>
      <c r="G126" t="n">
        <v>3.9</v>
      </c>
      <c r="H126" t="n">
        <v>0</v>
      </c>
      <c r="I126" t="n">
        <v>0</v>
      </c>
      <c r="J126" t="n">
        <v>0</v>
      </c>
      <c r="K126" t="n">
        <v>0</v>
      </c>
      <c r="L126" t="n">
        <v>0</v>
      </c>
      <c r="M126" t="n">
        <v>0</v>
      </c>
      <c r="N126" t="n">
        <v>0</v>
      </c>
      <c r="O126" t="n">
        <v>0</v>
      </c>
      <c r="P126" t="n">
        <v>0</v>
      </c>
      <c r="Q126" t="n">
        <v>0</v>
      </c>
      <c r="R126" s="2" t="inlineStr"/>
    </row>
    <row r="127" ht="15" customHeight="1">
      <c r="A127" t="inlineStr">
        <is>
          <t>A 6593-2021</t>
        </is>
      </c>
      <c r="B127" s="1" t="n">
        <v>44236</v>
      </c>
      <c r="C127" s="1" t="n">
        <v>45938</v>
      </c>
      <c r="D127" t="inlineStr">
        <is>
          <t>STOCKHOLMS LÄN</t>
        </is>
      </c>
      <c r="E127" t="inlineStr">
        <is>
          <t>VALLENTUNA</t>
        </is>
      </c>
      <c r="G127" t="n">
        <v>2.3</v>
      </c>
      <c r="H127" t="n">
        <v>0</v>
      </c>
      <c r="I127" t="n">
        <v>0</v>
      </c>
      <c r="J127" t="n">
        <v>0</v>
      </c>
      <c r="K127" t="n">
        <v>0</v>
      </c>
      <c r="L127" t="n">
        <v>0</v>
      </c>
      <c r="M127" t="n">
        <v>0</v>
      </c>
      <c r="N127" t="n">
        <v>0</v>
      </c>
      <c r="O127" t="n">
        <v>0</v>
      </c>
      <c r="P127" t="n">
        <v>0</v>
      </c>
      <c r="Q127" t="n">
        <v>0</v>
      </c>
      <c r="R127" s="2" t="inlineStr"/>
    </row>
    <row r="128" ht="15" customHeight="1">
      <c r="A128" t="inlineStr">
        <is>
          <t>A 30902-2025</t>
        </is>
      </c>
      <c r="B128" s="1" t="n">
        <v>45832.36104166666</v>
      </c>
      <c r="C128" s="1" t="n">
        <v>45938</v>
      </c>
      <c r="D128" t="inlineStr">
        <is>
          <t>STOCKHOLMS LÄN</t>
        </is>
      </c>
      <c r="E128" t="inlineStr">
        <is>
          <t>VALLENTUNA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45938</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28431-2025</t>
        </is>
      </c>
      <c r="B130" s="1" t="n">
        <v>45819.38072916667</v>
      </c>
      <c r="C130" s="1" t="n">
        <v>45938</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21612-2021</t>
        </is>
      </c>
      <c r="B131" s="1" t="n">
        <v>44321</v>
      </c>
      <c r="C131" s="1" t="n">
        <v>45938</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4803-2024</t>
        </is>
      </c>
      <c r="B132" s="1" t="n">
        <v>45328</v>
      </c>
      <c r="C132" s="1" t="n">
        <v>45938</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45938</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45938</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41206-2025</t>
        </is>
      </c>
      <c r="B135" s="1" t="n">
        <v>45898</v>
      </c>
      <c r="C135" s="1" t="n">
        <v>45938</v>
      </c>
      <c r="D135" t="inlineStr">
        <is>
          <t>STOCKHOLMS LÄN</t>
        </is>
      </c>
      <c r="E135" t="inlineStr">
        <is>
          <t>VALLENTUNA</t>
        </is>
      </c>
      <c r="G135" t="n">
        <v>10</v>
      </c>
      <c r="H135" t="n">
        <v>0</v>
      </c>
      <c r="I135" t="n">
        <v>0</v>
      </c>
      <c r="J135" t="n">
        <v>0</v>
      </c>
      <c r="K135" t="n">
        <v>0</v>
      </c>
      <c r="L135" t="n">
        <v>0</v>
      </c>
      <c r="M135" t="n">
        <v>0</v>
      </c>
      <c r="N135" t="n">
        <v>0</v>
      </c>
      <c r="O135" t="n">
        <v>0</v>
      </c>
      <c r="P135" t="n">
        <v>0</v>
      </c>
      <c r="Q135" t="n">
        <v>0</v>
      </c>
      <c r="R135" s="2" t="inlineStr"/>
    </row>
    <row r="136" ht="15" customHeight="1">
      <c r="A136" t="inlineStr">
        <is>
          <t>A 12234-2022</t>
        </is>
      </c>
      <c r="B136" s="1" t="n">
        <v>44637</v>
      </c>
      <c r="C136" s="1" t="n">
        <v>45938</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42613-2025</t>
        </is>
      </c>
      <c r="B137" s="1" t="n">
        <v>45905.70616898148</v>
      </c>
      <c r="C137" s="1" t="n">
        <v>45938</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24943-2024</t>
        </is>
      </c>
      <c r="B138" s="1" t="n">
        <v>45461.62585648148</v>
      </c>
      <c r="C138" s="1" t="n">
        <v>45938</v>
      </c>
      <c r="D138" t="inlineStr">
        <is>
          <t>STOCKHOLMS LÄN</t>
        </is>
      </c>
      <c r="E138" t="inlineStr">
        <is>
          <t>VALLENTUNA</t>
        </is>
      </c>
      <c r="G138" t="n">
        <v>2</v>
      </c>
      <c r="H138" t="n">
        <v>0</v>
      </c>
      <c r="I138" t="n">
        <v>0</v>
      </c>
      <c r="J138" t="n">
        <v>0</v>
      </c>
      <c r="K138" t="n">
        <v>0</v>
      </c>
      <c r="L138" t="n">
        <v>0</v>
      </c>
      <c r="M138" t="n">
        <v>0</v>
      </c>
      <c r="N138" t="n">
        <v>0</v>
      </c>
      <c r="O138" t="n">
        <v>0</v>
      </c>
      <c r="P138" t="n">
        <v>0</v>
      </c>
      <c r="Q138" t="n">
        <v>0</v>
      </c>
      <c r="R138" s="2" t="inlineStr"/>
    </row>
    <row r="139" ht="15" customHeight="1">
      <c r="A139" t="inlineStr">
        <is>
          <t>A 44988-2025</t>
        </is>
      </c>
      <c r="B139" s="1" t="n">
        <v>45918.65505787037</v>
      </c>
      <c r="C139" s="1" t="n">
        <v>45938</v>
      </c>
      <c r="D139" t="inlineStr">
        <is>
          <t>STOCKHOLMS LÄN</t>
        </is>
      </c>
      <c r="E139" t="inlineStr">
        <is>
          <t>VALLENTUNA</t>
        </is>
      </c>
      <c r="G139" t="n">
        <v>1</v>
      </c>
      <c r="H139" t="n">
        <v>0</v>
      </c>
      <c r="I139" t="n">
        <v>0</v>
      </c>
      <c r="J139" t="n">
        <v>0</v>
      </c>
      <c r="K139" t="n">
        <v>0</v>
      </c>
      <c r="L139" t="n">
        <v>0</v>
      </c>
      <c r="M139" t="n">
        <v>0</v>
      </c>
      <c r="N139" t="n">
        <v>0</v>
      </c>
      <c r="O139" t="n">
        <v>0</v>
      </c>
      <c r="P139" t="n">
        <v>0</v>
      </c>
      <c r="Q139" t="n">
        <v>0</v>
      </c>
      <c r="R139" s="2" t="inlineStr"/>
    </row>
    <row r="140">
      <c r="A140" t="inlineStr">
        <is>
          <t>A 44346-2021</t>
        </is>
      </c>
      <c r="B140" s="1" t="n">
        <v>44434</v>
      </c>
      <c r="C140" s="1" t="n">
        <v>45938</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2025-10-08T12:33:04Z</dcterms:created>
  <dcterms:modified xmlns:dcterms="http://purl.org/dc/terms/" xmlns:xsi="http://www.w3.org/2001/XMLSchema-instance" xsi:type="dcterms:W3CDTF">2025-10-08T12:33:04Z</dcterms:modified>
</cp:coreProperties>
</file>