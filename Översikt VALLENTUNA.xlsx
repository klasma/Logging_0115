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46128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46128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46128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46128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46128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46128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46128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46128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46128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46128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46128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46128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46128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46128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46128</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46128</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46128</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46128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46128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46128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62402-2022</t>
        </is>
      </c>
      <c r="B22" s="1" t="n">
        <v>44923</v>
      </c>
      <c r="C22" s="1" t="n">
        <v>46128</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46-2022</t>
        </is>
      </c>
      <c r="B23" s="1" t="n">
        <v>44560</v>
      </c>
      <c r="C23" s="1" t="n">
        <v>46128</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21612-2021</t>
        </is>
      </c>
      <c r="B24" s="1" t="n">
        <v>44321</v>
      </c>
      <c r="C24" s="1" t="n">
        <v>46128</v>
      </c>
      <c r="D24" t="inlineStr">
        <is>
          <t>STOCKHOLMS LÄN</t>
        </is>
      </c>
      <c r="E24" t="inlineStr">
        <is>
          <t>VALLENTUNA</t>
        </is>
      </c>
      <c r="G24" t="n">
        <v>1.4</v>
      </c>
      <c r="H24" t="n">
        <v>2</v>
      </c>
      <c r="I24" t="n">
        <v>0</v>
      </c>
      <c r="J24" t="n">
        <v>1</v>
      </c>
      <c r="K24" t="n">
        <v>0</v>
      </c>
      <c r="L24" t="n">
        <v>0</v>
      </c>
      <c r="M24" t="n">
        <v>0</v>
      </c>
      <c r="N24" t="n">
        <v>0</v>
      </c>
      <c r="O24" t="n">
        <v>1</v>
      </c>
      <c r="P24" t="n">
        <v>0</v>
      </c>
      <c r="Q24" t="n">
        <v>2</v>
      </c>
      <c r="R24" s="2" t="inlineStr">
        <is>
          <t>Gulsparv
Grönsiska</t>
        </is>
      </c>
      <c r="S24">
        <f>HYPERLINK("https://klasma.github.io/Logging_0115/artfynd/A 21612-2021 artfynd.xlsx", "A 21612-2021")</f>
        <v/>
      </c>
      <c r="T24">
        <f>HYPERLINK("https://klasma.github.io/Logging_0115/kartor/A 21612-2021 karta.png", "A 21612-2021")</f>
        <v/>
      </c>
      <c r="V24">
        <f>HYPERLINK("https://klasma.github.io/Logging_0115/klagomål/A 21612-2021 FSC-klagomål.docx", "A 21612-2021")</f>
        <v/>
      </c>
      <c r="W24">
        <f>HYPERLINK("https://klasma.github.io/Logging_0115/klagomålsmail/A 21612-2021 FSC-klagomål mail.docx", "A 21612-2021")</f>
        <v/>
      </c>
      <c r="X24">
        <f>HYPERLINK("https://klasma.github.io/Logging_0115/tillsyn/A 21612-2021 tillsynsbegäran.docx", "A 21612-2021")</f>
        <v/>
      </c>
      <c r="Y24">
        <f>HYPERLINK("https://klasma.github.io/Logging_0115/tillsynsmail/A 21612-2021 tillsynsbegäran mail.docx", "A 21612-2021")</f>
        <v/>
      </c>
      <c r="Z24">
        <f>HYPERLINK("https://klasma.github.io/Logging_0115/fåglar/A 21612-2021 prioriterade fågelarter.docx", "A 21612-2021")</f>
        <v/>
      </c>
    </row>
    <row r="25" ht="15" customHeight="1">
      <c r="A25" t="inlineStr">
        <is>
          <t>A 754-2024</t>
        </is>
      </c>
      <c r="B25" s="1" t="n">
        <v>45300</v>
      </c>
      <c r="C25" s="1" t="n">
        <v>46128</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41021-2023</t>
        </is>
      </c>
      <c r="B26" s="1" t="n">
        <v>45173</v>
      </c>
      <c r="C26" s="1" t="n">
        <v>46128</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9745-2022</t>
        </is>
      </c>
      <c r="B27" s="1" t="n">
        <v>44618</v>
      </c>
      <c r="C27" s="1" t="n">
        <v>46128</v>
      </c>
      <c r="D27" t="inlineStr">
        <is>
          <t>STOCKHOLMS LÄN</t>
        </is>
      </c>
      <c r="E27" t="inlineStr">
        <is>
          <t>VALLENTUNA</t>
        </is>
      </c>
      <c r="G27" t="n">
        <v>5.9</v>
      </c>
      <c r="H27" t="n">
        <v>1</v>
      </c>
      <c r="I27" t="n">
        <v>1</v>
      </c>
      <c r="J27" t="n">
        <v>1</v>
      </c>
      <c r="K27" t="n">
        <v>0</v>
      </c>
      <c r="L27" t="n">
        <v>0</v>
      </c>
      <c r="M27" t="n">
        <v>0</v>
      </c>
      <c r="N27" t="n">
        <v>0</v>
      </c>
      <c r="O27" t="n">
        <v>1</v>
      </c>
      <c r="P27" t="n">
        <v>0</v>
      </c>
      <c r="Q27" t="n">
        <v>2</v>
      </c>
      <c r="R27" s="2" t="inlineStr">
        <is>
          <t>Spillkråka
Björksplintborre</t>
        </is>
      </c>
      <c r="S27">
        <f>HYPERLINK("https://klasma.github.io/Logging_0115/artfynd/A 9745-2022 artfynd.xlsx", "A 9745-2022")</f>
        <v/>
      </c>
      <c r="T27">
        <f>HYPERLINK("https://klasma.github.io/Logging_0115/kartor/A 9745-2022 karta.png", "A 9745-2022")</f>
        <v/>
      </c>
      <c r="V27">
        <f>HYPERLINK("https://klasma.github.io/Logging_0115/klagomål/A 9745-2022 FSC-klagomål.docx", "A 9745-2022")</f>
        <v/>
      </c>
      <c r="W27">
        <f>HYPERLINK("https://klasma.github.io/Logging_0115/klagomålsmail/A 9745-2022 FSC-klagomål mail.docx", "A 9745-2022")</f>
        <v/>
      </c>
      <c r="X27">
        <f>HYPERLINK("https://klasma.github.io/Logging_0115/tillsyn/A 9745-2022 tillsynsbegäran.docx", "A 9745-2022")</f>
        <v/>
      </c>
      <c r="Y27">
        <f>HYPERLINK("https://klasma.github.io/Logging_0115/tillsynsmail/A 9745-2022 tillsynsbegäran mail.docx", "A 9745-2022")</f>
        <v/>
      </c>
      <c r="Z27">
        <f>HYPERLINK("https://klasma.github.io/Logging_0115/fåglar/A 9745-2022 prioriterade fågelarter.docx", "A 9745-2022")</f>
        <v/>
      </c>
    </row>
    <row r="28" ht="15" customHeight="1">
      <c r="A28" t="inlineStr">
        <is>
          <t>A 34460-2023</t>
        </is>
      </c>
      <c r="B28" s="1" t="n">
        <v>45139</v>
      </c>
      <c r="C28" s="1" t="n">
        <v>46128</v>
      </c>
      <c r="D28" t="inlineStr">
        <is>
          <t>STOCKHOLMS LÄN</t>
        </is>
      </c>
      <c r="E28" t="inlineStr">
        <is>
          <t>VALLENTUNA</t>
        </is>
      </c>
      <c r="G28" t="n">
        <v>1.7</v>
      </c>
      <c r="H28" t="n">
        <v>0</v>
      </c>
      <c r="I28" t="n">
        <v>0</v>
      </c>
      <c r="J28" t="n">
        <v>1</v>
      </c>
      <c r="K28" t="n">
        <v>0</v>
      </c>
      <c r="L28" t="n">
        <v>0</v>
      </c>
      <c r="M28" t="n">
        <v>0</v>
      </c>
      <c r="N28" t="n">
        <v>0</v>
      </c>
      <c r="O28" t="n">
        <v>1</v>
      </c>
      <c r="P28" t="n">
        <v>0</v>
      </c>
      <c r="Q28" t="n">
        <v>1</v>
      </c>
      <c r="R28" s="2" t="inlineStr">
        <is>
          <t>Orange taggsvamp</t>
        </is>
      </c>
      <c r="S28">
        <f>HYPERLINK("https://klasma.github.io/Logging_0115/artfynd/A 34460-2023 artfynd.xlsx", "A 34460-2023")</f>
        <v/>
      </c>
      <c r="T28">
        <f>HYPERLINK("https://klasma.github.io/Logging_0115/kartor/A 34460-2023 karta.png", "A 34460-2023")</f>
        <v/>
      </c>
      <c r="V28">
        <f>HYPERLINK("https://klasma.github.io/Logging_0115/klagomål/A 34460-2023 FSC-klagomål.docx", "A 34460-2023")</f>
        <v/>
      </c>
      <c r="W28">
        <f>HYPERLINK("https://klasma.github.io/Logging_0115/klagomålsmail/A 34460-2023 FSC-klagomål mail.docx", "A 34460-2023")</f>
        <v/>
      </c>
      <c r="X28">
        <f>HYPERLINK("https://klasma.github.io/Logging_0115/tillsyn/A 34460-2023 tillsynsbegäran.docx", "A 34460-2023")</f>
        <v/>
      </c>
      <c r="Y28">
        <f>HYPERLINK("https://klasma.github.io/Logging_0115/tillsynsmail/A 34460-2023 tillsynsbegäran mail.docx", "A 34460-2023")</f>
        <v/>
      </c>
    </row>
    <row r="29" ht="15" customHeight="1">
      <c r="A29" t="inlineStr">
        <is>
          <t>A 8817-2025</t>
        </is>
      </c>
      <c r="B29" s="1" t="n">
        <v>45712.70987268518</v>
      </c>
      <c r="C29" s="1" t="n">
        <v>46128</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7890-2023</t>
        </is>
      </c>
      <c r="B30" s="1" t="n">
        <v>44973</v>
      </c>
      <c r="C30" s="1" t="n">
        <v>46128</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21439-2025</t>
        </is>
      </c>
      <c r="B31" s="1" t="n">
        <v>45782.52939814814</v>
      </c>
      <c r="C31" s="1" t="n">
        <v>46128</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14508-2024</t>
        </is>
      </c>
      <c r="B32" s="1" t="n">
        <v>45394.61583333334</v>
      </c>
      <c r="C32" s="1" t="n">
        <v>46128</v>
      </c>
      <c r="D32" t="inlineStr">
        <is>
          <t>STOCKHOLMS LÄN</t>
        </is>
      </c>
      <c r="E32" t="inlineStr">
        <is>
          <t>VALLENTUNA</t>
        </is>
      </c>
      <c r="G32" t="n">
        <v>1.7</v>
      </c>
      <c r="H32" t="n">
        <v>1</v>
      </c>
      <c r="I32" t="n">
        <v>0</v>
      </c>
      <c r="J32" t="n">
        <v>1</v>
      </c>
      <c r="K32" t="n">
        <v>0</v>
      </c>
      <c r="L32" t="n">
        <v>0</v>
      </c>
      <c r="M32" t="n">
        <v>0</v>
      </c>
      <c r="N32" t="n">
        <v>0</v>
      </c>
      <c r="O32" t="n">
        <v>1</v>
      </c>
      <c r="P32" t="n">
        <v>0</v>
      </c>
      <c r="Q32" t="n">
        <v>1</v>
      </c>
      <c r="R32" s="2" t="inlineStr">
        <is>
          <t>Mindre hackspett</t>
        </is>
      </c>
      <c r="S32">
        <f>HYPERLINK("https://klasma.github.io/Logging_0115/artfynd/A 14508-2024 artfynd.xlsx", "A 14508-2024")</f>
        <v/>
      </c>
      <c r="T32">
        <f>HYPERLINK("https://klasma.github.io/Logging_0115/kartor/A 14508-2024 karta.png", "A 14508-2024")</f>
        <v/>
      </c>
      <c r="V32">
        <f>HYPERLINK("https://klasma.github.io/Logging_0115/klagomål/A 14508-2024 FSC-klagomål.docx", "A 14508-2024")</f>
        <v/>
      </c>
      <c r="W32">
        <f>HYPERLINK("https://klasma.github.io/Logging_0115/klagomålsmail/A 14508-2024 FSC-klagomål mail.docx", "A 14508-2024")</f>
        <v/>
      </c>
      <c r="X32">
        <f>HYPERLINK("https://klasma.github.io/Logging_0115/tillsyn/A 14508-2024 tillsynsbegäran.docx", "A 14508-2024")</f>
        <v/>
      </c>
      <c r="Y32">
        <f>HYPERLINK("https://klasma.github.io/Logging_0115/tillsynsmail/A 14508-2024 tillsynsbegäran mail.docx", "A 14508-2024")</f>
        <v/>
      </c>
      <c r="Z32">
        <f>HYPERLINK("https://klasma.github.io/Logging_0115/fåglar/A 14508-2024 prioriterade fågelarter.docx", "A 14508-2024")</f>
        <v/>
      </c>
    </row>
    <row r="33" ht="15" customHeight="1">
      <c r="A33" t="inlineStr">
        <is>
          <t>A 22936-2025</t>
        </is>
      </c>
      <c r="B33" s="1" t="n">
        <v>45790.45738425926</v>
      </c>
      <c r="C33" s="1" t="n">
        <v>46128</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17348-2025</t>
        </is>
      </c>
      <c r="B34" s="1" t="n">
        <v>45756</v>
      </c>
      <c r="C34" s="1" t="n">
        <v>46128</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54481-2025</t>
        </is>
      </c>
      <c r="B35" s="1" t="n">
        <v>45965.58837962963</v>
      </c>
      <c r="C35" s="1" t="n">
        <v>46128</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21-2022</t>
        </is>
      </c>
      <c r="B36" s="1" t="n">
        <v>44560</v>
      </c>
      <c r="C36" s="1" t="n">
        <v>46128</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22830-2024</t>
        </is>
      </c>
      <c r="B37" s="1" t="n">
        <v>45448.56583333333</v>
      </c>
      <c r="C37" s="1" t="n">
        <v>46128</v>
      </c>
      <c r="D37" t="inlineStr">
        <is>
          <t>STOCKHOLMS LÄN</t>
        </is>
      </c>
      <c r="E37" t="inlineStr">
        <is>
          <t>VALLENTUNA</t>
        </is>
      </c>
      <c r="G37" t="n">
        <v>0.3</v>
      </c>
      <c r="H37" t="n">
        <v>0</v>
      </c>
      <c r="I37" t="n">
        <v>0</v>
      </c>
      <c r="J37" t="n">
        <v>1</v>
      </c>
      <c r="K37" t="n">
        <v>0</v>
      </c>
      <c r="L37" t="n">
        <v>0</v>
      </c>
      <c r="M37" t="n">
        <v>0</v>
      </c>
      <c r="N37" t="n">
        <v>0</v>
      </c>
      <c r="O37" t="n">
        <v>1</v>
      </c>
      <c r="P37" t="n">
        <v>0</v>
      </c>
      <c r="Q37" t="n">
        <v>1</v>
      </c>
      <c r="R37" s="2" t="inlineStr">
        <is>
          <t>Tallticka</t>
        </is>
      </c>
      <c r="S37">
        <f>HYPERLINK("https://klasma.github.io/Logging_0115/artfynd/A 22830-2024 artfynd.xlsx", "A 22830-2024")</f>
        <v/>
      </c>
      <c r="T37">
        <f>HYPERLINK("https://klasma.github.io/Logging_0115/kartor/A 22830-2024 karta.png", "A 22830-2024")</f>
        <v/>
      </c>
      <c r="V37">
        <f>HYPERLINK("https://klasma.github.io/Logging_0115/klagomål/A 22830-2024 FSC-klagomål.docx", "A 22830-2024")</f>
        <v/>
      </c>
      <c r="W37">
        <f>HYPERLINK("https://klasma.github.io/Logging_0115/klagomålsmail/A 22830-2024 FSC-klagomål mail.docx", "A 22830-2024")</f>
        <v/>
      </c>
      <c r="X37">
        <f>HYPERLINK("https://klasma.github.io/Logging_0115/tillsyn/A 22830-2024 tillsynsbegäran.docx", "A 22830-2024")</f>
        <v/>
      </c>
      <c r="Y37">
        <f>HYPERLINK("https://klasma.github.io/Logging_0115/tillsynsmail/A 22830-2024 tillsynsbegäran mail.docx", "A 22830-2024")</f>
        <v/>
      </c>
    </row>
    <row r="38" ht="15" customHeight="1">
      <c r="A38" t="inlineStr">
        <is>
          <t>A 17341-2025</t>
        </is>
      </c>
      <c r="B38" s="1" t="n">
        <v>45756</v>
      </c>
      <c r="C38" s="1" t="n">
        <v>46128</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63543-2025</t>
        </is>
      </c>
      <c r="B39" s="1" t="n">
        <v>46013.59207175926</v>
      </c>
      <c r="C39" s="1" t="n">
        <v>46128</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46128</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12401-2026</t>
        </is>
      </c>
      <c r="B41" s="1" t="n">
        <v>46090</v>
      </c>
      <c r="C41" s="1" t="n">
        <v>46128</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34458-2023</t>
        </is>
      </c>
      <c r="B42" s="1" t="n">
        <v>45139</v>
      </c>
      <c r="C42" s="1" t="n">
        <v>46128</v>
      </c>
      <c r="D42" t="inlineStr">
        <is>
          <t>STOCKHOLMS LÄN</t>
        </is>
      </c>
      <c r="E42" t="inlineStr">
        <is>
          <t>VALLENTUNA</t>
        </is>
      </c>
      <c r="G42" t="n">
        <v>2.5</v>
      </c>
      <c r="H42" t="n">
        <v>0</v>
      </c>
      <c r="I42" t="n">
        <v>0</v>
      </c>
      <c r="J42" t="n">
        <v>1</v>
      </c>
      <c r="K42" t="n">
        <v>0</v>
      </c>
      <c r="L42" t="n">
        <v>0</v>
      </c>
      <c r="M42" t="n">
        <v>0</v>
      </c>
      <c r="N42" t="n">
        <v>0</v>
      </c>
      <c r="O42" t="n">
        <v>1</v>
      </c>
      <c r="P42" t="n">
        <v>0</v>
      </c>
      <c r="Q42" t="n">
        <v>1</v>
      </c>
      <c r="R42" s="2" t="inlineStr">
        <is>
          <t>Motaggsvamp</t>
        </is>
      </c>
      <c r="S42">
        <f>HYPERLINK("https://klasma.github.io/Logging_0115/artfynd/A 34458-2023 artfynd.xlsx", "A 34458-2023")</f>
        <v/>
      </c>
      <c r="T42">
        <f>HYPERLINK("https://klasma.github.io/Logging_0115/kartor/A 34458-2023 karta.png", "A 34458-2023")</f>
        <v/>
      </c>
      <c r="V42">
        <f>HYPERLINK("https://klasma.github.io/Logging_0115/klagomål/A 34458-2023 FSC-klagomål.docx", "A 34458-2023")</f>
        <v/>
      </c>
      <c r="W42">
        <f>HYPERLINK("https://klasma.github.io/Logging_0115/klagomålsmail/A 34458-2023 FSC-klagomål mail.docx", "A 34458-2023")</f>
        <v/>
      </c>
      <c r="X42">
        <f>HYPERLINK("https://klasma.github.io/Logging_0115/tillsyn/A 34458-2023 tillsynsbegäran.docx", "A 34458-2023")</f>
        <v/>
      </c>
      <c r="Y42">
        <f>HYPERLINK("https://klasma.github.io/Logging_0115/tillsynsmail/A 34458-2023 tillsynsbegäran mail.docx", "A 34458-2023")</f>
        <v/>
      </c>
    </row>
    <row r="43" ht="15" customHeight="1">
      <c r="A43" t="inlineStr">
        <is>
          <t>A 20612-2021</t>
        </is>
      </c>
      <c r="B43" s="1" t="n">
        <v>44315</v>
      </c>
      <c r="C43" s="1" t="n">
        <v>46128</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46128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46128</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46128</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46128</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46128</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46128</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46128</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46128</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46128</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46128</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46128</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7264-2022</t>
        </is>
      </c>
      <c r="B55" s="1" t="n">
        <v>44606</v>
      </c>
      <c r="C55" s="1" t="n">
        <v>46128</v>
      </c>
      <c r="D55" t="inlineStr">
        <is>
          <t>STOCKHOLMS LÄN</t>
        </is>
      </c>
      <c r="E55" t="inlineStr">
        <is>
          <t>VALLENTUNA</t>
        </is>
      </c>
      <c r="G55" t="n">
        <v>2.4</v>
      </c>
      <c r="H55" t="n">
        <v>0</v>
      </c>
      <c r="I55" t="n">
        <v>0</v>
      </c>
      <c r="J55" t="n">
        <v>0</v>
      </c>
      <c r="K55" t="n">
        <v>0</v>
      </c>
      <c r="L55" t="n">
        <v>0</v>
      </c>
      <c r="M55" t="n">
        <v>0</v>
      </c>
      <c r="N55" t="n">
        <v>0</v>
      </c>
      <c r="O55" t="n">
        <v>0</v>
      </c>
      <c r="P55" t="n">
        <v>0</v>
      </c>
      <c r="Q55" t="n">
        <v>0</v>
      </c>
      <c r="R55" s="2" t="inlineStr"/>
    </row>
    <row r="56" ht="15" customHeight="1">
      <c r="A56" t="inlineStr">
        <is>
          <t>A 34441-2023</t>
        </is>
      </c>
      <c r="B56" s="1" t="n">
        <v>45139</v>
      </c>
      <c r="C56" s="1" t="n">
        <v>46128</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34445-2023</t>
        </is>
      </c>
      <c r="B57" s="1" t="n">
        <v>45139</v>
      </c>
      <c r="C57" s="1" t="n">
        <v>46128</v>
      </c>
      <c r="D57" t="inlineStr">
        <is>
          <t>STOCKHOLMS LÄN</t>
        </is>
      </c>
      <c r="E57" t="inlineStr">
        <is>
          <t>VALLENTUNA</t>
        </is>
      </c>
      <c r="G57" t="n">
        <v>0.9</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46128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23986-2023</t>
        </is>
      </c>
      <c r="B59" s="1" t="n">
        <v>45078</v>
      </c>
      <c r="C59" s="1" t="n">
        <v>46128</v>
      </c>
      <c r="D59" t="inlineStr">
        <is>
          <t>STOCKHOLMS LÄN</t>
        </is>
      </c>
      <c r="E59" t="inlineStr">
        <is>
          <t>VALLENTUNA</t>
        </is>
      </c>
      <c r="F59" t="inlineStr">
        <is>
          <t>Kyrkan</t>
        </is>
      </c>
      <c r="G59" t="n">
        <v>5.7</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46128</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42624-2021</t>
        </is>
      </c>
      <c r="B61" s="1" t="n">
        <v>44428</v>
      </c>
      <c r="C61" s="1" t="n">
        <v>46128</v>
      </c>
      <c r="D61" t="inlineStr">
        <is>
          <t>STOCKHOLMS LÄN</t>
        </is>
      </c>
      <c r="E61" t="inlineStr">
        <is>
          <t>VALLENTUNA</t>
        </is>
      </c>
      <c r="G61" t="n">
        <v>0.7</v>
      </c>
      <c r="H61" t="n">
        <v>0</v>
      </c>
      <c r="I61" t="n">
        <v>0</v>
      </c>
      <c r="J61" t="n">
        <v>0</v>
      </c>
      <c r="K61" t="n">
        <v>0</v>
      </c>
      <c r="L61" t="n">
        <v>0</v>
      </c>
      <c r="M61" t="n">
        <v>0</v>
      </c>
      <c r="N61" t="n">
        <v>0</v>
      </c>
      <c r="O61" t="n">
        <v>0</v>
      </c>
      <c r="P61" t="n">
        <v>0</v>
      </c>
      <c r="Q61" t="n">
        <v>0</v>
      </c>
      <c r="R61" s="2" t="inlineStr"/>
    </row>
    <row r="62" ht="15" customHeight="1">
      <c r="A62" t="inlineStr">
        <is>
          <t>A 14725-2022</t>
        </is>
      </c>
      <c r="B62" s="1" t="n">
        <v>44655</v>
      </c>
      <c r="C62" s="1" t="n">
        <v>46128</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8077-2022</t>
        </is>
      </c>
      <c r="B63" s="1" t="n">
        <v>44609</v>
      </c>
      <c r="C63" s="1" t="n">
        <v>46128</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13836-2022</t>
        </is>
      </c>
      <c r="B64" s="1" t="n">
        <v>44649</v>
      </c>
      <c r="C64" s="1" t="n">
        <v>46128</v>
      </c>
      <c r="D64" t="inlineStr">
        <is>
          <t>STOCKHOLMS LÄN</t>
        </is>
      </c>
      <c r="E64" t="inlineStr">
        <is>
          <t>VALLENTUNA</t>
        </is>
      </c>
      <c r="G64" t="n">
        <v>3.5</v>
      </c>
      <c r="H64" t="n">
        <v>0</v>
      </c>
      <c r="I64" t="n">
        <v>0</v>
      </c>
      <c r="J64" t="n">
        <v>0</v>
      </c>
      <c r="K64" t="n">
        <v>0</v>
      </c>
      <c r="L64" t="n">
        <v>0</v>
      </c>
      <c r="M64" t="n">
        <v>0</v>
      </c>
      <c r="N64" t="n">
        <v>0</v>
      </c>
      <c r="O64" t="n">
        <v>0</v>
      </c>
      <c r="P64" t="n">
        <v>0</v>
      </c>
      <c r="Q64" t="n">
        <v>0</v>
      </c>
      <c r="R64" s="2" t="inlineStr"/>
    </row>
    <row r="65" ht="15" customHeight="1">
      <c r="A65" t="inlineStr">
        <is>
          <t>A 19356-2025</t>
        </is>
      </c>
      <c r="B65" s="1" t="n">
        <v>45769.62061342593</v>
      </c>
      <c r="C65" s="1" t="n">
        <v>46128</v>
      </c>
      <c r="D65" t="inlineStr">
        <is>
          <t>STOCKHOLMS LÄN</t>
        </is>
      </c>
      <c r="E65" t="inlineStr">
        <is>
          <t>VALLENTUNA</t>
        </is>
      </c>
      <c r="F65" t="inlineStr">
        <is>
          <t>Övriga Aktiebolag</t>
        </is>
      </c>
      <c r="G65" t="n">
        <v>1.6</v>
      </c>
      <c r="H65" t="n">
        <v>0</v>
      </c>
      <c r="I65" t="n">
        <v>0</v>
      </c>
      <c r="J65" t="n">
        <v>0</v>
      </c>
      <c r="K65" t="n">
        <v>0</v>
      </c>
      <c r="L65" t="n">
        <v>0</v>
      </c>
      <c r="M65" t="n">
        <v>0</v>
      </c>
      <c r="N65" t="n">
        <v>0</v>
      </c>
      <c r="O65" t="n">
        <v>0</v>
      </c>
      <c r="P65" t="n">
        <v>0</v>
      </c>
      <c r="Q65" t="n">
        <v>0</v>
      </c>
      <c r="R65" s="2" t="inlineStr"/>
    </row>
    <row r="66" ht="15" customHeight="1">
      <c r="A66" t="inlineStr">
        <is>
          <t>A 12562-2023</t>
        </is>
      </c>
      <c r="B66" s="1" t="n">
        <v>45000</v>
      </c>
      <c r="C66" s="1" t="n">
        <v>46128</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29704-2023</t>
        </is>
      </c>
      <c r="B67" s="1" t="n">
        <v>45107</v>
      </c>
      <c r="C67" s="1" t="n">
        <v>46128</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21765-2023</t>
        </is>
      </c>
      <c r="B68" s="1" t="n">
        <v>45064</v>
      </c>
      <c r="C68" s="1" t="n">
        <v>46128</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46128</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45499-2023</t>
        </is>
      </c>
      <c r="B70" s="1" t="n">
        <v>45194</v>
      </c>
      <c r="C70" s="1" t="n">
        <v>46128</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14782-2024</t>
        </is>
      </c>
      <c r="B71" s="1" t="n">
        <v>45397.74266203704</v>
      </c>
      <c r="C71" s="1" t="n">
        <v>46128</v>
      </c>
      <c r="D71" t="inlineStr">
        <is>
          <t>STOCKHOLMS LÄN</t>
        </is>
      </c>
      <c r="E71" t="inlineStr">
        <is>
          <t>VALLENTUNA</t>
        </is>
      </c>
      <c r="G71" t="n">
        <v>3.1</v>
      </c>
      <c r="H71" t="n">
        <v>0</v>
      </c>
      <c r="I71" t="n">
        <v>0</v>
      </c>
      <c r="J71" t="n">
        <v>0</v>
      </c>
      <c r="K71" t="n">
        <v>0</v>
      </c>
      <c r="L71" t="n">
        <v>0</v>
      </c>
      <c r="M71" t="n">
        <v>0</v>
      </c>
      <c r="N71" t="n">
        <v>0</v>
      </c>
      <c r="O71" t="n">
        <v>0</v>
      </c>
      <c r="P71" t="n">
        <v>0</v>
      </c>
      <c r="Q71" t="n">
        <v>0</v>
      </c>
      <c r="R71" s="2" t="inlineStr"/>
    </row>
    <row r="72" ht="15" customHeight="1">
      <c r="A72" t="inlineStr">
        <is>
          <t>A 1385-2024</t>
        </is>
      </c>
      <c r="B72" s="1" t="n">
        <v>45303</v>
      </c>
      <c r="C72" s="1" t="n">
        <v>46128</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14775-2024</t>
        </is>
      </c>
      <c r="B73" s="1" t="n">
        <v>45397.73675925926</v>
      </c>
      <c r="C73" s="1" t="n">
        <v>46128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24068-2024</t>
        </is>
      </c>
      <c r="B74" s="1" t="n">
        <v>45456</v>
      </c>
      <c r="C74" s="1" t="n">
        <v>46128</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735-2024</t>
        </is>
      </c>
      <c r="B75" s="1" t="n">
        <v>45300</v>
      </c>
      <c r="C75" s="1" t="n">
        <v>46128</v>
      </c>
      <c r="D75" t="inlineStr">
        <is>
          <t>STOCKHOLMS LÄN</t>
        </is>
      </c>
      <c r="E75" t="inlineStr">
        <is>
          <t>VALLENTUNA</t>
        </is>
      </c>
      <c r="G75" t="n">
        <v>1.7</v>
      </c>
      <c r="H75" t="n">
        <v>0</v>
      </c>
      <c r="I75" t="n">
        <v>0</v>
      </c>
      <c r="J75" t="n">
        <v>0</v>
      </c>
      <c r="K75" t="n">
        <v>0</v>
      </c>
      <c r="L75" t="n">
        <v>0</v>
      </c>
      <c r="M75" t="n">
        <v>0</v>
      </c>
      <c r="N75" t="n">
        <v>0</v>
      </c>
      <c r="O75" t="n">
        <v>0</v>
      </c>
      <c r="P75" t="n">
        <v>0</v>
      </c>
      <c r="Q75" t="n">
        <v>0</v>
      </c>
      <c r="R75" s="2" t="inlineStr"/>
    </row>
    <row r="76" ht="15" customHeight="1">
      <c r="A76" t="inlineStr">
        <is>
          <t>A 17411-2023</t>
        </is>
      </c>
      <c r="B76" s="1" t="n">
        <v>45035.82512731481</v>
      </c>
      <c r="C76" s="1" t="n">
        <v>46128</v>
      </c>
      <c r="D76" t="inlineStr">
        <is>
          <t>STOCKHOLMS LÄN</t>
        </is>
      </c>
      <c r="E76" t="inlineStr">
        <is>
          <t>VALLENTUNA</t>
        </is>
      </c>
      <c r="G76" t="n">
        <v>0.7</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46128</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15268-2023</t>
        </is>
      </c>
      <c r="B78" s="1" t="n">
        <v>45019.41045138889</v>
      </c>
      <c r="C78" s="1" t="n">
        <v>46128</v>
      </c>
      <c r="D78" t="inlineStr">
        <is>
          <t>STOCKHOLMS LÄN</t>
        </is>
      </c>
      <c r="E78" t="inlineStr">
        <is>
          <t>VALLENTUNA</t>
        </is>
      </c>
      <c r="G78" t="n">
        <v>2.2</v>
      </c>
      <c r="H78" t="n">
        <v>0</v>
      </c>
      <c r="I78" t="n">
        <v>0</v>
      </c>
      <c r="J78" t="n">
        <v>0</v>
      </c>
      <c r="K78" t="n">
        <v>0</v>
      </c>
      <c r="L78" t="n">
        <v>0</v>
      </c>
      <c r="M78" t="n">
        <v>0</v>
      </c>
      <c r="N78" t="n">
        <v>0</v>
      </c>
      <c r="O78" t="n">
        <v>0</v>
      </c>
      <c r="P78" t="n">
        <v>0</v>
      </c>
      <c r="Q78" t="n">
        <v>0</v>
      </c>
      <c r="R78" s="2" t="inlineStr"/>
    </row>
    <row r="79" ht="15" customHeight="1">
      <c r="A79" t="inlineStr">
        <is>
          <t>A 38102-2024</t>
        </is>
      </c>
      <c r="B79" s="1" t="n">
        <v>45545.36349537037</v>
      </c>
      <c r="C79" s="1" t="n">
        <v>46128</v>
      </c>
      <c r="D79" t="inlineStr">
        <is>
          <t>STOCKHOLMS LÄN</t>
        </is>
      </c>
      <c r="E79" t="inlineStr">
        <is>
          <t>VALLENTUNA</t>
        </is>
      </c>
      <c r="G79" t="n">
        <v>3.2</v>
      </c>
      <c r="H79" t="n">
        <v>0</v>
      </c>
      <c r="I79" t="n">
        <v>0</v>
      </c>
      <c r="J79" t="n">
        <v>0</v>
      </c>
      <c r="K79" t="n">
        <v>0</v>
      </c>
      <c r="L79" t="n">
        <v>0</v>
      </c>
      <c r="M79" t="n">
        <v>0</v>
      </c>
      <c r="N79" t="n">
        <v>0</v>
      </c>
      <c r="O79" t="n">
        <v>0</v>
      </c>
      <c r="P79" t="n">
        <v>0</v>
      </c>
      <c r="Q79" t="n">
        <v>0</v>
      </c>
      <c r="R79" s="2" t="inlineStr"/>
    </row>
    <row r="80" ht="15" customHeight="1">
      <c r="A80" t="inlineStr">
        <is>
          <t>A 41206-2025</t>
        </is>
      </c>
      <c r="B80" s="1" t="n">
        <v>45898</v>
      </c>
      <c r="C80" s="1" t="n">
        <v>46128</v>
      </c>
      <c r="D80" t="inlineStr">
        <is>
          <t>STOCKHOLMS LÄN</t>
        </is>
      </c>
      <c r="E80" t="inlineStr">
        <is>
          <t>VALLENTUNA</t>
        </is>
      </c>
      <c r="G80" t="n">
        <v>10</v>
      </c>
      <c r="H80" t="n">
        <v>0</v>
      </c>
      <c r="I80" t="n">
        <v>0</v>
      </c>
      <c r="J80" t="n">
        <v>0</v>
      </c>
      <c r="K80" t="n">
        <v>0</v>
      </c>
      <c r="L80" t="n">
        <v>0</v>
      </c>
      <c r="M80" t="n">
        <v>0</v>
      </c>
      <c r="N80" t="n">
        <v>0</v>
      </c>
      <c r="O80" t="n">
        <v>0</v>
      </c>
      <c r="P80" t="n">
        <v>0</v>
      </c>
      <c r="Q80" t="n">
        <v>0</v>
      </c>
      <c r="R80" s="2" t="inlineStr"/>
    </row>
    <row r="81" ht="15" customHeight="1">
      <c r="A81" t="inlineStr">
        <is>
          <t>A 17340-2025</t>
        </is>
      </c>
      <c r="B81" s="1" t="n">
        <v>45756</v>
      </c>
      <c r="C81" s="1" t="n">
        <v>46128</v>
      </c>
      <c r="D81" t="inlineStr">
        <is>
          <t>STOCKHOLMS LÄN</t>
        </is>
      </c>
      <c r="E81" t="inlineStr">
        <is>
          <t>VALLENTUNA</t>
        </is>
      </c>
      <c r="F81" t="inlineStr">
        <is>
          <t>Övriga Aktiebolag</t>
        </is>
      </c>
      <c r="G81" t="n">
        <v>2.6</v>
      </c>
      <c r="H81" t="n">
        <v>0</v>
      </c>
      <c r="I81" t="n">
        <v>0</v>
      </c>
      <c r="J81" t="n">
        <v>0</v>
      </c>
      <c r="K81" t="n">
        <v>0</v>
      </c>
      <c r="L81" t="n">
        <v>0</v>
      </c>
      <c r="M81" t="n">
        <v>0</v>
      </c>
      <c r="N81" t="n">
        <v>0</v>
      </c>
      <c r="O81" t="n">
        <v>0</v>
      </c>
      <c r="P81" t="n">
        <v>0</v>
      </c>
      <c r="Q81" t="n">
        <v>0</v>
      </c>
      <c r="R81" s="2" t="inlineStr"/>
    </row>
    <row r="82" ht="15" customHeight="1">
      <c r="A82" t="inlineStr">
        <is>
          <t>A 20791-2025</t>
        </is>
      </c>
      <c r="B82" s="1" t="n">
        <v>45776.62738425926</v>
      </c>
      <c r="C82" s="1" t="n">
        <v>46128</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10073-2024</t>
        </is>
      </c>
      <c r="B83" s="1" t="n">
        <v>45364.40821759259</v>
      </c>
      <c r="C83" s="1" t="n">
        <v>46128</v>
      </c>
      <c r="D83" t="inlineStr">
        <is>
          <t>STOCKHOLMS LÄN</t>
        </is>
      </c>
      <c r="E83" t="inlineStr">
        <is>
          <t>VALLENTUNA</t>
        </is>
      </c>
      <c r="G83" t="n">
        <v>1.1</v>
      </c>
      <c r="H83" t="n">
        <v>0</v>
      </c>
      <c r="I83" t="n">
        <v>0</v>
      </c>
      <c r="J83" t="n">
        <v>0</v>
      </c>
      <c r="K83" t="n">
        <v>0</v>
      </c>
      <c r="L83" t="n">
        <v>0</v>
      </c>
      <c r="M83" t="n">
        <v>0</v>
      </c>
      <c r="N83" t="n">
        <v>0</v>
      </c>
      <c r="O83" t="n">
        <v>0</v>
      </c>
      <c r="P83" t="n">
        <v>0</v>
      </c>
      <c r="Q83" t="n">
        <v>0</v>
      </c>
      <c r="R83" s="2" t="inlineStr"/>
    </row>
    <row r="84" ht="15" customHeight="1">
      <c r="A84" t="inlineStr">
        <is>
          <t>A 34452-2021</t>
        </is>
      </c>
      <c r="B84" s="1" t="n">
        <v>44381</v>
      </c>
      <c r="C84" s="1" t="n">
        <v>46128</v>
      </c>
      <c r="D84" t="inlineStr">
        <is>
          <t>STOCKHOLMS LÄN</t>
        </is>
      </c>
      <c r="E84" t="inlineStr">
        <is>
          <t>VALLENTUNA</t>
        </is>
      </c>
      <c r="G84" t="n">
        <v>14.7</v>
      </c>
      <c r="H84" t="n">
        <v>0</v>
      </c>
      <c r="I84" t="n">
        <v>0</v>
      </c>
      <c r="J84" t="n">
        <v>0</v>
      </c>
      <c r="K84" t="n">
        <v>0</v>
      </c>
      <c r="L84" t="n">
        <v>0</v>
      </c>
      <c r="M84" t="n">
        <v>0</v>
      </c>
      <c r="N84" t="n">
        <v>0</v>
      </c>
      <c r="O84" t="n">
        <v>0</v>
      </c>
      <c r="P84" t="n">
        <v>0</v>
      </c>
      <c r="Q84" t="n">
        <v>0</v>
      </c>
      <c r="R84" s="2" t="inlineStr"/>
    </row>
    <row r="85" ht="15" customHeight="1">
      <c r="A85" t="inlineStr">
        <is>
          <t>A 12621-2024</t>
        </is>
      </c>
      <c r="B85" s="1" t="n">
        <v>45383.6325</v>
      </c>
      <c r="C85" s="1" t="n">
        <v>46128</v>
      </c>
      <c r="D85" t="inlineStr">
        <is>
          <t>STOCKHOLMS LÄN</t>
        </is>
      </c>
      <c r="E85" t="inlineStr">
        <is>
          <t>VALLENTUNA</t>
        </is>
      </c>
      <c r="G85" t="n">
        <v>4.4</v>
      </c>
      <c r="H85" t="n">
        <v>0</v>
      </c>
      <c r="I85" t="n">
        <v>0</v>
      </c>
      <c r="J85" t="n">
        <v>0</v>
      </c>
      <c r="K85" t="n">
        <v>0</v>
      </c>
      <c r="L85" t="n">
        <v>0</v>
      </c>
      <c r="M85" t="n">
        <v>0</v>
      </c>
      <c r="N85" t="n">
        <v>0</v>
      </c>
      <c r="O85" t="n">
        <v>0</v>
      </c>
      <c r="P85" t="n">
        <v>0</v>
      </c>
      <c r="Q85" t="n">
        <v>0</v>
      </c>
      <c r="R85" s="2" t="inlineStr"/>
    </row>
    <row r="86" ht="15" customHeight="1">
      <c r="A86" t="inlineStr">
        <is>
          <t>A 49530-2023</t>
        </is>
      </c>
      <c r="B86" s="1" t="n">
        <v>45205</v>
      </c>
      <c r="C86" s="1" t="n">
        <v>46128</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19503-2023</t>
        </is>
      </c>
      <c r="B87" s="1" t="n">
        <v>45050.47333333334</v>
      </c>
      <c r="C87" s="1" t="n">
        <v>46128</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46381-2023</t>
        </is>
      </c>
      <c r="B88" s="1" t="n">
        <v>45193</v>
      </c>
      <c r="C88" s="1" t="n">
        <v>46128</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61027-2023</t>
        </is>
      </c>
      <c r="B89" s="1" t="n">
        <v>45261</v>
      </c>
      <c r="C89" s="1" t="n">
        <v>46128</v>
      </c>
      <c r="D89" t="inlineStr">
        <is>
          <t>STOCKHOLMS LÄN</t>
        </is>
      </c>
      <c r="E89" t="inlineStr">
        <is>
          <t>VALLENTUNA</t>
        </is>
      </c>
      <c r="G89" t="n">
        <v>7.1</v>
      </c>
      <c r="H89" t="n">
        <v>0</v>
      </c>
      <c r="I89" t="n">
        <v>0</v>
      </c>
      <c r="J89" t="n">
        <v>0</v>
      </c>
      <c r="K89" t="n">
        <v>0</v>
      </c>
      <c r="L89" t="n">
        <v>0</v>
      </c>
      <c r="M89" t="n">
        <v>0</v>
      </c>
      <c r="N89" t="n">
        <v>0</v>
      </c>
      <c r="O89" t="n">
        <v>0</v>
      </c>
      <c r="P89" t="n">
        <v>0</v>
      </c>
      <c r="Q89" t="n">
        <v>0</v>
      </c>
      <c r="R89" s="2" t="inlineStr"/>
    </row>
    <row r="90" ht="15" customHeight="1">
      <c r="A90" t="inlineStr">
        <is>
          <t>A 23009-2024</t>
        </is>
      </c>
      <c r="B90" s="1" t="n">
        <v>45450.34506944445</v>
      </c>
      <c r="C90" s="1" t="n">
        <v>46128</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24994-2021</t>
        </is>
      </c>
      <c r="B91" s="1" t="n">
        <v>44341</v>
      </c>
      <c r="C91" s="1" t="n">
        <v>46128</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52989-2023</t>
        </is>
      </c>
      <c r="B92" s="1" t="n">
        <v>45226</v>
      </c>
      <c r="C92" s="1" t="n">
        <v>46128</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21445-2023</t>
        </is>
      </c>
      <c r="B93" s="1" t="n">
        <v>45063</v>
      </c>
      <c r="C93" s="1" t="n">
        <v>46128</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44988-2025</t>
        </is>
      </c>
      <c r="B94" s="1" t="n">
        <v>45918.65505787037</v>
      </c>
      <c r="C94" s="1" t="n">
        <v>46128</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46128</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23923-2025</t>
        </is>
      </c>
      <c r="B96" s="1" t="n">
        <v>45795.39648148148</v>
      </c>
      <c r="C96" s="1" t="n">
        <v>46128</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24943-2024</t>
        </is>
      </c>
      <c r="B97" s="1" t="n">
        <v>45461.62585648148</v>
      </c>
      <c r="C97" s="1" t="n">
        <v>46128</v>
      </c>
      <c r="D97" t="inlineStr">
        <is>
          <t>STOCKHOLMS LÄN</t>
        </is>
      </c>
      <c r="E97" t="inlineStr">
        <is>
          <t>VALLENTUNA</t>
        </is>
      </c>
      <c r="G97" t="n">
        <v>2</v>
      </c>
      <c r="H97" t="n">
        <v>0</v>
      </c>
      <c r="I97" t="n">
        <v>0</v>
      </c>
      <c r="J97" t="n">
        <v>0</v>
      </c>
      <c r="K97" t="n">
        <v>0</v>
      </c>
      <c r="L97" t="n">
        <v>0</v>
      </c>
      <c r="M97" t="n">
        <v>0</v>
      </c>
      <c r="N97" t="n">
        <v>0</v>
      </c>
      <c r="O97" t="n">
        <v>0</v>
      </c>
      <c r="P97" t="n">
        <v>0</v>
      </c>
      <c r="Q97" t="n">
        <v>0</v>
      </c>
      <c r="R97" s="2" t="inlineStr"/>
    </row>
    <row r="98" ht="15" customHeight="1">
      <c r="A98" t="inlineStr">
        <is>
          <t>A 5910-2022</t>
        </is>
      </c>
      <c r="B98" s="1" t="n">
        <v>44597</v>
      </c>
      <c r="C98" s="1" t="n">
        <v>46128</v>
      </c>
      <c r="D98" t="inlineStr">
        <is>
          <t>STOCKHOLMS LÄN</t>
        </is>
      </c>
      <c r="E98" t="inlineStr">
        <is>
          <t>VALLENTUNA</t>
        </is>
      </c>
      <c r="G98" t="n">
        <v>0.6</v>
      </c>
      <c r="H98" t="n">
        <v>0</v>
      </c>
      <c r="I98" t="n">
        <v>0</v>
      </c>
      <c r="J98" t="n">
        <v>0</v>
      </c>
      <c r="K98" t="n">
        <v>0</v>
      </c>
      <c r="L98" t="n">
        <v>0</v>
      </c>
      <c r="M98" t="n">
        <v>0</v>
      </c>
      <c r="N98" t="n">
        <v>0</v>
      </c>
      <c r="O98" t="n">
        <v>0</v>
      </c>
      <c r="P98" t="n">
        <v>0</v>
      </c>
      <c r="Q98" t="n">
        <v>0</v>
      </c>
      <c r="R98" s="2" t="inlineStr"/>
    </row>
    <row r="99" ht="15" customHeight="1">
      <c r="A99" t="inlineStr">
        <is>
          <t>A 25984-2025</t>
        </is>
      </c>
      <c r="B99" s="1" t="n">
        <v>45804.64016203704</v>
      </c>
      <c r="C99" s="1" t="n">
        <v>46128</v>
      </c>
      <c r="D99" t="inlineStr">
        <is>
          <t>STOCKHOLMS LÄN</t>
        </is>
      </c>
      <c r="E99" t="inlineStr">
        <is>
          <t>VALLENTUNA</t>
        </is>
      </c>
      <c r="G99" t="n">
        <v>2.5</v>
      </c>
      <c r="H99" t="n">
        <v>0</v>
      </c>
      <c r="I99" t="n">
        <v>0</v>
      </c>
      <c r="J99" t="n">
        <v>0</v>
      </c>
      <c r="K99" t="n">
        <v>0</v>
      </c>
      <c r="L99" t="n">
        <v>0</v>
      </c>
      <c r="M99" t="n">
        <v>0</v>
      </c>
      <c r="N99" t="n">
        <v>0</v>
      </c>
      <c r="O99" t="n">
        <v>0</v>
      </c>
      <c r="P99" t="n">
        <v>0</v>
      </c>
      <c r="Q99" t="n">
        <v>0</v>
      </c>
      <c r="R99" s="2" t="inlineStr"/>
    </row>
    <row r="100" ht="15" customHeight="1">
      <c r="A100" t="inlineStr">
        <is>
          <t>A 48014-2025</t>
        </is>
      </c>
      <c r="B100" s="1" t="n">
        <v>45932.64520833334</v>
      </c>
      <c r="C100" s="1" t="n">
        <v>46128</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26390-2023</t>
        </is>
      </c>
      <c r="B101" s="1" t="n">
        <v>45086</v>
      </c>
      <c r="C101" s="1" t="n">
        <v>46128</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48038-2025</t>
        </is>
      </c>
      <c r="B102" s="1" t="n">
        <v>45932.66008101852</v>
      </c>
      <c r="C102" s="1" t="n">
        <v>46128</v>
      </c>
      <c r="D102" t="inlineStr">
        <is>
          <t>STOCKHOLMS LÄN</t>
        </is>
      </c>
      <c r="E102" t="inlineStr">
        <is>
          <t>VALLENTUNA</t>
        </is>
      </c>
      <c r="G102" t="n">
        <v>0.5</v>
      </c>
      <c r="H102" t="n">
        <v>0</v>
      </c>
      <c r="I102" t="n">
        <v>0</v>
      </c>
      <c r="J102" t="n">
        <v>0</v>
      </c>
      <c r="K102" t="n">
        <v>0</v>
      </c>
      <c r="L102" t="n">
        <v>0</v>
      </c>
      <c r="M102" t="n">
        <v>0</v>
      </c>
      <c r="N102" t="n">
        <v>0</v>
      </c>
      <c r="O102" t="n">
        <v>0</v>
      </c>
      <c r="P102" t="n">
        <v>0</v>
      </c>
      <c r="Q102" t="n">
        <v>0</v>
      </c>
      <c r="R102" s="2" t="inlineStr"/>
    </row>
    <row r="103" ht="15" customHeight="1">
      <c r="A103" t="inlineStr">
        <is>
          <t>A 3078-2023</t>
        </is>
      </c>
      <c r="B103" s="1" t="n">
        <v>44946.41527777778</v>
      </c>
      <c r="C103" s="1" t="n">
        <v>46128</v>
      </c>
      <c r="D103" t="inlineStr">
        <is>
          <t>STOCKHOLMS LÄN</t>
        </is>
      </c>
      <c r="E103" t="inlineStr">
        <is>
          <t>VALLENTUNA</t>
        </is>
      </c>
      <c r="G103" t="n">
        <v>3.9</v>
      </c>
      <c r="H103" t="n">
        <v>0</v>
      </c>
      <c r="I103" t="n">
        <v>0</v>
      </c>
      <c r="J103" t="n">
        <v>0</v>
      </c>
      <c r="K103" t="n">
        <v>0</v>
      </c>
      <c r="L103" t="n">
        <v>0</v>
      </c>
      <c r="M103" t="n">
        <v>0</v>
      </c>
      <c r="N103" t="n">
        <v>0</v>
      </c>
      <c r="O103" t="n">
        <v>0</v>
      </c>
      <c r="P103" t="n">
        <v>0</v>
      </c>
      <c r="Q103" t="n">
        <v>0</v>
      </c>
      <c r="R103" s="2" t="inlineStr"/>
    </row>
    <row r="104" ht="15" customHeight="1">
      <c r="A104" t="inlineStr">
        <is>
          <t>A 50784-2025</t>
        </is>
      </c>
      <c r="B104" s="1" t="n">
        <v>45946</v>
      </c>
      <c r="C104" s="1" t="n">
        <v>46128</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30902-2025</t>
        </is>
      </c>
      <c r="B105" s="1" t="n">
        <v>45832.36104166666</v>
      </c>
      <c r="C105" s="1" t="n">
        <v>46128</v>
      </c>
      <c r="D105" t="inlineStr">
        <is>
          <t>STOCKHOLMS LÄN</t>
        </is>
      </c>
      <c r="E105" t="inlineStr">
        <is>
          <t>VALLENTUNA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24707-2023</t>
        </is>
      </c>
      <c r="B106" s="1" t="n">
        <v>45084</v>
      </c>
      <c r="C106" s="1" t="n">
        <v>46128</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12609-2024</t>
        </is>
      </c>
      <c r="B107" s="1" t="n">
        <v>45382.8109375</v>
      </c>
      <c r="C107" s="1" t="n">
        <v>46128</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46128</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60795-2023</t>
        </is>
      </c>
      <c r="B109" s="1" t="n">
        <v>45260</v>
      </c>
      <c r="C109" s="1" t="n">
        <v>46128</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27868-2025</t>
        </is>
      </c>
      <c r="B110" s="1" t="n">
        <v>45817</v>
      </c>
      <c r="C110" s="1" t="n">
        <v>46128</v>
      </c>
      <c r="D110" t="inlineStr">
        <is>
          <t>STOCKHOLMS LÄN</t>
        </is>
      </c>
      <c r="E110" t="inlineStr">
        <is>
          <t>VALLENTUNA</t>
        </is>
      </c>
      <c r="G110" t="n">
        <v>2.1</v>
      </c>
      <c r="H110" t="n">
        <v>0</v>
      </c>
      <c r="I110" t="n">
        <v>0</v>
      </c>
      <c r="J110" t="n">
        <v>0</v>
      </c>
      <c r="K110" t="n">
        <v>0</v>
      </c>
      <c r="L110" t="n">
        <v>0</v>
      </c>
      <c r="M110" t="n">
        <v>0</v>
      </c>
      <c r="N110" t="n">
        <v>0</v>
      </c>
      <c r="O110" t="n">
        <v>0</v>
      </c>
      <c r="P110" t="n">
        <v>0</v>
      </c>
      <c r="Q110" t="n">
        <v>0</v>
      </c>
      <c r="R110" s="2" t="inlineStr"/>
    </row>
    <row r="111" ht="15" customHeight="1">
      <c r="A111" t="inlineStr">
        <is>
          <t>A 8565-2025</t>
        </is>
      </c>
      <c r="B111" s="1" t="n">
        <v>45709</v>
      </c>
      <c r="C111" s="1" t="n">
        <v>46128</v>
      </c>
      <c r="D111" t="inlineStr">
        <is>
          <t>STOCKHOLMS LÄN</t>
        </is>
      </c>
      <c r="E111" t="inlineStr">
        <is>
          <t>VALLENTUNA</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54466-2025</t>
        </is>
      </c>
      <c r="B112" s="1" t="n">
        <v>45965.56984953704</v>
      </c>
      <c r="C112" s="1" t="n">
        <v>46128</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54460-2025</t>
        </is>
      </c>
      <c r="B113" s="1" t="n">
        <v>45965.56219907408</v>
      </c>
      <c r="C113" s="1" t="n">
        <v>46128</v>
      </c>
      <c r="D113" t="inlineStr">
        <is>
          <t>STOCKHOLMS LÄN</t>
        </is>
      </c>
      <c r="E113" t="inlineStr">
        <is>
          <t>VALLENTUNA</t>
        </is>
      </c>
      <c r="G113" t="n">
        <v>22.9</v>
      </c>
      <c r="H113" t="n">
        <v>0</v>
      </c>
      <c r="I113" t="n">
        <v>0</v>
      </c>
      <c r="J113" t="n">
        <v>0</v>
      </c>
      <c r="K113" t="n">
        <v>0</v>
      </c>
      <c r="L113" t="n">
        <v>0</v>
      </c>
      <c r="M113" t="n">
        <v>0</v>
      </c>
      <c r="N113" t="n">
        <v>0</v>
      </c>
      <c r="O113" t="n">
        <v>0</v>
      </c>
      <c r="P113" t="n">
        <v>0</v>
      </c>
      <c r="Q113" t="n">
        <v>0</v>
      </c>
      <c r="R113" s="2" t="inlineStr"/>
    </row>
    <row r="114" ht="15" customHeight="1">
      <c r="A114" t="inlineStr">
        <is>
          <t>A 28431-2025</t>
        </is>
      </c>
      <c r="B114" s="1" t="n">
        <v>45819.38072916667</v>
      </c>
      <c r="C114" s="1" t="n">
        <v>46128</v>
      </c>
      <c r="D114" t="inlineStr">
        <is>
          <t>STOCKHOLMS LÄN</t>
        </is>
      </c>
      <c r="E114" t="inlineStr">
        <is>
          <t>VALLENTUNA</t>
        </is>
      </c>
      <c r="G114" t="n">
        <v>1.5</v>
      </c>
      <c r="H114" t="n">
        <v>0</v>
      </c>
      <c r="I114" t="n">
        <v>0</v>
      </c>
      <c r="J114" t="n">
        <v>0</v>
      </c>
      <c r="K114" t="n">
        <v>0</v>
      </c>
      <c r="L114" t="n">
        <v>0</v>
      </c>
      <c r="M114" t="n">
        <v>0</v>
      </c>
      <c r="N114" t="n">
        <v>0</v>
      </c>
      <c r="O114" t="n">
        <v>0</v>
      </c>
      <c r="P114" t="n">
        <v>0</v>
      </c>
      <c r="Q114" t="n">
        <v>0</v>
      </c>
      <c r="R114" s="2" t="inlineStr"/>
    </row>
    <row r="115" ht="15" customHeight="1">
      <c r="A115" t="inlineStr">
        <is>
          <t>A 9063-2024</t>
        </is>
      </c>
      <c r="B115" s="1" t="n">
        <v>45357.72652777778</v>
      </c>
      <c r="C115" s="1" t="n">
        <v>46128</v>
      </c>
      <c r="D115" t="inlineStr">
        <is>
          <t>STOCKHOLMS LÄN</t>
        </is>
      </c>
      <c r="E115" t="inlineStr">
        <is>
          <t>VALLENTUNA</t>
        </is>
      </c>
      <c r="G115" t="n">
        <v>4.1</v>
      </c>
      <c r="H115" t="n">
        <v>0</v>
      </c>
      <c r="I115" t="n">
        <v>0</v>
      </c>
      <c r="J115" t="n">
        <v>0</v>
      </c>
      <c r="K115" t="n">
        <v>0</v>
      </c>
      <c r="L115" t="n">
        <v>0</v>
      </c>
      <c r="M115" t="n">
        <v>0</v>
      </c>
      <c r="N115" t="n">
        <v>0</v>
      </c>
      <c r="O115" t="n">
        <v>0</v>
      </c>
      <c r="P115" t="n">
        <v>0</v>
      </c>
      <c r="Q115" t="n">
        <v>0</v>
      </c>
      <c r="R115" s="2" t="inlineStr"/>
    </row>
    <row r="116" ht="15" customHeight="1">
      <c r="A116" t="inlineStr">
        <is>
          <t>A 4803-2024</t>
        </is>
      </c>
      <c r="B116" s="1" t="n">
        <v>45328</v>
      </c>
      <c r="C116" s="1" t="n">
        <v>46128</v>
      </c>
      <c r="D116" t="inlineStr">
        <is>
          <t>STOCKHOLMS LÄN</t>
        </is>
      </c>
      <c r="E116" t="inlineStr">
        <is>
          <t>VALLENTUNA</t>
        </is>
      </c>
      <c r="G116" t="n">
        <v>4.6</v>
      </c>
      <c r="H116" t="n">
        <v>0</v>
      </c>
      <c r="I116" t="n">
        <v>0</v>
      </c>
      <c r="J116" t="n">
        <v>0</v>
      </c>
      <c r="K116" t="n">
        <v>0</v>
      </c>
      <c r="L116" t="n">
        <v>0</v>
      </c>
      <c r="M116" t="n">
        <v>0</v>
      </c>
      <c r="N116" t="n">
        <v>0</v>
      </c>
      <c r="O116" t="n">
        <v>0</v>
      </c>
      <c r="P116" t="n">
        <v>0</v>
      </c>
      <c r="Q116" t="n">
        <v>0</v>
      </c>
      <c r="R116" s="2" t="inlineStr"/>
    </row>
    <row r="117" ht="15" customHeight="1">
      <c r="A117" t="inlineStr">
        <is>
          <t>A 14480-2024</t>
        </is>
      </c>
      <c r="B117" s="1" t="n">
        <v>45394.56777777777</v>
      </c>
      <c r="C117" s="1" t="n">
        <v>46128</v>
      </c>
      <c r="D117" t="inlineStr">
        <is>
          <t>STOCKHOLMS LÄN</t>
        </is>
      </c>
      <c r="E117" t="inlineStr">
        <is>
          <t>VALLENTUNA</t>
        </is>
      </c>
      <c r="G117" t="n">
        <v>1.8</v>
      </c>
      <c r="H117" t="n">
        <v>0</v>
      </c>
      <c r="I117" t="n">
        <v>0</v>
      </c>
      <c r="J117" t="n">
        <v>0</v>
      </c>
      <c r="K117" t="n">
        <v>0</v>
      </c>
      <c r="L117" t="n">
        <v>0</v>
      </c>
      <c r="M117" t="n">
        <v>0</v>
      </c>
      <c r="N117" t="n">
        <v>0</v>
      </c>
      <c r="O117" t="n">
        <v>0</v>
      </c>
      <c r="P117" t="n">
        <v>0</v>
      </c>
      <c r="Q117" t="n">
        <v>0</v>
      </c>
      <c r="R117" s="2" t="inlineStr"/>
    </row>
    <row r="118" ht="15" customHeight="1">
      <c r="A118" t="inlineStr">
        <is>
          <t>A 52542-2023</t>
        </is>
      </c>
      <c r="B118" s="1" t="n">
        <v>45225</v>
      </c>
      <c r="C118" s="1" t="n">
        <v>46128</v>
      </c>
      <c r="D118" t="inlineStr">
        <is>
          <t>STOCKHOLMS LÄN</t>
        </is>
      </c>
      <c r="E118" t="inlineStr">
        <is>
          <t>VALLENTUNA</t>
        </is>
      </c>
      <c r="G118" t="n">
        <v>3.8</v>
      </c>
      <c r="H118" t="n">
        <v>0</v>
      </c>
      <c r="I118" t="n">
        <v>0</v>
      </c>
      <c r="J118" t="n">
        <v>0</v>
      </c>
      <c r="K118" t="n">
        <v>0</v>
      </c>
      <c r="L118" t="n">
        <v>0</v>
      </c>
      <c r="M118" t="n">
        <v>0</v>
      </c>
      <c r="N118" t="n">
        <v>0</v>
      </c>
      <c r="O118" t="n">
        <v>0</v>
      </c>
      <c r="P118" t="n">
        <v>0</v>
      </c>
      <c r="Q118" t="n">
        <v>0</v>
      </c>
      <c r="R118" s="2" t="inlineStr"/>
    </row>
    <row r="119" ht="15" customHeight="1">
      <c r="A119" t="inlineStr">
        <is>
          <t>A 11950-2025</t>
        </is>
      </c>
      <c r="B119" s="1" t="n">
        <v>45728.55622685186</v>
      </c>
      <c r="C119" s="1" t="n">
        <v>46128</v>
      </c>
      <c r="D119" t="inlineStr">
        <is>
          <t>STOCKHOLMS LÄN</t>
        </is>
      </c>
      <c r="E119" t="inlineStr">
        <is>
          <t>VALLENTUNA</t>
        </is>
      </c>
      <c r="G119" t="n">
        <v>1.4</v>
      </c>
      <c r="H119" t="n">
        <v>0</v>
      </c>
      <c r="I119" t="n">
        <v>0</v>
      </c>
      <c r="J119" t="n">
        <v>0</v>
      </c>
      <c r="K119" t="n">
        <v>0</v>
      </c>
      <c r="L119" t="n">
        <v>0</v>
      </c>
      <c r="M119" t="n">
        <v>0</v>
      </c>
      <c r="N119" t="n">
        <v>0</v>
      </c>
      <c r="O119" t="n">
        <v>0</v>
      </c>
      <c r="P119" t="n">
        <v>0</v>
      </c>
      <c r="Q119" t="n">
        <v>0</v>
      </c>
      <c r="R119" s="2" t="inlineStr"/>
    </row>
    <row r="120" ht="15" customHeight="1">
      <c r="A120" t="inlineStr">
        <is>
          <t>A 44346-2021</t>
        </is>
      </c>
      <c r="B120" s="1" t="n">
        <v>44434</v>
      </c>
      <c r="C120" s="1" t="n">
        <v>46128</v>
      </c>
      <c r="D120" t="inlineStr">
        <is>
          <t>STOCKHOLMS LÄN</t>
        </is>
      </c>
      <c r="E120" t="inlineStr">
        <is>
          <t>VALLENTUNA</t>
        </is>
      </c>
      <c r="G120" t="n">
        <v>3</v>
      </c>
      <c r="H120" t="n">
        <v>0</v>
      </c>
      <c r="I120" t="n">
        <v>0</v>
      </c>
      <c r="J120" t="n">
        <v>0</v>
      </c>
      <c r="K120" t="n">
        <v>0</v>
      </c>
      <c r="L120" t="n">
        <v>0</v>
      </c>
      <c r="M120" t="n">
        <v>0</v>
      </c>
      <c r="N120" t="n">
        <v>0</v>
      </c>
      <c r="O120" t="n">
        <v>0</v>
      </c>
      <c r="P120" t="n">
        <v>0</v>
      </c>
      <c r="Q120" t="n">
        <v>0</v>
      </c>
      <c r="R120" s="2" t="inlineStr"/>
    </row>
    <row r="121" ht="15" customHeight="1">
      <c r="A121" t="inlineStr">
        <is>
          <t>A 14489-2024</t>
        </is>
      </c>
      <c r="B121" s="1" t="n">
        <v>45394.58053240741</v>
      </c>
      <c r="C121" s="1" t="n">
        <v>46128</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27870-2025</t>
        </is>
      </c>
      <c r="B122" s="1" t="n">
        <v>45817</v>
      </c>
      <c r="C122" s="1" t="n">
        <v>46128</v>
      </c>
      <c r="D122" t="inlineStr">
        <is>
          <t>STOCKHOLMS LÄN</t>
        </is>
      </c>
      <c r="E122" t="inlineStr">
        <is>
          <t>VALLENTUNA</t>
        </is>
      </c>
      <c r="G122" t="n">
        <v>2.3</v>
      </c>
      <c r="H122" t="n">
        <v>0</v>
      </c>
      <c r="I122" t="n">
        <v>0</v>
      </c>
      <c r="J122" t="n">
        <v>0</v>
      </c>
      <c r="K122" t="n">
        <v>0</v>
      </c>
      <c r="L122" t="n">
        <v>0</v>
      </c>
      <c r="M122" t="n">
        <v>0</v>
      </c>
      <c r="N122" t="n">
        <v>0</v>
      </c>
      <c r="O122" t="n">
        <v>0</v>
      </c>
      <c r="P122" t="n">
        <v>0</v>
      </c>
      <c r="Q122" t="n">
        <v>0</v>
      </c>
      <c r="R122" s="2" t="inlineStr"/>
    </row>
    <row r="123" ht="15" customHeight="1">
      <c r="A123" t="inlineStr">
        <is>
          <t>A 52562-2023</t>
        </is>
      </c>
      <c r="B123" s="1" t="n">
        <v>45225</v>
      </c>
      <c r="C123" s="1" t="n">
        <v>46128</v>
      </c>
      <c r="D123" t="inlineStr">
        <is>
          <t>STOCKHOLMS LÄN</t>
        </is>
      </c>
      <c r="E123" t="inlineStr">
        <is>
          <t>VALLENTUNA</t>
        </is>
      </c>
      <c r="G123" t="n">
        <v>3.4</v>
      </c>
      <c r="H123" t="n">
        <v>0</v>
      </c>
      <c r="I123" t="n">
        <v>0</v>
      </c>
      <c r="J123" t="n">
        <v>0</v>
      </c>
      <c r="K123" t="n">
        <v>0</v>
      </c>
      <c r="L123" t="n">
        <v>0</v>
      </c>
      <c r="M123" t="n">
        <v>0</v>
      </c>
      <c r="N123" t="n">
        <v>0</v>
      </c>
      <c r="O123" t="n">
        <v>0</v>
      </c>
      <c r="P123" t="n">
        <v>0</v>
      </c>
      <c r="Q123" t="n">
        <v>0</v>
      </c>
      <c r="R123" s="2" t="inlineStr"/>
    </row>
    <row r="124" ht="15" customHeight="1">
      <c r="A124" t="inlineStr">
        <is>
          <t>A 30913-2021</t>
        </is>
      </c>
      <c r="B124" s="1" t="n">
        <v>44365</v>
      </c>
      <c r="C124" s="1" t="n">
        <v>46128</v>
      </c>
      <c r="D124" t="inlineStr">
        <is>
          <t>STOCKHOLMS LÄN</t>
        </is>
      </c>
      <c r="E124" t="inlineStr">
        <is>
          <t>VALLENTUNA</t>
        </is>
      </c>
      <c r="F124" t="inlineStr">
        <is>
          <t>Övriga Aktiebolag</t>
        </is>
      </c>
      <c r="G124" t="n">
        <v>3.3</v>
      </c>
      <c r="H124" t="n">
        <v>0</v>
      </c>
      <c r="I124" t="n">
        <v>0</v>
      </c>
      <c r="J124" t="n">
        <v>0</v>
      </c>
      <c r="K124" t="n">
        <v>0</v>
      </c>
      <c r="L124" t="n">
        <v>0</v>
      </c>
      <c r="M124" t="n">
        <v>0</v>
      </c>
      <c r="N124" t="n">
        <v>0</v>
      </c>
      <c r="O124" t="n">
        <v>0</v>
      </c>
      <c r="P124" t="n">
        <v>0</v>
      </c>
      <c r="Q124" t="n">
        <v>0</v>
      </c>
      <c r="R124" s="2" t="inlineStr"/>
    </row>
    <row r="125" ht="15" customHeight="1">
      <c r="A125" t="inlineStr">
        <is>
          <t>A 61646-2025</t>
        </is>
      </c>
      <c r="B125" s="1" t="n">
        <v>46002</v>
      </c>
      <c r="C125" s="1" t="n">
        <v>46128</v>
      </c>
      <c r="D125" t="inlineStr">
        <is>
          <t>STOCKHOLMS LÄN</t>
        </is>
      </c>
      <c r="E125" t="inlineStr">
        <is>
          <t>VALLENTUNA</t>
        </is>
      </c>
      <c r="G125" t="n">
        <v>3.7</v>
      </c>
      <c r="H125" t="n">
        <v>0</v>
      </c>
      <c r="I125" t="n">
        <v>0</v>
      </c>
      <c r="J125" t="n">
        <v>0</v>
      </c>
      <c r="K125" t="n">
        <v>0</v>
      </c>
      <c r="L125" t="n">
        <v>0</v>
      </c>
      <c r="M125" t="n">
        <v>0</v>
      </c>
      <c r="N125" t="n">
        <v>0</v>
      </c>
      <c r="O125" t="n">
        <v>0</v>
      </c>
      <c r="P125" t="n">
        <v>0</v>
      </c>
      <c r="Q125" t="n">
        <v>0</v>
      </c>
      <c r="R125" s="2" t="inlineStr"/>
    </row>
    <row r="126" ht="15" customHeight="1">
      <c r="A126" t="inlineStr">
        <is>
          <t>A 4804-2024</t>
        </is>
      </c>
      <c r="B126" s="1" t="n">
        <v>45328</v>
      </c>
      <c r="C126" s="1" t="n">
        <v>46128</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46128</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2318-2024</t>
        </is>
      </c>
      <c r="B128" s="1" t="n">
        <v>45310</v>
      </c>
      <c r="C128" s="1" t="n">
        <v>46128</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414-2026</t>
        </is>
      </c>
      <c r="B129" s="1" t="n">
        <v>46028.76050925926</v>
      </c>
      <c r="C129" s="1" t="n">
        <v>46128</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48068-2021</t>
        </is>
      </c>
      <c r="B130" s="1" t="n">
        <v>44449.42270833333</v>
      </c>
      <c r="C130" s="1" t="n">
        <v>46128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61742-2022</t>
        </is>
      </c>
      <c r="B131" s="1" t="n">
        <v>44917</v>
      </c>
      <c r="C131" s="1" t="n">
        <v>46128</v>
      </c>
      <c r="D131" t="inlineStr">
        <is>
          <t>STOCKHOLMS LÄN</t>
        </is>
      </c>
      <c r="E131" t="inlineStr">
        <is>
          <t>VALLENTUNA</t>
        </is>
      </c>
      <c r="G131" t="n">
        <v>0.5</v>
      </c>
      <c r="H131" t="n">
        <v>0</v>
      </c>
      <c r="I131" t="n">
        <v>0</v>
      </c>
      <c r="J131" t="n">
        <v>0</v>
      </c>
      <c r="K131" t="n">
        <v>0</v>
      </c>
      <c r="L131" t="n">
        <v>0</v>
      </c>
      <c r="M131" t="n">
        <v>0</v>
      </c>
      <c r="N131" t="n">
        <v>0</v>
      </c>
      <c r="O131" t="n">
        <v>0</v>
      </c>
      <c r="P131" t="n">
        <v>0</v>
      </c>
      <c r="Q131" t="n">
        <v>0</v>
      </c>
      <c r="R131" s="2" t="inlineStr"/>
    </row>
    <row r="132" ht="15" customHeight="1">
      <c r="A132" t="inlineStr">
        <is>
          <t>A 3937-2022</t>
        </is>
      </c>
      <c r="B132" s="1" t="n">
        <v>44587</v>
      </c>
      <c r="C132" s="1" t="n">
        <v>46128</v>
      </c>
      <c r="D132" t="inlineStr">
        <is>
          <t>STOCKHOLMS LÄN</t>
        </is>
      </c>
      <c r="E132" t="inlineStr">
        <is>
          <t>VALLENTUNA</t>
        </is>
      </c>
      <c r="G132" t="n">
        <v>6.6</v>
      </c>
      <c r="H132" t="n">
        <v>0</v>
      </c>
      <c r="I132" t="n">
        <v>0</v>
      </c>
      <c r="J132" t="n">
        <v>0</v>
      </c>
      <c r="K132" t="n">
        <v>0</v>
      </c>
      <c r="L132" t="n">
        <v>0</v>
      </c>
      <c r="M132" t="n">
        <v>0</v>
      </c>
      <c r="N132" t="n">
        <v>0</v>
      </c>
      <c r="O132" t="n">
        <v>0</v>
      </c>
      <c r="P132" t="n">
        <v>0</v>
      </c>
      <c r="Q132" t="n">
        <v>0</v>
      </c>
      <c r="R132" s="2" t="inlineStr"/>
    </row>
    <row r="133" ht="15" customHeight="1">
      <c r="A133" t="inlineStr">
        <is>
          <t>A 3698-2022</t>
        </is>
      </c>
      <c r="B133" s="1" t="n">
        <v>44586</v>
      </c>
      <c r="C133" s="1" t="n">
        <v>46128</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60818-2023</t>
        </is>
      </c>
      <c r="B134" s="1" t="n">
        <v>45259</v>
      </c>
      <c r="C134" s="1" t="n">
        <v>46128</v>
      </c>
      <c r="D134" t="inlineStr">
        <is>
          <t>STOCKHOLMS LÄN</t>
        </is>
      </c>
      <c r="E134" t="inlineStr">
        <is>
          <t>VALLENTUNA</t>
        </is>
      </c>
      <c r="G134" t="n">
        <v>9.4</v>
      </c>
      <c r="H134" t="n">
        <v>0</v>
      </c>
      <c r="I134" t="n">
        <v>0</v>
      </c>
      <c r="J134" t="n">
        <v>0</v>
      </c>
      <c r="K134" t="n">
        <v>0</v>
      </c>
      <c r="L134" t="n">
        <v>0</v>
      </c>
      <c r="M134" t="n">
        <v>0</v>
      </c>
      <c r="N134" t="n">
        <v>0</v>
      </c>
      <c r="O134" t="n">
        <v>0</v>
      </c>
      <c r="P134" t="n">
        <v>0</v>
      </c>
      <c r="Q134" t="n">
        <v>0</v>
      </c>
      <c r="R134" s="2" t="inlineStr"/>
    </row>
    <row r="135" ht="15" customHeight="1">
      <c r="A135" t="inlineStr">
        <is>
          <t>A 12396-2026</t>
        </is>
      </c>
      <c r="B135" s="1" t="n">
        <v>46090.38930555555</v>
      </c>
      <c r="C135" s="1" t="n">
        <v>46128</v>
      </c>
      <c r="D135" t="inlineStr">
        <is>
          <t>STOCKHOLMS LÄN</t>
        </is>
      </c>
      <c r="E135" t="inlineStr">
        <is>
          <t>VALLENTUNA</t>
        </is>
      </c>
      <c r="G135" t="n">
        <v>3</v>
      </c>
      <c r="H135" t="n">
        <v>0</v>
      </c>
      <c r="I135" t="n">
        <v>0</v>
      </c>
      <c r="J135" t="n">
        <v>0</v>
      </c>
      <c r="K135" t="n">
        <v>0</v>
      </c>
      <c r="L135" t="n">
        <v>0</v>
      </c>
      <c r="M135" t="n">
        <v>0</v>
      </c>
      <c r="N135" t="n">
        <v>0</v>
      </c>
      <c r="O135" t="n">
        <v>0</v>
      </c>
      <c r="P135" t="n">
        <v>0</v>
      </c>
      <c r="Q135" t="n">
        <v>0</v>
      </c>
      <c r="R135" s="2" t="inlineStr"/>
    </row>
    <row r="136" ht="15" customHeight="1">
      <c r="A136" t="inlineStr">
        <is>
          <t>A 12400-2026</t>
        </is>
      </c>
      <c r="B136" s="1" t="n">
        <v>46090.39423611111</v>
      </c>
      <c r="C136" s="1" t="n">
        <v>46128</v>
      </c>
      <c r="D136" t="inlineStr">
        <is>
          <t>STOCKHOLMS LÄN</t>
        </is>
      </c>
      <c r="E136" t="inlineStr">
        <is>
          <t>VALLENTUNA</t>
        </is>
      </c>
      <c r="G136" t="n">
        <v>1.9</v>
      </c>
      <c r="H136" t="n">
        <v>0</v>
      </c>
      <c r="I136" t="n">
        <v>0</v>
      </c>
      <c r="J136" t="n">
        <v>0</v>
      </c>
      <c r="K136" t="n">
        <v>0</v>
      </c>
      <c r="L136" t="n">
        <v>0</v>
      </c>
      <c r="M136" t="n">
        <v>0</v>
      </c>
      <c r="N136" t="n">
        <v>0</v>
      </c>
      <c r="O136" t="n">
        <v>0</v>
      </c>
      <c r="P136" t="n">
        <v>0</v>
      </c>
      <c r="Q136" t="n">
        <v>0</v>
      </c>
      <c r="R136" s="2" t="inlineStr"/>
    </row>
    <row r="137" ht="15" customHeight="1">
      <c r="A137" t="inlineStr">
        <is>
          <t>A 60997-2022</t>
        </is>
      </c>
      <c r="B137" s="1" t="n">
        <v>44914.70746527778</v>
      </c>
      <c r="C137" s="1" t="n">
        <v>46128</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12819-2026</t>
        </is>
      </c>
      <c r="B138" s="1" t="n">
        <v>46092.40896990741</v>
      </c>
      <c r="C138" s="1" t="n">
        <v>46128</v>
      </c>
      <c r="D138" t="inlineStr">
        <is>
          <t>STOCKHOLMS LÄN</t>
        </is>
      </c>
      <c r="E138" t="inlineStr">
        <is>
          <t>VALLENTUNA</t>
        </is>
      </c>
      <c r="G138" t="n">
        <v>3.5</v>
      </c>
      <c r="H138" t="n">
        <v>0</v>
      </c>
      <c r="I138" t="n">
        <v>0</v>
      </c>
      <c r="J138" t="n">
        <v>0</v>
      </c>
      <c r="K138" t="n">
        <v>0</v>
      </c>
      <c r="L138" t="n">
        <v>0</v>
      </c>
      <c r="M138" t="n">
        <v>0</v>
      </c>
      <c r="N138" t="n">
        <v>0</v>
      </c>
      <c r="O138" t="n">
        <v>0</v>
      </c>
      <c r="P138" t="n">
        <v>0</v>
      </c>
      <c r="Q138" t="n">
        <v>0</v>
      </c>
      <c r="R138" s="2" t="inlineStr"/>
    </row>
    <row r="139" ht="15" customHeight="1">
      <c r="A139" t="inlineStr">
        <is>
          <t>A 12234-2022</t>
        </is>
      </c>
      <c r="B139" s="1" t="n">
        <v>44637</v>
      </c>
      <c r="C139" s="1" t="n">
        <v>46128</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12822-2026</t>
        </is>
      </c>
      <c r="B140" s="1" t="n">
        <v>46092.41358796296</v>
      </c>
      <c r="C140" s="1" t="n">
        <v>46128</v>
      </c>
      <c r="D140" t="inlineStr">
        <is>
          <t>STOCKHOLMS LÄN</t>
        </is>
      </c>
      <c r="E140" t="inlineStr">
        <is>
          <t>VALLENTUNA</t>
        </is>
      </c>
      <c r="G140" t="n">
        <v>2.7</v>
      </c>
      <c r="H140" t="n">
        <v>0</v>
      </c>
      <c r="I140" t="n">
        <v>0</v>
      </c>
      <c r="J140" t="n">
        <v>0</v>
      </c>
      <c r="K140" t="n">
        <v>0</v>
      </c>
      <c r="L140" t="n">
        <v>0</v>
      </c>
      <c r="M140" t="n">
        <v>0</v>
      </c>
      <c r="N140" t="n">
        <v>0</v>
      </c>
      <c r="O140" t="n">
        <v>0</v>
      </c>
      <c r="P140" t="n">
        <v>0</v>
      </c>
      <c r="Q140" t="n">
        <v>0</v>
      </c>
      <c r="R140" s="2" t="inlineStr"/>
    </row>
    <row r="141" ht="15" customHeight="1">
      <c r="A141" t="inlineStr">
        <is>
          <t>A 12828-2026</t>
        </is>
      </c>
      <c r="B141" s="1" t="n">
        <v>46092.41760416667</v>
      </c>
      <c r="C141" s="1" t="n">
        <v>46128</v>
      </c>
      <c r="D141" t="inlineStr">
        <is>
          <t>STOCKHOLMS LÄN</t>
        </is>
      </c>
      <c r="E141" t="inlineStr">
        <is>
          <t>VALLENTUNA</t>
        </is>
      </c>
      <c r="G141" t="n">
        <v>1</v>
      </c>
      <c r="H141" t="n">
        <v>0</v>
      </c>
      <c r="I141" t="n">
        <v>0</v>
      </c>
      <c r="J141" t="n">
        <v>0</v>
      </c>
      <c r="K141" t="n">
        <v>0</v>
      </c>
      <c r="L141" t="n">
        <v>0</v>
      </c>
      <c r="M141" t="n">
        <v>0</v>
      </c>
      <c r="N141" t="n">
        <v>0</v>
      </c>
      <c r="O141" t="n">
        <v>0</v>
      </c>
      <c r="P141" t="n">
        <v>0</v>
      </c>
      <c r="Q141" t="n">
        <v>0</v>
      </c>
      <c r="R141" s="2" t="inlineStr"/>
    </row>
    <row r="142" ht="15" customHeight="1">
      <c r="A142" t="inlineStr">
        <is>
          <t>A 21614-2022</t>
        </is>
      </c>
      <c r="B142" s="1" t="n">
        <v>44706</v>
      </c>
      <c r="C142" s="1" t="n">
        <v>46128</v>
      </c>
      <c r="D142" t="inlineStr">
        <is>
          <t>STOCKHOLMS LÄN</t>
        </is>
      </c>
      <c r="E142" t="inlineStr">
        <is>
          <t>VALLENTUNA</t>
        </is>
      </c>
      <c r="G142" t="n">
        <v>4</v>
      </c>
      <c r="H142" t="n">
        <v>0</v>
      </c>
      <c r="I142" t="n">
        <v>0</v>
      </c>
      <c r="J142" t="n">
        <v>0</v>
      </c>
      <c r="K142" t="n">
        <v>0</v>
      </c>
      <c r="L142" t="n">
        <v>0</v>
      </c>
      <c r="M142" t="n">
        <v>0</v>
      </c>
      <c r="N142" t="n">
        <v>0</v>
      </c>
      <c r="O142" t="n">
        <v>0</v>
      </c>
      <c r="P142" t="n">
        <v>0</v>
      </c>
      <c r="Q142" t="n">
        <v>0</v>
      </c>
      <c r="R142" s="2" t="inlineStr"/>
    </row>
    <row r="143" ht="15" customHeight="1">
      <c r="A143" t="inlineStr">
        <is>
          <t>A 12830-2026</t>
        </is>
      </c>
      <c r="B143" s="1" t="n">
        <v>46092.42290509259</v>
      </c>
      <c r="C143" s="1" t="n">
        <v>46128</v>
      </c>
      <c r="D143" t="inlineStr">
        <is>
          <t>STOCKHOLMS LÄN</t>
        </is>
      </c>
      <c r="E143" t="inlineStr">
        <is>
          <t>VALLENTUNA</t>
        </is>
      </c>
      <c r="G143" t="n">
        <v>1.6</v>
      </c>
      <c r="H143" t="n">
        <v>0</v>
      </c>
      <c r="I143" t="n">
        <v>0</v>
      </c>
      <c r="J143" t="n">
        <v>0</v>
      </c>
      <c r="K143" t="n">
        <v>0</v>
      </c>
      <c r="L143" t="n">
        <v>0</v>
      </c>
      <c r="M143" t="n">
        <v>0</v>
      </c>
      <c r="N143" t="n">
        <v>0</v>
      </c>
      <c r="O143" t="n">
        <v>0</v>
      </c>
      <c r="P143" t="n">
        <v>0</v>
      </c>
      <c r="Q143" t="n">
        <v>0</v>
      </c>
      <c r="R143" s="2" t="inlineStr"/>
    </row>
    <row r="144" ht="15" customHeight="1">
      <c r="A144" t="inlineStr">
        <is>
          <t>A 12585-2023</t>
        </is>
      </c>
      <c r="B144" s="1" t="n">
        <v>45000.41373842592</v>
      </c>
      <c r="C144" s="1" t="n">
        <v>46128</v>
      </c>
      <c r="D144" t="inlineStr">
        <is>
          <t>STOCKHOLMS LÄN</t>
        </is>
      </c>
      <c r="E144" t="inlineStr">
        <is>
          <t>VALLENTUNA</t>
        </is>
      </c>
      <c r="G144" t="n">
        <v>3.7</v>
      </c>
      <c r="H144" t="n">
        <v>0</v>
      </c>
      <c r="I144" t="n">
        <v>0</v>
      </c>
      <c r="J144" t="n">
        <v>0</v>
      </c>
      <c r="K144" t="n">
        <v>0</v>
      </c>
      <c r="L144" t="n">
        <v>0</v>
      </c>
      <c r="M144" t="n">
        <v>0</v>
      </c>
      <c r="N144" t="n">
        <v>0</v>
      </c>
      <c r="O144" t="n">
        <v>0</v>
      </c>
      <c r="P144" t="n">
        <v>0</v>
      </c>
      <c r="Q144" t="n">
        <v>0</v>
      </c>
      <c r="R144" s="2" t="inlineStr"/>
    </row>
    <row r="145" ht="15" customHeight="1">
      <c r="A145" t="inlineStr">
        <is>
          <t>A 8787-2024</t>
        </is>
      </c>
      <c r="B145" s="1" t="n">
        <v>45356</v>
      </c>
      <c r="C145" s="1" t="n">
        <v>46128</v>
      </c>
      <c r="D145" t="inlineStr">
        <is>
          <t>STOCKHOLMS LÄN</t>
        </is>
      </c>
      <c r="E145" t="inlineStr">
        <is>
          <t>VALLENTUNA</t>
        </is>
      </c>
      <c r="G145" t="n">
        <v>1.2</v>
      </c>
      <c r="H145" t="n">
        <v>0</v>
      </c>
      <c r="I145" t="n">
        <v>0</v>
      </c>
      <c r="J145" t="n">
        <v>0</v>
      </c>
      <c r="K145" t="n">
        <v>0</v>
      </c>
      <c r="L145" t="n">
        <v>0</v>
      </c>
      <c r="M145" t="n">
        <v>0</v>
      </c>
      <c r="N145" t="n">
        <v>0</v>
      </c>
      <c r="O145" t="n">
        <v>0</v>
      </c>
      <c r="P145" t="n">
        <v>0</v>
      </c>
      <c r="Q145" t="n">
        <v>0</v>
      </c>
      <c r="R145" s="2" t="inlineStr"/>
    </row>
    <row r="146" ht="15" customHeight="1">
      <c r="A146" t="inlineStr">
        <is>
          <t>A 6298-2026</t>
        </is>
      </c>
      <c r="B146" s="1" t="n">
        <v>46055.5656712963</v>
      </c>
      <c r="C146" s="1" t="n">
        <v>46128</v>
      </c>
      <c r="D146" t="inlineStr">
        <is>
          <t>STOCKHOLMS LÄN</t>
        </is>
      </c>
      <c r="E146" t="inlineStr">
        <is>
          <t>VALLENTUNA</t>
        </is>
      </c>
      <c r="G146" t="n">
        <v>3.3</v>
      </c>
      <c r="H146" t="n">
        <v>0</v>
      </c>
      <c r="I146" t="n">
        <v>0</v>
      </c>
      <c r="J146" t="n">
        <v>0</v>
      </c>
      <c r="K146" t="n">
        <v>0</v>
      </c>
      <c r="L146" t="n">
        <v>0</v>
      </c>
      <c r="M146" t="n">
        <v>0</v>
      </c>
      <c r="N146" t="n">
        <v>0</v>
      </c>
      <c r="O146" t="n">
        <v>0</v>
      </c>
      <c r="P146" t="n">
        <v>0</v>
      </c>
      <c r="Q146" t="n">
        <v>0</v>
      </c>
      <c r="R146" s="2" t="inlineStr"/>
    </row>
    <row r="147" ht="15" customHeight="1">
      <c r="A147" t="inlineStr">
        <is>
          <t>A 14799-2026</t>
        </is>
      </c>
      <c r="B147" s="1" t="n">
        <v>46102.82101851852</v>
      </c>
      <c r="C147" s="1" t="n">
        <v>46128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17389-2026</t>
        </is>
      </c>
      <c r="B148" s="1" t="n">
        <v>46119.80603009259</v>
      </c>
      <c r="C148" s="1" t="n">
        <v>46128</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17387-2026</t>
        </is>
      </c>
      <c r="B149" s="1" t="n">
        <v>46119.79578703704</v>
      </c>
      <c r="C149" s="1" t="n">
        <v>46128</v>
      </c>
      <c r="D149" t="inlineStr">
        <is>
          <t>STOCKHOLMS LÄN</t>
        </is>
      </c>
      <c r="E149" t="inlineStr">
        <is>
          <t>VALLENTUNA</t>
        </is>
      </c>
      <c r="G149" t="n">
        <v>1.2</v>
      </c>
      <c r="H149" t="n">
        <v>0</v>
      </c>
      <c r="I149" t="n">
        <v>0</v>
      </c>
      <c r="J149" t="n">
        <v>0</v>
      </c>
      <c r="K149" t="n">
        <v>0</v>
      </c>
      <c r="L149" t="n">
        <v>0</v>
      </c>
      <c r="M149" t="n">
        <v>0</v>
      </c>
      <c r="N149" t="n">
        <v>0</v>
      </c>
      <c r="O149" t="n">
        <v>0</v>
      </c>
      <c r="P149" t="n">
        <v>0</v>
      </c>
      <c r="Q149" t="n">
        <v>0</v>
      </c>
      <c r="R149" s="2" t="inlineStr"/>
    </row>
    <row r="150">
      <c r="A150" t="inlineStr">
        <is>
          <t>A 17388-2026</t>
        </is>
      </c>
      <c r="B150" s="1" t="n">
        <v>46119.79952546296</v>
      </c>
      <c r="C150" s="1" t="n">
        <v>46128</v>
      </c>
      <c r="D150" t="inlineStr">
        <is>
          <t>STOCKHOLMS LÄN</t>
        </is>
      </c>
      <c r="E150" t="inlineStr">
        <is>
          <t>VALLENTUNA</t>
        </is>
      </c>
      <c r="G150" t="n">
        <v>2.9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2026-04-16T10:23:34Z</dcterms:created>
  <dcterms:modified xmlns:dcterms="http://purl.org/dc/terms/" xmlns:xsi="http://www.w3.org/2001/XMLSchema-instance" xsi:type="dcterms:W3CDTF">2026-04-16T10:23:34Z</dcterms:modified>
</cp:coreProperties>
</file>