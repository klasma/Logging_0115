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45886</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45886</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45886</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45886</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45886</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45886</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45886</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45886</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45886</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45886</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45886</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45886</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45886</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45886</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45886</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14508-2024</t>
        </is>
      </c>
      <c r="B22" s="1" t="n">
        <v>45394.61583333334</v>
      </c>
      <c r="C22" s="1" t="n">
        <v>45886</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8817-2025</t>
        </is>
      </c>
      <c r="B23" s="1" t="n">
        <v>45712.70987268518</v>
      </c>
      <c r="C23" s="1" t="n">
        <v>45886</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17348-2025</t>
        </is>
      </c>
      <c r="B24" s="1" t="n">
        <v>45756</v>
      </c>
      <c r="C24" s="1" t="n">
        <v>45886</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45886</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45886</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45886</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22830-2024</t>
        </is>
      </c>
      <c r="B28" s="1" t="n">
        <v>45448.56583333333</v>
      </c>
      <c r="C28" s="1" t="n">
        <v>45886</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17341-2025</t>
        </is>
      </c>
      <c r="B29" s="1" t="n">
        <v>45756</v>
      </c>
      <c r="C29" s="1" t="n">
        <v>45886</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27870-2025</t>
        </is>
      </c>
      <c r="B30" s="1" t="n">
        <v>45817</v>
      </c>
      <c r="C30" s="1" t="n">
        <v>45886</v>
      </c>
      <c r="D30" t="inlineStr">
        <is>
          <t>STOCKHOLMS LÄN</t>
        </is>
      </c>
      <c r="E30" t="inlineStr">
        <is>
          <t>VALLENTUNA</t>
        </is>
      </c>
      <c r="G30" t="n">
        <v>5</v>
      </c>
      <c r="H30" t="n">
        <v>0</v>
      </c>
      <c r="I30" t="n">
        <v>0</v>
      </c>
      <c r="J30" t="n">
        <v>1</v>
      </c>
      <c r="K30" t="n">
        <v>0</v>
      </c>
      <c r="L30" t="n">
        <v>0</v>
      </c>
      <c r="M30" t="n">
        <v>0</v>
      </c>
      <c r="N30" t="n">
        <v>0</v>
      </c>
      <c r="O30" t="n">
        <v>1</v>
      </c>
      <c r="P30" t="n">
        <v>0</v>
      </c>
      <c r="Q30" t="n">
        <v>1</v>
      </c>
      <c r="R30" s="2" t="inlineStr">
        <is>
          <t>Bronspraktbagge</t>
        </is>
      </c>
      <c r="S30">
        <f>HYPERLINK("https://klasma.github.io/Logging_0115/artfynd/A 27870-2025 artfynd.xlsx", "A 27870-2025")</f>
        <v/>
      </c>
      <c r="T30">
        <f>HYPERLINK("https://klasma.github.io/Logging_0115/kartor/A 27870-2025 karta.png", "A 27870-2025")</f>
        <v/>
      </c>
      <c r="V30">
        <f>HYPERLINK("https://klasma.github.io/Logging_0115/klagomål/A 27870-2025 FSC-klagomål.docx", "A 27870-2025")</f>
        <v/>
      </c>
      <c r="W30">
        <f>HYPERLINK("https://klasma.github.io/Logging_0115/klagomålsmail/A 27870-2025 FSC-klagomål mail.docx", "A 27870-2025")</f>
        <v/>
      </c>
      <c r="X30">
        <f>HYPERLINK("https://klasma.github.io/Logging_0115/tillsyn/A 27870-2025 tillsynsbegäran.docx", "A 27870-2025")</f>
        <v/>
      </c>
      <c r="Y30">
        <f>HYPERLINK("https://klasma.github.io/Logging_0115/tillsynsmail/A 27870-2025 tillsynsbegäran mail.docx", "A 27870-2025")</f>
        <v/>
      </c>
    </row>
    <row r="31" ht="15" customHeight="1">
      <c r="A31" t="inlineStr">
        <is>
          <t>A 8946-2025</t>
        </is>
      </c>
      <c r="B31" s="1" t="n">
        <v>45712</v>
      </c>
      <c r="C31" s="1" t="n">
        <v>45886</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7890-2023</t>
        </is>
      </c>
      <c r="B32" s="1" t="n">
        <v>44973</v>
      </c>
      <c r="C32" s="1" t="n">
        <v>45886</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20612-2021</t>
        </is>
      </c>
      <c r="B33" s="1" t="n">
        <v>44315</v>
      </c>
      <c r="C33" s="1" t="n">
        <v>45886</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45886</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45886</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45886</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45886</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45886</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45886</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45886</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45886</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45886</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45886</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45886</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45886</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45886</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45886</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45886</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45886</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45886</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45886</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45886</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45886</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45886</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45886</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38102-2024</t>
        </is>
      </c>
      <c r="B56" s="1" t="n">
        <v>45545.36349537037</v>
      </c>
      <c r="C56" s="1" t="n">
        <v>45886</v>
      </c>
      <c r="D56" t="inlineStr">
        <is>
          <t>STOCKHOLMS LÄN</t>
        </is>
      </c>
      <c r="E56" t="inlineStr">
        <is>
          <t>VALLENTUNA</t>
        </is>
      </c>
      <c r="G56" t="n">
        <v>3.2</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45886</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45886</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17340-2025</t>
        </is>
      </c>
      <c r="B59" s="1" t="n">
        <v>45756</v>
      </c>
      <c r="C59" s="1" t="n">
        <v>45886</v>
      </c>
      <c r="D59" t="inlineStr">
        <is>
          <t>STOCKHOLMS LÄN</t>
        </is>
      </c>
      <c r="E59" t="inlineStr">
        <is>
          <t>VALLENTUNA</t>
        </is>
      </c>
      <c r="F59" t="inlineStr">
        <is>
          <t>Övriga Aktiebolag</t>
        </is>
      </c>
      <c r="G59" t="n">
        <v>2.6</v>
      </c>
      <c r="H59" t="n">
        <v>0</v>
      </c>
      <c r="I59" t="n">
        <v>0</v>
      </c>
      <c r="J59" t="n">
        <v>0</v>
      </c>
      <c r="K59" t="n">
        <v>0</v>
      </c>
      <c r="L59" t="n">
        <v>0</v>
      </c>
      <c r="M59" t="n">
        <v>0</v>
      </c>
      <c r="N59" t="n">
        <v>0</v>
      </c>
      <c r="O59" t="n">
        <v>0</v>
      </c>
      <c r="P59" t="n">
        <v>0</v>
      </c>
      <c r="Q59" t="n">
        <v>0</v>
      </c>
      <c r="R59" s="2" t="inlineStr"/>
    </row>
    <row r="60" ht="15" customHeight="1">
      <c r="A60" t="inlineStr">
        <is>
          <t>A 21612-2021</t>
        </is>
      </c>
      <c r="B60" s="1" t="n">
        <v>44321</v>
      </c>
      <c r="C60" s="1" t="n">
        <v>45886</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20791-2025</t>
        </is>
      </c>
      <c r="B61" s="1" t="n">
        <v>45776.62738425926</v>
      </c>
      <c r="C61" s="1" t="n">
        <v>45886</v>
      </c>
      <c r="D61" t="inlineStr">
        <is>
          <t>STOCKHOLMS LÄN</t>
        </is>
      </c>
      <c r="E61" t="inlineStr">
        <is>
          <t>VALLENTUNA</t>
        </is>
      </c>
      <c r="G61" t="n">
        <v>1.5</v>
      </c>
      <c r="H61" t="n">
        <v>0</v>
      </c>
      <c r="I61" t="n">
        <v>0</v>
      </c>
      <c r="J61" t="n">
        <v>0</v>
      </c>
      <c r="K61" t="n">
        <v>0</v>
      </c>
      <c r="L61" t="n">
        <v>0</v>
      </c>
      <c r="M61" t="n">
        <v>0</v>
      </c>
      <c r="N61" t="n">
        <v>0</v>
      </c>
      <c r="O61" t="n">
        <v>0</v>
      </c>
      <c r="P61" t="n">
        <v>0</v>
      </c>
      <c r="Q61" t="n">
        <v>0</v>
      </c>
      <c r="R61" s="2" t="inlineStr"/>
    </row>
    <row r="62" ht="15" customHeight="1">
      <c r="A62" t="inlineStr">
        <is>
          <t>A 10073-2024</t>
        </is>
      </c>
      <c r="B62" s="1" t="n">
        <v>45364.40821759259</v>
      </c>
      <c r="C62" s="1" t="n">
        <v>45886</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20789-2025</t>
        </is>
      </c>
      <c r="B63" s="1" t="n">
        <v>45776.62518518518</v>
      </c>
      <c r="C63" s="1" t="n">
        <v>45886</v>
      </c>
      <c r="D63" t="inlineStr">
        <is>
          <t>STOCKHOLMS LÄN</t>
        </is>
      </c>
      <c r="E63" t="inlineStr">
        <is>
          <t>VALLENTUNA</t>
        </is>
      </c>
      <c r="G63" t="n">
        <v>1</v>
      </c>
      <c r="H63" t="n">
        <v>0</v>
      </c>
      <c r="I63" t="n">
        <v>0</v>
      </c>
      <c r="J63" t="n">
        <v>0</v>
      </c>
      <c r="K63" t="n">
        <v>0</v>
      </c>
      <c r="L63" t="n">
        <v>0</v>
      </c>
      <c r="M63" t="n">
        <v>0</v>
      </c>
      <c r="N63" t="n">
        <v>0</v>
      </c>
      <c r="O63" t="n">
        <v>0</v>
      </c>
      <c r="P63" t="n">
        <v>0</v>
      </c>
      <c r="Q63" t="n">
        <v>0</v>
      </c>
      <c r="R63" s="2" t="inlineStr"/>
    </row>
    <row r="64" ht="15" customHeight="1">
      <c r="A64" t="inlineStr">
        <is>
          <t>A 20786-2025</t>
        </is>
      </c>
      <c r="B64" s="1" t="n">
        <v>45776.62273148148</v>
      </c>
      <c r="C64" s="1" t="n">
        <v>45886</v>
      </c>
      <c r="D64" t="inlineStr">
        <is>
          <t>STOCKHOLMS LÄN</t>
        </is>
      </c>
      <c r="E64" t="inlineStr">
        <is>
          <t>VALLENTUNA</t>
        </is>
      </c>
      <c r="G64" t="n">
        <v>7.6</v>
      </c>
      <c r="H64" t="n">
        <v>0</v>
      </c>
      <c r="I64" t="n">
        <v>0</v>
      </c>
      <c r="J64" t="n">
        <v>0</v>
      </c>
      <c r="K64" t="n">
        <v>0</v>
      </c>
      <c r="L64" t="n">
        <v>0</v>
      </c>
      <c r="M64" t="n">
        <v>0</v>
      </c>
      <c r="N64" t="n">
        <v>0</v>
      </c>
      <c r="O64" t="n">
        <v>0</v>
      </c>
      <c r="P64" t="n">
        <v>0</v>
      </c>
      <c r="Q64" t="n">
        <v>0</v>
      </c>
      <c r="R64" s="2" t="inlineStr"/>
    </row>
    <row r="65" ht="15" customHeight="1">
      <c r="A65" t="inlineStr">
        <is>
          <t>A 34452-2021</t>
        </is>
      </c>
      <c r="B65" s="1" t="n">
        <v>44381</v>
      </c>
      <c r="C65" s="1" t="n">
        <v>45886</v>
      </c>
      <c r="D65" t="inlineStr">
        <is>
          <t>STOCKHOLMS LÄN</t>
        </is>
      </c>
      <c r="E65" t="inlineStr">
        <is>
          <t>VALLENTUNA</t>
        </is>
      </c>
      <c r="G65" t="n">
        <v>14.7</v>
      </c>
      <c r="H65" t="n">
        <v>0</v>
      </c>
      <c r="I65" t="n">
        <v>0</v>
      </c>
      <c r="J65" t="n">
        <v>0</v>
      </c>
      <c r="K65" t="n">
        <v>0</v>
      </c>
      <c r="L65" t="n">
        <v>0</v>
      </c>
      <c r="M65" t="n">
        <v>0</v>
      </c>
      <c r="N65" t="n">
        <v>0</v>
      </c>
      <c r="O65" t="n">
        <v>0</v>
      </c>
      <c r="P65" t="n">
        <v>0</v>
      </c>
      <c r="Q65" t="n">
        <v>0</v>
      </c>
      <c r="R65" s="2" t="inlineStr"/>
    </row>
    <row r="66" ht="15" customHeight="1">
      <c r="A66" t="inlineStr">
        <is>
          <t>A 47204-2024</t>
        </is>
      </c>
      <c r="B66" s="1" t="n">
        <v>45586.63575231482</v>
      </c>
      <c r="C66" s="1" t="n">
        <v>45886</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12621-2024</t>
        </is>
      </c>
      <c r="B67" s="1" t="n">
        <v>45383.6325</v>
      </c>
      <c r="C67" s="1" t="n">
        <v>45886</v>
      </c>
      <c r="D67" t="inlineStr">
        <is>
          <t>STOCKHOLMS LÄN</t>
        </is>
      </c>
      <c r="E67" t="inlineStr">
        <is>
          <t>VALLENTUNA</t>
        </is>
      </c>
      <c r="G67" t="n">
        <v>4.4</v>
      </c>
      <c r="H67" t="n">
        <v>0</v>
      </c>
      <c r="I67" t="n">
        <v>0</v>
      </c>
      <c r="J67" t="n">
        <v>0</v>
      </c>
      <c r="K67" t="n">
        <v>0</v>
      </c>
      <c r="L67" t="n">
        <v>0</v>
      </c>
      <c r="M67" t="n">
        <v>0</v>
      </c>
      <c r="N67" t="n">
        <v>0</v>
      </c>
      <c r="O67" t="n">
        <v>0</v>
      </c>
      <c r="P67" t="n">
        <v>0</v>
      </c>
      <c r="Q67" t="n">
        <v>0</v>
      </c>
      <c r="R67" s="2" t="inlineStr"/>
    </row>
    <row r="68" ht="15" customHeight="1">
      <c r="A68" t="inlineStr">
        <is>
          <t>A 46381-2023</t>
        </is>
      </c>
      <c r="B68" s="1" t="n">
        <v>45193</v>
      </c>
      <c r="C68" s="1" t="n">
        <v>45886</v>
      </c>
      <c r="D68" t="inlineStr">
        <is>
          <t>STOCKHOLMS LÄN</t>
        </is>
      </c>
      <c r="E68" t="inlineStr">
        <is>
          <t>VALLENTUNA</t>
        </is>
      </c>
      <c r="G68" t="n">
        <v>2.9</v>
      </c>
      <c r="H68" t="n">
        <v>0</v>
      </c>
      <c r="I68" t="n">
        <v>0</v>
      </c>
      <c r="J68" t="n">
        <v>0</v>
      </c>
      <c r="K68" t="n">
        <v>0</v>
      </c>
      <c r="L68" t="n">
        <v>0</v>
      </c>
      <c r="M68" t="n">
        <v>0</v>
      </c>
      <c r="N68" t="n">
        <v>0</v>
      </c>
      <c r="O68" t="n">
        <v>0</v>
      </c>
      <c r="P68" t="n">
        <v>0</v>
      </c>
      <c r="Q68" t="n">
        <v>0</v>
      </c>
      <c r="R68" s="2" t="inlineStr"/>
    </row>
    <row r="69" ht="15" customHeight="1">
      <c r="A69" t="inlineStr">
        <is>
          <t>A 24707-2023</t>
        </is>
      </c>
      <c r="B69" s="1" t="n">
        <v>45084</v>
      </c>
      <c r="C69" s="1" t="n">
        <v>45886</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12609-2024</t>
        </is>
      </c>
      <c r="B70" s="1" t="n">
        <v>45382.8109375</v>
      </c>
      <c r="C70" s="1" t="n">
        <v>45886</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61027-2023</t>
        </is>
      </c>
      <c r="B71" s="1" t="n">
        <v>45261</v>
      </c>
      <c r="C71" s="1" t="n">
        <v>45886</v>
      </c>
      <c r="D71" t="inlineStr">
        <is>
          <t>STOCKHOLMS LÄN</t>
        </is>
      </c>
      <c r="E71" t="inlineStr">
        <is>
          <t>VALLENTUNA</t>
        </is>
      </c>
      <c r="G71" t="n">
        <v>7.1</v>
      </c>
      <c r="H71" t="n">
        <v>0</v>
      </c>
      <c r="I71" t="n">
        <v>0</v>
      </c>
      <c r="J71" t="n">
        <v>0</v>
      </c>
      <c r="K71" t="n">
        <v>0</v>
      </c>
      <c r="L71" t="n">
        <v>0</v>
      </c>
      <c r="M71" t="n">
        <v>0</v>
      </c>
      <c r="N71" t="n">
        <v>0</v>
      </c>
      <c r="O71" t="n">
        <v>0</v>
      </c>
      <c r="P71" t="n">
        <v>0</v>
      </c>
      <c r="Q71" t="n">
        <v>0</v>
      </c>
      <c r="R71" s="2" t="inlineStr"/>
    </row>
    <row r="72" ht="15" customHeight="1">
      <c r="A72" t="inlineStr">
        <is>
          <t>A 47140-2024</t>
        </is>
      </c>
      <c r="B72" s="1" t="n">
        <v>45586.58753472222</v>
      </c>
      <c r="C72" s="1" t="n">
        <v>45886</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23009-2024</t>
        </is>
      </c>
      <c r="B73" s="1" t="n">
        <v>45450.34506944445</v>
      </c>
      <c r="C73" s="1" t="n">
        <v>45886</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20236-2025</t>
        </is>
      </c>
      <c r="B74" s="1" t="n">
        <v>45772.67444444444</v>
      </c>
      <c r="C74" s="1" t="n">
        <v>45886</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23923-2025</t>
        </is>
      </c>
      <c r="B75" s="1" t="n">
        <v>45795.39648148148</v>
      </c>
      <c r="C75" s="1" t="n">
        <v>45886</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8565-2025</t>
        </is>
      </c>
      <c r="B76" s="1" t="n">
        <v>45709</v>
      </c>
      <c r="C76" s="1" t="n">
        <v>45886</v>
      </c>
      <c r="D76" t="inlineStr">
        <is>
          <t>STOCKHOLMS LÄN</t>
        </is>
      </c>
      <c r="E76" t="inlineStr">
        <is>
          <t>VALLENTUNA</t>
        </is>
      </c>
      <c r="F76" t="inlineStr">
        <is>
          <t>Kommuner</t>
        </is>
      </c>
      <c r="G76" t="n">
        <v>4.2</v>
      </c>
      <c r="H76" t="n">
        <v>0</v>
      </c>
      <c r="I76" t="n">
        <v>0</v>
      </c>
      <c r="J76" t="n">
        <v>0</v>
      </c>
      <c r="K76" t="n">
        <v>0</v>
      </c>
      <c r="L76" t="n">
        <v>0</v>
      </c>
      <c r="M76" t="n">
        <v>0</v>
      </c>
      <c r="N76" t="n">
        <v>0</v>
      </c>
      <c r="O76" t="n">
        <v>0</v>
      </c>
      <c r="P76" t="n">
        <v>0</v>
      </c>
      <c r="Q76" t="n">
        <v>0</v>
      </c>
      <c r="R76" s="2" t="inlineStr"/>
    </row>
    <row r="77" ht="15" customHeight="1">
      <c r="A77" t="inlineStr">
        <is>
          <t>A 3078-2023</t>
        </is>
      </c>
      <c r="B77" s="1" t="n">
        <v>44946.41527777778</v>
      </c>
      <c r="C77" s="1" t="n">
        <v>45886</v>
      </c>
      <c r="D77" t="inlineStr">
        <is>
          <t>STOCKHOLMS LÄN</t>
        </is>
      </c>
      <c r="E77" t="inlineStr">
        <is>
          <t>VALLENTUNA</t>
        </is>
      </c>
      <c r="G77" t="n">
        <v>3.9</v>
      </c>
      <c r="H77" t="n">
        <v>0</v>
      </c>
      <c r="I77" t="n">
        <v>0</v>
      </c>
      <c r="J77" t="n">
        <v>0</v>
      </c>
      <c r="K77" t="n">
        <v>0</v>
      </c>
      <c r="L77" t="n">
        <v>0</v>
      </c>
      <c r="M77" t="n">
        <v>0</v>
      </c>
      <c r="N77" t="n">
        <v>0</v>
      </c>
      <c r="O77" t="n">
        <v>0</v>
      </c>
      <c r="P77" t="n">
        <v>0</v>
      </c>
      <c r="Q77" t="n">
        <v>0</v>
      </c>
      <c r="R77" s="2" t="inlineStr"/>
    </row>
    <row r="78" ht="15" customHeight="1">
      <c r="A78" t="inlineStr">
        <is>
          <t>A 9063-2024</t>
        </is>
      </c>
      <c r="B78" s="1" t="n">
        <v>45357.72652777778</v>
      </c>
      <c r="C78" s="1" t="n">
        <v>45886</v>
      </c>
      <c r="D78" t="inlineStr">
        <is>
          <t>STOCKHOLMS LÄN</t>
        </is>
      </c>
      <c r="E78" t="inlineStr">
        <is>
          <t>VALLENTUNA</t>
        </is>
      </c>
      <c r="G78" t="n">
        <v>4.1</v>
      </c>
      <c r="H78" t="n">
        <v>0</v>
      </c>
      <c r="I78" t="n">
        <v>0</v>
      </c>
      <c r="J78" t="n">
        <v>0</v>
      </c>
      <c r="K78" t="n">
        <v>0</v>
      </c>
      <c r="L78" t="n">
        <v>0</v>
      </c>
      <c r="M78" t="n">
        <v>0</v>
      </c>
      <c r="N78" t="n">
        <v>0</v>
      </c>
      <c r="O78" t="n">
        <v>0</v>
      </c>
      <c r="P78" t="n">
        <v>0</v>
      </c>
      <c r="Q78" t="n">
        <v>0</v>
      </c>
      <c r="R78" s="2" t="inlineStr"/>
    </row>
    <row r="79" ht="15" customHeight="1">
      <c r="A79" t="inlineStr">
        <is>
          <t>A 4803-2024</t>
        </is>
      </c>
      <c r="B79" s="1" t="n">
        <v>45328</v>
      </c>
      <c r="C79" s="1" t="n">
        <v>45886</v>
      </c>
      <c r="D79" t="inlineStr">
        <is>
          <t>STOCKHOLMS LÄN</t>
        </is>
      </c>
      <c r="E79" t="inlineStr">
        <is>
          <t>VALLENTUNA</t>
        </is>
      </c>
      <c r="G79" t="n">
        <v>4.6</v>
      </c>
      <c r="H79" t="n">
        <v>0</v>
      </c>
      <c r="I79" t="n">
        <v>0</v>
      </c>
      <c r="J79" t="n">
        <v>0</v>
      </c>
      <c r="K79" t="n">
        <v>0</v>
      </c>
      <c r="L79" t="n">
        <v>0</v>
      </c>
      <c r="M79" t="n">
        <v>0</v>
      </c>
      <c r="N79" t="n">
        <v>0</v>
      </c>
      <c r="O79" t="n">
        <v>0</v>
      </c>
      <c r="P79" t="n">
        <v>0</v>
      </c>
      <c r="Q79" t="n">
        <v>0</v>
      </c>
      <c r="R79" s="2" t="inlineStr"/>
    </row>
    <row r="80" ht="15" customHeight="1">
      <c r="A80" t="inlineStr">
        <is>
          <t>A 52542-2023</t>
        </is>
      </c>
      <c r="B80" s="1" t="n">
        <v>45225</v>
      </c>
      <c r="C80" s="1" t="n">
        <v>45886</v>
      </c>
      <c r="D80" t="inlineStr">
        <is>
          <t>STOCKHOLMS LÄN</t>
        </is>
      </c>
      <c r="E80" t="inlineStr">
        <is>
          <t>VALLENTUNA</t>
        </is>
      </c>
      <c r="G80" t="n">
        <v>3.8</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45886</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60795-2023</t>
        </is>
      </c>
      <c r="B82" s="1" t="n">
        <v>45260</v>
      </c>
      <c r="C82" s="1" t="n">
        <v>45886</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14480-2024</t>
        </is>
      </c>
      <c r="B83" s="1" t="n">
        <v>45394.56777777777</v>
      </c>
      <c r="C83" s="1" t="n">
        <v>45886</v>
      </c>
      <c r="D83" t="inlineStr">
        <is>
          <t>STOCKHOLMS LÄN</t>
        </is>
      </c>
      <c r="E83" t="inlineStr">
        <is>
          <t>VALLENTUNA</t>
        </is>
      </c>
      <c r="G83" t="n">
        <v>1.8</v>
      </c>
      <c r="H83" t="n">
        <v>0</v>
      </c>
      <c r="I83" t="n">
        <v>0</v>
      </c>
      <c r="J83" t="n">
        <v>0</v>
      </c>
      <c r="K83" t="n">
        <v>0</v>
      </c>
      <c r="L83" t="n">
        <v>0</v>
      </c>
      <c r="M83" t="n">
        <v>0</v>
      </c>
      <c r="N83" t="n">
        <v>0</v>
      </c>
      <c r="O83" t="n">
        <v>0</v>
      </c>
      <c r="P83" t="n">
        <v>0</v>
      </c>
      <c r="Q83" t="n">
        <v>0</v>
      </c>
      <c r="R83" s="2" t="inlineStr"/>
    </row>
    <row r="84" ht="15" customHeight="1">
      <c r="A84" t="inlineStr">
        <is>
          <t>A 61655-2020</t>
        </is>
      </c>
      <c r="B84" s="1" t="n">
        <v>44158</v>
      </c>
      <c r="C84" s="1" t="n">
        <v>45886</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11950-2025</t>
        </is>
      </c>
      <c r="B85" s="1" t="n">
        <v>45728.55622685186</v>
      </c>
      <c r="C85" s="1" t="n">
        <v>45886</v>
      </c>
      <c r="D85" t="inlineStr">
        <is>
          <t>STOCKHOLMS LÄN</t>
        </is>
      </c>
      <c r="E85" t="inlineStr">
        <is>
          <t>VALLENTUNA</t>
        </is>
      </c>
      <c r="G85" t="n">
        <v>1.4</v>
      </c>
      <c r="H85" t="n">
        <v>0</v>
      </c>
      <c r="I85" t="n">
        <v>0</v>
      </c>
      <c r="J85" t="n">
        <v>0</v>
      </c>
      <c r="K85" t="n">
        <v>0</v>
      </c>
      <c r="L85" t="n">
        <v>0</v>
      </c>
      <c r="M85" t="n">
        <v>0</v>
      </c>
      <c r="N85" t="n">
        <v>0</v>
      </c>
      <c r="O85" t="n">
        <v>0</v>
      </c>
      <c r="P85" t="n">
        <v>0</v>
      </c>
      <c r="Q85" t="n">
        <v>0</v>
      </c>
      <c r="R85" s="2" t="inlineStr"/>
    </row>
    <row r="86" ht="15" customHeight="1">
      <c r="A86" t="inlineStr">
        <is>
          <t>A 30913-2021</t>
        </is>
      </c>
      <c r="B86" s="1" t="n">
        <v>44365</v>
      </c>
      <c r="C86" s="1" t="n">
        <v>45886</v>
      </c>
      <c r="D86" t="inlineStr">
        <is>
          <t>STOCKHOLMS LÄN</t>
        </is>
      </c>
      <c r="E86" t="inlineStr">
        <is>
          <t>VALLENTUNA</t>
        </is>
      </c>
      <c r="F86" t="inlineStr">
        <is>
          <t>Övriga Aktiebolag</t>
        </is>
      </c>
      <c r="G86" t="n">
        <v>3.3</v>
      </c>
      <c r="H86" t="n">
        <v>0</v>
      </c>
      <c r="I86" t="n">
        <v>0</v>
      </c>
      <c r="J86" t="n">
        <v>0</v>
      </c>
      <c r="K86" t="n">
        <v>0</v>
      </c>
      <c r="L86" t="n">
        <v>0</v>
      </c>
      <c r="M86" t="n">
        <v>0</v>
      </c>
      <c r="N86" t="n">
        <v>0</v>
      </c>
      <c r="O86" t="n">
        <v>0</v>
      </c>
      <c r="P86" t="n">
        <v>0</v>
      </c>
      <c r="Q86" t="n">
        <v>0</v>
      </c>
      <c r="R86" s="2" t="inlineStr"/>
    </row>
    <row r="87" ht="15" customHeight="1">
      <c r="A87" t="inlineStr">
        <is>
          <t>A 68938-2020</t>
        </is>
      </c>
      <c r="B87" s="1" t="n">
        <v>44187</v>
      </c>
      <c r="C87" s="1" t="n">
        <v>45886</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14489-2024</t>
        </is>
      </c>
      <c r="B88" s="1" t="n">
        <v>45394.58053240741</v>
      </c>
      <c r="C88" s="1" t="n">
        <v>45886</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56152-2024</t>
        </is>
      </c>
      <c r="B89" s="1" t="n">
        <v>45624.52403935185</v>
      </c>
      <c r="C89" s="1" t="n">
        <v>45886</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45886</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28431-2025</t>
        </is>
      </c>
      <c r="B91" s="1" t="n">
        <v>45819.38072916667</v>
      </c>
      <c r="C91" s="1" t="n">
        <v>45886</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48068-2021</t>
        </is>
      </c>
      <c r="B92" s="1" t="n">
        <v>44449.42270833333</v>
      </c>
      <c r="C92" s="1" t="n">
        <v>45886</v>
      </c>
      <c r="D92" t="inlineStr">
        <is>
          <t>STOCKHOLMS LÄN</t>
        </is>
      </c>
      <c r="E92" t="inlineStr">
        <is>
          <t>VALLENTUNA</t>
        </is>
      </c>
      <c r="G92" t="n">
        <v>1.3</v>
      </c>
      <c r="H92" t="n">
        <v>0</v>
      </c>
      <c r="I92" t="n">
        <v>0</v>
      </c>
      <c r="J92" t="n">
        <v>0</v>
      </c>
      <c r="K92" t="n">
        <v>0</v>
      </c>
      <c r="L92" t="n">
        <v>0</v>
      </c>
      <c r="M92" t="n">
        <v>0</v>
      </c>
      <c r="N92" t="n">
        <v>0</v>
      </c>
      <c r="O92" t="n">
        <v>0</v>
      </c>
      <c r="P92" t="n">
        <v>0</v>
      </c>
      <c r="Q92" t="n">
        <v>0</v>
      </c>
      <c r="R92" s="2" t="inlineStr"/>
    </row>
    <row r="93" ht="15" customHeight="1">
      <c r="A93" t="inlineStr">
        <is>
          <t>A 27868-2025</t>
        </is>
      </c>
      <c r="B93" s="1" t="n">
        <v>45817</v>
      </c>
      <c r="C93" s="1" t="n">
        <v>45886</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3937-2022</t>
        </is>
      </c>
      <c r="B94" s="1" t="n">
        <v>44587</v>
      </c>
      <c r="C94" s="1" t="n">
        <v>45886</v>
      </c>
      <c r="D94" t="inlineStr">
        <is>
          <t>STOCKHOLMS LÄN</t>
        </is>
      </c>
      <c r="E94" t="inlineStr">
        <is>
          <t>VALLENTUNA</t>
        </is>
      </c>
      <c r="G94" t="n">
        <v>6.6</v>
      </c>
      <c r="H94" t="n">
        <v>0</v>
      </c>
      <c r="I94" t="n">
        <v>0</v>
      </c>
      <c r="J94" t="n">
        <v>0</v>
      </c>
      <c r="K94" t="n">
        <v>0</v>
      </c>
      <c r="L94" t="n">
        <v>0</v>
      </c>
      <c r="M94" t="n">
        <v>0</v>
      </c>
      <c r="N94" t="n">
        <v>0</v>
      </c>
      <c r="O94" t="n">
        <v>0</v>
      </c>
      <c r="P94" t="n">
        <v>0</v>
      </c>
      <c r="Q94" t="n">
        <v>0</v>
      </c>
      <c r="R94" s="2" t="inlineStr"/>
    </row>
    <row r="95" ht="15" customHeight="1">
      <c r="A95" t="inlineStr">
        <is>
          <t>A 60818-2023</t>
        </is>
      </c>
      <c r="B95" s="1" t="n">
        <v>45259</v>
      </c>
      <c r="C95" s="1" t="n">
        <v>45886</v>
      </c>
      <c r="D95" t="inlineStr">
        <is>
          <t>STOCKHOLMS LÄN</t>
        </is>
      </c>
      <c r="E95" t="inlineStr">
        <is>
          <t>VALLENTUNA</t>
        </is>
      </c>
      <c r="G95" t="n">
        <v>9.4</v>
      </c>
      <c r="H95" t="n">
        <v>0</v>
      </c>
      <c r="I95" t="n">
        <v>0</v>
      </c>
      <c r="J95" t="n">
        <v>0</v>
      </c>
      <c r="K95" t="n">
        <v>0</v>
      </c>
      <c r="L95" t="n">
        <v>0</v>
      </c>
      <c r="M95" t="n">
        <v>0</v>
      </c>
      <c r="N95" t="n">
        <v>0</v>
      </c>
      <c r="O95" t="n">
        <v>0</v>
      </c>
      <c r="P95" t="n">
        <v>0</v>
      </c>
      <c r="Q95" t="n">
        <v>0</v>
      </c>
      <c r="R95" s="2" t="inlineStr"/>
    </row>
    <row r="96" ht="15" customHeight="1">
      <c r="A96" t="inlineStr">
        <is>
          <t>A 11840-2025</t>
        </is>
      </c>
      <c r="B96" s="1" t="n">
        <v>45728.36706018518</v>
      </c>
      <c r="C96" s="1" t="n">
        <v>45886</v>
      </c>
      <c r="D96" t="inlineStr">
        <is>
          <t>STOCKHOLMS LÄN</t>
        </is>
      </c>
      <c r="E96" t="inlineStr">
        <is>
          <t>VALLENTUNA</t>
        </is>
      </c>
      <c r="G96" t="n">
        <v>14.9</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45886</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30902-2025</t>
        </is>
      </c>
      <c r="B98" s="1" t="n">
        <v>45832.36104166666</v>
      </c>
      <c r="C98" s="1" t="n">
        <v>45886</v>
      </c>
      <c r="D98" t="inlineStr">
        <is>
          <t>STOCKHOLMS LÄN</t>
        </is>
      </c>
      <c r="E98" t="inlineStr">
        <is>
          <t>VALLENTUNA</t>
        </is>
      </c>
      <c r="G98" t="n">
        <v>8.199999999999999</v>
      </c>
      <c r="H98" t="n">
        <v>0</v>
      </c>
      <c r="I98" t="n">
        <v>0</v>
      </c>
      <c r="J98" t="n">
        <v>0</v>
      </c>
      <c r="K98" t="n">
        <v>0</v>
      </c>
      <c r="L98" t="n">
        <v>0</v>
      </c>
      <c r="M98" t="n">
        <v>0</v>
      </c>
      <c r="N98" t="n">
        <v>0</v>
      </c>
      <c r="O98" t="n">
        <v>0</v>
      </c>
      <c r="P98" t="n">
        <v>0</v>
      </c>
      <c r="Q98" t="n">
        <v>0</v>
      </c>
      <c r="R98" s="2" t="inlineStr"/>
    </row>
    <row r="99" ht="15" customHeight="1">
      <c r="A99" t="inlineStr">
        <is>
          <t>A 23013-2024</t>
        </is>
      </c>
      <c r="B99" s="1" t="n">
        <v>45450.35116898148</v>
      </c>
      <c r="C99" s="1" t="n">
        <v>45886</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2318-2024</t>
        </is>
      </c>
      <c r="B100" s="1" t="n">
        <v>45310</v>
      </c>
      <c r="C100" s="1" t="n">
        <v>45886</v>
      </c>
      <c r="D100" t="inlineStr">
        <is>
          <t>STOCKHOLMS LÄN</t>
        </is>
      </c>
      <c r="E100" t="inlineStr">
        <is>
          <t>VALLENTUNA</t>
        </is>
      </c>
      <c r="G100" t="n">
        <v>2.2</v>
      </c>
      <c r="H100" t="n">
        <v>0</v>
      </c>
      <c r="I100" t="n">
        <v>0</v>
      </c>
      <c r="J100" t="n">
        <v>0</v>
      </c>
      <c r="K100" t="n">
        <v>0</v>
      </c>
      <c r="L100" t="n">
        <v>0</v>
      </c>
      <c r="M100" t="n">
        <v>0</v>
      </c>
      <c r="N100" t="n">
        <v>0</v>
      </c>
      <c r="O100" t="n">
        <v>0</v>
      </c>
      <c r="P100" t="n">
        <v>0</v>
      </c>
      <c r="Q100" t="n">
        <v>0</v>
      </c>
      <c r="R100" s="2" t="inlineStr"/>
    </row>
    <row r="101" ht="15" customHeight="1">
      <c r="A101" t="inlineStr">
        <is>
          <t>A 7264-2022</t>
        </is>
      </c>
      <c r="B101" s="1" t="n">
        <v>44606</v>
      </c>
      <c r="C101" s="1" t="n">
        <v>45886</v>
      </c>
      <c r="D101" t="inlineStr">
        <is>
          <t>STOCKHOLMS LÄN</t>
        </is>
      </c>
      <c r="E101" t="inlineStr">
        <is>
          <t>VALLENTUNA</t>
        </is>
      </c>
      <c r="G101" t="n">
        <v>2.4</v>
      </c>
      <c r="H101" t="n">
        <v>0</v>
      </c>
      <c r="I101" t="n">
        <v>0</v>
      </c>
      <c r="J101" t="n">
        <v>0</v>
      </c>
      <c r="K101" t="n">
        <v>0</v>
      </c>
      <c r="L101" t="n">
        <v>0</v>
      </c>
      <c r="M101" t="n">
        <v>0</v>
      </c>
      <c r="N101" t="n">
        <v>0</v>
      </c>
      <c r="O101" t="n">
        <v>0</v>
      </c>
      <c r="P101" t="n">
        <v>0</v>
      </c>
      <c r="Q101" t="n">
        <v>0</v>
      </c>
      <c r="R101" s="2" t="inlineStr"/>
    </row>
    <row r="102" ht="15" customHeight="1">
      <c r="A102" t="inlineStr">
        <is>
          <t>A 68935-2020</t>
        </is>
      </c>
      <c r="B102" s="1" t="n">
        <v>44187</v>
      </c>
      <c r="C102" s="1" t="n">
        <v>45886</v>
      </c>
      <c r="D102" t="inlineStr">
        <is>
          <t>STOCKHOLMS LÄN</t>
        </is>
      </c>
      <c r="E102" t="inlineStr">
        <is>
          <t>VALLENTUNA</t>
        </is>
      </c>
      <c r="G102" t="n">
        <v>7.8</v>
      </c>
      <c r="H102" t="n">
        <v>0</v>
      </c>
      <c r="I102" t="n">
        <v>0</v>
      </c>
      <c r="J102" t="n">
        <v>0</v>
      </c>
      <c r="K102" t="n">
        <v>0</v>
      </c>
      <c r="L102" t="n">
        <v>0</v>
      </c>
      <c r="M102" t="n">
        <v>0</v>
      </c>
      <c r="N102" t="n">
        <v>0</v>
      </c>
      <c r="O102" t="n">
        <v>0</v>
      </c>
      <c r="P102" t="n">
        <v>0</v>
      </c>
      <c r="Q102" t="n">
        <v>0</v>
      </c>
      <c r="R102" s="2" t="inlineStr"/>
    </row>
    <row r="103" ht="15" customHeight="1">
      <c r="A103" t="inlineStr">
        <is>
          <t>A 61742-2022</t>
        </is>
      </c>
      <c r="B103" s="1" t="n">
        <v>44917</v>
      </c>
      <c r="C103" s="1" t="n">
        <v>45886</v>
      </c>
      <c r="D103" t="inlineStr">
        <is>
          <t>STOCKHOLMS LÄN</t>
        </is>
      </c>
      <c r="E103" t="inlineStr">
        <is>
          <t>VALLENTUNA</t>
        </is>
      </c>
      <c r="G103" t="n">
        <v>0.5</v>
      </c>
      <c r="H103" t="n">
        <v>0</v>
      </c>
      <c r="I103" t="n">
        <v>0</v>
      </c>
      <c r="J103" t="n">
        <v>0</v>
      </c>
      <c r="K103" t="n">
        <v>0</v>
      </c>
      <c r="L103" t="n">
        <v>0</v>
      </c>
      <c r="M103" t="n">
        <v>0</v>
      </c>
      <c r="N103" t="n">
        <v>0</v>
      </c>
      <c r="O103" t="n">
        <v>0</v>
      </c>
      <c r="P103" t="n">
        <v>0</v>
      </c>
      <c r="Q103" t="n">
        <v>0</v>
      </c>
      <c r="R103" s="2" t="inlineStr"/>
    </row>
    <row r="104" ht="15" customHeight="1">
      <c r="A104" t="inlineStr">
        <is>
          <t>A 19356-2025</t>
        </is>
      </c>
      <c r="B104" s="1" t="n">
        <v>45769.62061342593</v>
      </c>
      <c r="C104" s="1" t="n">
        <v>45886</v>
      </c>
      <c r="D104" t="inlineStr">
        <is>
          <t>STOCKHOLMS LÄN</t>
        </is>
      </c>
      <c r="E104" t="inlineStr">
        <is>
          <t>VALLENTUNA</t>
        </is>
      </c>
      <c r="F104" t="inlineStr">
        <is>
          <t>Övriga Aktiebolag</t>
        </is>
      </c>
      <c r="G104" t="n">
        <v>1.6</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45886</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3698-2022</t>
        </is>
      </c>
      <c r="B106" s="1" t="n">
        <v>44586</v>
      </c>
      <c r="C106" s="1" t="n">
        <v>45886</v>
      </c>
      <c r="D106" t="inlineStr">
        <is>
          <t>STOCKHOLMS LÄN</t>
        </is>
      </c>
      <c r="E106" t="inlineStr">
        <is>
          <t>VALLENTUNA</t>
        </is>
      </c>
      <c r="G106" t="n">
        <v>2.9</v>
      </c>
      <c r="H106" t="n">
        <v>0</v>
      </c>
      <c r="I106" t="n">
        <v>0</v>
      </c>
      <c r="J106" t="n">
        <v>0</v>
      </c>
      <c r="K106" t="n">
        <v>0</v>
      </c>
      <c r="L106" t="n">
        <v>0</v>
      </c>
      <c r="M106" t="n">
        <v>0</v>
      </c>
      <c r="N106" t="n">
        <v>0</v>
      </c>
      <c r="O106" t="n">
        <v>0</v>
      </c>
      <c r="P106" t="n">
        <v>0</v>
      </c>
      <c r="Q106" t="n">
        <v>0</v>
      </c>
      <c r="R106" s="2" t="inlineStr"/>
    </row>
    <row r="107" ht="15" customHeight="1">
      <c r="A107" t="inlineStr">
        <is>
          <t>A 6593-2021</t>
        </is>
      </c>
      <c r="B107" s="1" t="n">
        <v>44236</v>
      </c>
      <c r="C107" s="1" t="n">
        <v>45886</v>
      </c>
      <c r="D107" t="inlineStr">
        <is>
          <t>STOCKHOLMS LÄN</t>
        </is>
      </c>
      <c r="E107" t="inlineStr">
        <is>
          <t>VALLENTUNA</t>
        </is>
      </c>
      <c r="G107" t="n">
        <v>2.3</v>
      </c>
      <c r="H107" t="n">
        <v>0</v>
      </c>
      <c r="I107" t="n">
        <v>0</v>
      </c>
      <c r="J107" t="n">
        <v>0</v>
      </c>
      <c r="K107" t="n">
        <v>0</v>
      </c>
      <c r="L107" t="n">
        <v>0</v>
      </c>
      <c r="M107" t="n">
        <v>0</v>
      </c>
      <c r="N107" t="n">
        <v>0</v>
      </c>
      <c r="O107" t="n">
        <v>0</v>
      </c>
      <c r="P107" t="n">
        <v>0</v>
      </c>
      <c r="Q107" t="n">
        <v>0</v>
      </c>
      <c r="R107" s="2" t="inlineStr"/>
    </row>
    <row r="108" ht="15" customHeight="1">
      <c r="A108" t="inlineStr">
        <is>
          <t>A 60997-2022</t>
        </is>
      </c>
      <c r="B108" s="1" t="n">
        <v>44914.70746527778</v>
      </c>
      <c r="C108" s="1" t="n">
        <v>45886</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34458-2023</t>
        </is>
      </c>
      <c r="B109" s="1" t="n">
        <v>45139</v>
      </c>
      <c r="C109" s="1" t="n">
        <v>45886</v>
      </c>
      <c r="D109" t="inlineStr">
        <is>
          <t>STOCKHOLMS LÄN</t>
        </is>
      </c>
      <c r="E109" t="inlineStr">
        <is>
          <t>VALLENTUNA</t>
        </is>
      </c>
      <c r="G109" t="n">
        <v>2.5</v>
      </c>
      <c r="H109" t="n">
        <v>0</v>
      </c>
      <c r="I109" t="n">
        <v>0</v>
      </c>
      <c r="J109" t="n">
        <v>0</v>
      </c>
      <c r="K109" t="n">
        <v>0</v>
      </c>
      <c r="L109" t="n">
        <v>0</v>
      </c>
      <c r="M109" t="n">
        <v>0</v>
      </c>
      <c r="N109" t="n">
        <v>0</v>
      </c>
      <c r="O109" t="n">
        <v>0</v>
      </c>
      <c r="P109" t="n">
        <v>0</v>
      </c>
      <c r="Q109" t="n">
        <v>0</v>
      </c>
      <c r="R109" s="2" t="inlineStr"/>
    </row>
    <row r="110" ht="15" customHeight="1">
      <c r="A110" t="inlineStr">
        <is>
          <t>A 12234-2022</t>
        </is>
      </c>
      <c r="B110" s="1" t="n">
        <v>44637</v>
      </c>
      <c r="C110" s="1" t="n">
        <v>45886</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24068-2024</t>
        </is>
      </c>
      <c r="B111" s="1" t="n">
        <v>45456</v>
      </c>
      <c r="C111" s="1" t="n">
        <v>45886</v>
      </c>
      <c r="D111" t="inlineStr">
        <is>
          <t>STOCKHOLMS LÄN</t>
        </is>
      </c>
      <c r="E111" t="inlineStr">
        <is>
          <t>VALLENTUNA</t>
        </is>
      </c>
      <c r="G111" t="n">
        <v>7.4</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45886</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12585-2023</t>
        </is>
      </c>
      <c r="B113" s="1" t="n">
        <v>45000.41373842592</v>
      </c>
      <c r="C113" s="1" t="n">
        <v>45886</v>
      </c>
      <c r="D113" t="inlineStr">
        <is>
          <t>STOCKHOLMS LÄN</t>
        </is>
      </c>
      <c r="E113" t="inlineStr">
        <is>
          <t>VALLENTUNA</t>
        </is>
      </c>
      <c r="G113" t="n">
        <v>3.7</v>
      </c>
      <c r="H113" t="n">
        <v>0</v>
      </c>
      <c r="I113" t="n">
        <v>0</v>
      </c>
      <c r="J113" t="n">
        <v>0</v>
      </c>
      <c r="K113" t="n">
        <v>0</v>
      </c>
      <c r="L113" t="n">
        <v>0</v>
      </c>
      <c r="M113" t="n">
        <v>0</v>
      </c>
      <c r="N113" t="n">
        <v>0</v>
      </c>
      <c r="O113" t="n">
        <v>0</v>
      </c>
      <c r="P113" t="n">
        <v>0</v>
      </c>
      <c r="Q113" t="n">
        <v>0</v>
      </c>
      <c r="R113" s="2" t="inlineStr"/>
    </row>
    <row r="114" ht="15" customHeight="1">
      <c r="A114" t="inlineStr">
        <is>
          <t>A 8787-2024</t>
        </is>
      </c>
      <c r="B114" s="1" t="n">
        <v>45356</v>
      </c>
      <c r="C114" s="1" t="n">
        <v>45886</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61442-2024</t>
        </is>
      </c>
      <c r="B115" s="1" t="n">
        <v>45646.47003472222</v>
      </c>
      <c r="C115" s="1" t="n">
        <v>45886</v>
      </c>
      <c r="D115" t="inlineStr">
        <is>
          <t>STOCKHOLMS LÄN</t>
        </is>
      </c>
      <c r="E115" t="inlineStr">
        <is>
          <t>VALLENTUNA</t>
        </is>
      </c>
      <c r="G115" t="n">
        <v>4.6</v>
      </c>
      <c r="H115" t="n">
        <v>0</v>
      </c>
      <c r="I115" t="n">
        <v>0</v>
      </c>
      <c r="J115" t="n">
        <v>0</v>
      </c>
      <c r="K115" t="n">
        <v>0</v>
      </c>
      <c r="L115" t="n">
        <v>0</v>
      </c>
      <c r="M115" t="n">
        <v>0</v>
      </c>
      <c r="N115" t="n">
        <v>0</v>
      </c>
      <c r="O115" t="n">
        <v>0</v>
      </c>
      <c r="P115" t="n">
        <v>0</v>
      </c>
      <c r="Q115" t="n">
        <v>0</v>
      </c>
      <c r="R115" s="2" t="inlineStr"/>
    </row>
    <row r="116" ht="15" customHeight="1">
      <c r="A116" t="inlineStr">
        <is>
          <t>A 48717-2024</t>
        </is>
      </c>
      <c r="B116" s="1" t="n">
        <v>45593</v>
      </c>
      <c r="C116" s="1" t="n">
        <v>45886</v>
      </c>
      <c r="D116" t="inlineStr">
        <is>
          <t>STOCKHOLMS LÄN</t>
        </is>
      </c>
      <c r="E116" t="inlineStr">
        <is>
          <t>VALLENTUNA</t>
        </is>
      </c>
      <c r="G116" t="n">
        <v>6.2</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45886</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45886</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45886</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34460-2023</t>
        </is>
      </c>
      <c r="B120" s="1" t="n">
        <v>45139</v>
      </c>
      <c r="C120" s="1" t="n">
        <v>45886</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45886</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15300-2023</t>
        </is>
      </c>
      <c r="B122" s="1" t="n">
        <v>45019</v>
      </c>
      <c r="C122" s="1" t="n">
        <v>45886</v>
      </c>
      <c r="D122" t="inlineStr">
        <is>
          <t>STOCKHOLMS LÄN</t>
        </is>
      </c>
      <c r="E122" t="inlineStr">
        <is>
          <t>VALLENTUNA</t>
        </is>
      </c>
      <c r="G122" t="n">
        <v>1.7</v>
      </c>
      <c r="H122" t="n">
        <v>0</v>
      </c>
      <c r="I122" t="n">
        <v>0</v>
      </c>
      <c r="J122" t="n">
        <v>0</v>
      </c>
      <c r="K122" t="n">
        <v>0</v>
      </c>
      <c r="L122" t="n">
        <v>0</v>
      </c>
      <c r="M122" t="n">
        <v>0</v>
      </c>
      <c r="N122" t="n">
        <v>0</v>
      </c>
      <c r="O122" t="n">
        <v>0</v>
      </c>
      <c r="P122" t="n">
        <v>0</v>
      </c>
      <c r="Q122" t="n">
        <v>0</v>
      </c>
      <c r="R122" s="2" t="inlineStr"/>
    </row>
    <row r="123" ht="15" customHeight="1">
      <c r="A123" t="inlineStr">
        <is>
          <t>A 18847-2025</t>
        </is>
      </c>
      <c r="B123" s="1" t="n">
        <v>45764</v>
      </c>
      <c r="C123" s="1" t="n">
        <v>45886</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45886</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13836-2022</t>
        </is>
      </c>
      <c r="B125" s="1" t="n">
        <v>44649</v>
      </c>
      <c r="C125" s="1" t="n">
        <v>45886</v>
      </c>
      <c r="D125" t="inlineStr">
        <is>
          <t>STOCKHOLMS LÄN</t>
        </is>
      </c>
      <c r="E125" t="inlineStr">
        <is>
          <t>VALLENTUNA</t>
        </is>
      </c>
      <c r="G125" t="n">
        <v>3.5</v>
      </c>
      <c r="H125" t="n">
        <v>0</v>
      </c>
      <c r="I125" t="n">
        <v>0</v>
      </c>
      <c r="J125" t="n">
        <v>0</v>
      </c>
      <c r="K125" t="n">
        <v>0</v>
      </c>
      <c r="L125" t="n">
        <v>0</v>
      </c>
      <c r="M125" t="n">
        <v>0</v>
      </c>
      <c r="N125" t="n">
        <v>0</v>
      </c>
      <c r="O125" t="n">
        <v>0</v>
      </c>
      <c r="P125" t="n">
        <v>0</v>
      </c>
      <c r="Q125" t="n">
        <v>0</v>
      </c>
      <c r="R125" s="2" t="inlineStr"/>
    </row>
    <row r="126" ht="15" customHeight="1">
      <c r="A126" t="inlineStr">
        <is>
          <t>A 18832-2025</t>
        </is>
      </c>
      <c r="B126" s="1" t="n">
        <v>45764</v>
      </c>
      <c r="C126" s="1" t="n">
        <v>45886</v>
      </c>
      <c r="D126" t="inlineStr">
        <is>
          <t>STOCKHOLMS LÄN</t>
        </is>
      </c>
      <c r="E126" t="inlineStr">
        <is>
          <t>VALLENTUNA</t>
        </is>
      </c>
      <c r="G126" t="n">
        <v>2.7</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45886</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45886</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45886</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45886</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21445-2023</t>
        </is>
      </c>
      <c r="B131" s="1" t="n">
        <v>45063</v>
      </c>
      <c r="C131" s="1" t="n">
        <v>45886</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22683-2023</t>
        </is>
      </c>
      <c r="B132" s="1" t="n">
        <v>45071</v>
      </c>
      <c r="C132" s="1" t="n">
        <v>45886</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14782-2024</t>
        </is>
      </c>
      <c r="B133" s="1" t="n">
        <v>45397.74266203704</v>
      </c>
      <c r="C133" s="1" t="n">
        <v>45886</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1385-2024</t>
        </is>
      </c>
      <c r="B134" s="1" t="n">
        <v>45303</v>
      </c>
      <c r="C134" s="1" t="n">
        <v>45886</v>
      </c>
      <c r="D134" t="inlineStr">
        <is>
          <t>STOCKHOLMS LÄN</t>
        </is>
      </c>
      <c r="E134" t="inlineStr">
        <is>
          <t>VALLENTUNA</t>
        </is>
      </c>
      <c r="G134" t="n">
        <v>2.6</v>
      </c>
      <c r="H134" t="n">
        <v>0</v>
      </c>
      <c r="I134" t="n">
        <v>0</v>
      </c>
      <c r="J134" t="n">
        <v>0</v>
      </c>
      <c r="K134" t="n">
        <v>0</v>
      </c>
      <c r="L134" t="n">
        <v>0</v>
      </c>
      <c r="M134" t="n">
        <v>0</v>
      </c>
      <c r="N134" t="n">
        <v>0</v>
      </c>
      <c r="O134" t="n">
        <v>0</v>
      </c>
      <c r="P134" t="n">
        <v>0</v>
      </c>
      <c r="Q134" t="n">
        <v>0</v>
      </c>
      <c r="R134" s="2" t="inlineStr"/>
    </row>
    <row r="135" ht="15" customHeight="1">
      <c r="A135" t="inlineStr">
        <is>
          <t>A 24943-2024</t>
        </is>
      </c>
      <c r="B135" s="1" t="n">
        <v>45461.62585648148</v>
      </c>
      <c r="C135" s="1" t="n">
        <v>45886</v>
      </c>
      <c r="D135" t="inlineStr">
        <is>
          <t>STOCKHOLMS LÄN</t>
        </is>
      </c>
      <c r="E135" t="inlineStr">
        <is>
          <t>VALLENTUNA</t>
        </is>
      </c>
      <c r="G135" t="n">
        <v>2</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45886</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5910-2022</t>
        </is>
      </c>
      <c r="B137" s="1" t="n">
        <v>44597</v>
      </c>
      <c r="C137" s="1" t="n">
        <v>45886</v>
      </c>
      <c r="D137" t="inlineStr">
        <is>
          <t>STOCKHOLMS LÄN</t>
        </is>
      </c>
      <c r="E137" t="inlineStr">
        <is>
          <t>VALLENTUNA</t>
        </is>
      </c>
      <c r="G137" t="n">
        <v>0.6</v>
      </c>
      <c r="H137" t="n">
        <v>0</v>
      </c>
      <c r="I137" t="n">
        <v>0</v>
      </c>
      <c r="J137" t="n">
        <v>0</v>
      </c>
      <c r="K137" t="n">
        <v>0</v>
      </c>
      <c r="L137" t="n">
        <v>0</v>
      </c>
      <c r="M137" t="n">
        <v>0</v>
      </c>
      <c r="N137" t="n">
        <v>0</v>
      </c>
      <c r="O137" t="n">
        <v>0</v>
      </c>
      <c r="P137" t="n">
        <v>0</v>
      </c>
      <c r="Q137" t="n">
        <v>0</v>
      </c>
      <c r="R137" s="2" t="inlineStr"/>
    </row>
    <row r="138" ht="15" customHeight="1">
      <c r="A138" t="inlineStr">
        <is>
          <t>A 14485-2024</t>
        </is>
      </c>
      <c r="B138" s="1" t="n">
        <v>45394.57304398148</v>
      </c>
      <c r="C138" s="1" t="n">
        <v>45886</v>
      </c>
      <c r="D138" t="inlineStr">
        <is>
          <t>STOCKHOLMS LÄN</t>
        </is>
      </c>
      <c r="E138" t="inlineStr">
        <is>
          <t>VALLENTUNA</t>
        </is>
      </c>
      <c r="G138" t="n">
        <v>5.1</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45886</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45886</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17342-2025</t>
        </is>
      </c>
      <c r="B141" s="1" t="n">
        <v>45756</v>
      </c>
      <c r="C141" s="1" t="n">
        <v>45886</v>
      </c>
      <c r="D141" t="inlineStr">
        <is>
          <t>STOCKHOLMS LÄN</t>
        </is>
      </c>
      <c r="E141" t="inlineStr">
        <is>
          <t>VALLENTUNA</t>
        </is>
      </c>
      <c r="F141" t="inlineStr">
        <is>
          <t>Övriga Aktiebolag</t>
        </is>
      </c>
      <c r="G141" t="n">
        <v>3.9</v>
      </c>
      <c r="H141" t="n">
        <v>0</v>
      </c>
      <c r="I141" t="n">
        <v>0</v>
      </c>
      <c r="J141" t="n">
        <v>0</v>
      </c>
      <c r="K141" t="n">
        <v>0</v>
      </c>
      <c r="L141" t="n">
        <v>0</v>
      </c>
      <c r="M141" t="n">
        <v>0</v>
      </c>
      <c r="N141" t="n">
        <v>0</v>
      </c>
      <c r="O141" t="n">
        <v>0</v>
      </c>
      <c r="P141" t="n">
        <v>0</v>
      </c>
      <c r="Q141" t="n">
        <v>0</v>
      </c>
      <c r="R141" s="2" t="inlineStr"/>
    </row>
    <row r="142" ht="15" customHeight="1">
      <c r="A142" t="inlineStr">
        <is>
          <t>A 62402-2022</t>
        </is>
      </c>
      <c r="B142" s="1" t="n">
        <v>44923</v>
      </c>
      <c r="C142" s="1" t="n">
        <v>45886</v>
      </c>
      <c r="D142" t="inlineStr">
        <is>
          <t>STOCKHOLMS LÄN</t>
        </is>
      </c>
      <c r="E142" t="inlineStr">
        <is>
          <t>VALLENTUNA</t>
        </is>
      </c>
      <c r="G142" t="n">
        <v>3.8</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45886</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c r="A144" t="inlineStr">
        <is>
          <t>A 26390-2023</t>
        </is>
      </c>
      <c r="B144" s="1" t="n">
        <v>45086</v>
      </c>
      <c r="C144" s="1" t="n">
        <v>45886</v>
      </c>
      <c r="D144" t="inlineStr">
        <is>
          <t>STOCKHOLMS LÄN</t>
        </is>
      </c>
      <c r="E144" t="inlineStr">
        <is>
          <t>VALLENTUNA</t>
        </is>
      </c>
      <c r="G144" t="n">
        <v>1.6</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2025-08-17T08:28:54Z</dcterms:created>
  <dcterms:modified xmlns:dcterms="http://purl.org/dc/terms/" xmlns:xsi="http://www.w3.org/2001/XMLSchema-instance" xsi:type="dcterms:W3CDTF">2025-08-17T08:28:54Z</dcterms:modified>
</cp:coreProperties>
</file>