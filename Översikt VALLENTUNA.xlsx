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45907</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45907</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45907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45907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45907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45907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45907</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45907</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45907</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45907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45907</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45907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42612-2025</t>
        </is>
      </c>
      <c r="B14" s="1" t="n">
        <v>45905.70087962963</v>
      </c>
      <c r="C14" s="1" t="n">
        <v>45907</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37456-2023</t>
        </is>
      </c>
      <c r="B15" s="1" t="n">
        <v>45156</v>
      </c>
      <c r="C15" s="1" t="n">
        <v>45907</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45907</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45907</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45907</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754-2024</t>
        </is>
      </c>
      <c r="B19" s="1" t="n">
        <v>45300</v>
      </c>
      <c r="C19" s="1" t="n">
        <v>45907</v>
      </c>
      <c r="D19" t="inlineStr">
        <is>
          <t>STOCKHOLMS LÄN</t>
        </is>
      </c>
      <c r="E19" t="inlineStr">
        <is>
          <t>VALLENTUNA</t>
        </is>
      </c>
      <c r="G19" t="n">
        <v>2.5</v>
      </c>
      <c r="H19" t="n">
        <v>1</v>
      </c>
      <c r="I19" t="n">
        <v>1</v>
      </c>
      <c r="J19" t="n">
        <v>0</v>
      </c>
      <c r="K19" t="n">
        <v>0</v>
      </c>
      <c r="L19" t="n">
        <v>0</v>
      </c>
      <c r="M19" t="n">
        <v>0</v>
      </c>
      <c r="N19" t="n">
        <v>0</v>
      </c>
      <c r="O19" t="n">
        <v>0</v>
      </c>
      <c r="P19" t="n">
        <v>0</v>
      </c>
      <c r="Q19" t="n">
        <v>2</v>
      </c>
      <c r="R19" s="2" t="inlineStr">
        <is>
          <t>Vågbandad barkbock
Grönsiska</t>
        </is>
      </c>
      <c r="S19">
        <f>HYPERLINK("https://klasma.github.io/Logging_0115/artfynd/A 754-2024 artfynd.xlsx", "A 754-2024")</f>
        <v/>
      </c>
      <c r="T19">
        <f>HYPERLINK("https://klasma.github.io/Logging_0115/kartor/A 754-2024 karta.png", "A 754-2024")</f>
        <v/>
      </c>
      <c r="V19">
        <f>HYPERLINK("https://klasma.github.io/Logging_0115/klagomål/A 754-2024 FSC-klagomål.docx", "A 754-2024")</f>
        <v/>
      </c>
      <c r="W19">
        <f>HYPERLINK("https://klasma.github.io/Logging_0115/klagomålsmail/A 754-2024 FSC-klagomål mail.docx", "A 754-2024")</f>
        <v/>
      </c>
      <c r="X19">
        <f>HYPERLINK("https://klasma.github.io/Logging_0115/tillsyn/A 754-2024 tillsynsbegäran.docx", "A 754-2024")</f>
        <v/>
      </c>
      <c r="Y19">
        <f>HYPERLINK("https://klasma.github.io/Logging_0115/tillsynsmail/A 754-2024 tillsynsbegäran mail.docx", "A 754-2024")</f>
        <v/>
      </c>
      <c r="Z19">
        <f>HYPERLINK("https://klasma.github.io/Logging_0115/fåglar/A 754-2024 prioriterade fågelarter.docx", "A 754-2024")</f>
        <v/>
      </c>
    </row>
    <row r="20" ht="15" customHeight="1">
      <c r="A20" t="inlineStr">
        <is>
          <t>A 9745-2022</t>
        </is>
      </c>
      <c r="B20" s="1" t="n">
        <v>44618</v>
      </c>
      <c r="C20" s="1" t="n">
        <v>45907</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41021-2023</t>
        </is>
      </c>
      <c r="B21" s="1" t="n">
        <v>45173</v>
      </c>
      <c r="C21" s="1" t="n">
        <v>45907</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46-2022</t>
        </is>
      </c>
      <c r="B22" s="1" t="n">
        <v>44560</v>
      </c>
      <c r="C22" s="1" t="n">
        <v>45907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8817-2025</t>
        </is>
      </c>
      <c r="B23" s="1" t="n">
        <v>45712.70987268518</v>
      </c>
      <c r="C23" s="1" t="n">
        <v>45907</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14508-2024</t>
        </is>
      </c>
      <c r="B24" s="1" t="n">
        <v>45394.61583333334</v>
      </c>
      <c r="C24" s="1" t="n">
        <v>45907</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21439-2025</t>
        </is>
      </c>
      <c r="B25" s="1" t="n">
        <v>45782.52939814814</v>
      </c>
      <c r="C25" s="1" t="n">
        <v>45907</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17348-2025</t>
        </is>
      </c>
      <c r="B26" s="1" t="n">
        <v>45756</v>
      </c>
      <c r="C26" s="1" t="n">
        <v>45907</v>
      </c>
      <c r="D26" t="inlineStr">
        <is>
          <t>STOCKHOLMS LÄN</t>
        </is>
      </c>
      <c r="E26" t="inlineStr">
        <is>
          <t>VALLENTUNA</t>
        </is>
      </c>
      <c r="F26" t="inlineStr">
        <is>
          <t>Övriga Aktiebolag</t>
        </is>
      </c>
      <c r="G26" t="n">
        <v>2.2</v>
      </c>
      <c r="H26" t="n">
        <v>0</v>
      </c>
      <c r="I26" t="n">
        <v>1</v>
      </c>
      <c r="J26" t="n">
        <v>0</v>
      </c>
      <c r="K26" t="n">
        <v>0</v>
      </c>
      <c r="L26" t="n">
        <v>0</v>
      </c>
      <c r="M26" t="n">
        <v>0</v>
      </c>
      <c r="N26" t="n">
        <v>0</v>
      </c>
      <c r="O26" t="n">
        <v>0</v>
      </c>
      <c r="P26" t="n">
        <v>0</v>
      </c>
      <c r="Q26" t="n">
        <v>1</v>
      </c>
      <c r="R26" s="2" t="inlineStr">
        <is>
          <t>Björksplintborre</t>
        </is>
      </c>
      <c r="S26">
        <f>HYPERLINK("https://klasma.github.io/Logging_0115/artfynd/A 17348-2025 artfynd.xlsx", "A 17348-2025")</f>
        <v/>
      </c>
      <c r="T26">
        <f>HYPERLINK("https://klasma.github.io/Logging_0115/kartor/A 17348-2025 karta.png", "A 17348-2025")</f>
        <v/>
      </c>
      <c r="V26">
        <f>HYPERLINK("https://klasma.github.io/Logging_0115/klagomål/A 17348-2025 FSC-klagomål.docx", "A 17348-2025")</f>
        <v/>
      </c>
      <c r="W26">
        <f>HYPERLINK("https://klasma.github.io/Logging_0115/klagomålsmail/A 17348-2025 FSC-klagomål mail.docx", "A 17348-2025")</f>
        <v/>
      </c>
      <c r="X26">
        <f>HYPERLINK("https://klasma.github.io/Logging_0115/tillsyn/A 17348-2025 tillsynsbegäran.docx", "A 17348-2025")</f>
        <v/>
      </c>
      <c r="Y26">
        <f>HYPERLINK("https://klasma.github.io/Logging_0115/tillsynsmail/A 17348-2025 tillsynsbegäran mail.docx", "A 17348-2025")</f>
        <v/>
      </c>
    </row>
    <row r="27" ht="15" customHeight="1">
      <c r="A27" t="inlineStr">
        <is>
          <t>A 22936-2025</t>
        </is>
      </c>
      <c r="B27" s="1" t="n">
        <v>45790.45738425926</v>
      </c>
      <c r="C27" s="1" t="n">
        <v>45907</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45907</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45907</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7890-2023</t>
        </is>
      </c>
      <c r="B30" s="1" t="n">
        <v>44973</v>
      </c>
      <c r="C30" s="1" t="n">
        <v>45907</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45907</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8946-2025</t>
        </is>
      </c>
      <c r="B32" s="1" t="n">
        <v>45712</v>
      </c>
      <c r="C32" s="1" t="n">
        <v>45907</v>
      </c>
      <c r="D32" t="inlineStr">
        <is>
          <t>STOCKHOLMS LÄN</t>
        </is>
      </c>
      <c r="E32" t="inlineStr">
        <is>
          <t>VALLENTUNA</t>
        </is>
      </c>
      <c r="G32" t="n">
        <v>4.4</v>
      </c>
      <c r="H32" t="n">
        <v>0</v>
      </c>
      <c r="I32" t="n">
        <v>0</v>
      </c>
      <c r="J32" t="n">
        <v>1</v>
      </c>
      <c r="K32" t="n">
        <v>0</v>
      </c>
      <c r="L32" t="n">
        <v>0</v>
      </c>
      <c r="M32" t="n">
        <v>0</v>
      </c>
      <c r="N32" t="n">
        <v>0</v>
      </c>
      <c r="O32" t="n">
        <v>1</v>
      </c>
      <c r="P32" t="n">
        <v>0</v>
      </c>
      <c r="Q32" t="n">
        <v>1</v>
      </c>
      <c r="R32" s="2" t="inlineStr">
        <is>
          <t>Granticka</t>
        </is>
      </c>
      <c r="S32">
        <f>HYPERLINK("https://klasma.github.io/Logging_0115/artfynd/A 8946-2025 artfynd.xlsx", "A 8946-2025")</f>
        <v/>
      </c>
      <c r="T32">
        <f>HYPERLINK("https://klasma.github.io/Logging_0115/kartor/A 8946-2025 karta.png", "A 8946-2025")</f>
        <v/>
      </c>
      <c r="V32">
        <f>HYPERLINK("https://klasma.github.io/Logging_0115/klagomål/A 8946-2025 FSC-klagomål.docx", "A 8946-2025")</f>
        <v/>
      </c>
      <c r="W32">
        <f>HYPERLINK("https://klasma.github.io/Logging_0115/klagomålsmail/A 8946-2025 FSC-klagomål mail.docx", "A 8946-2025")</f>
        <v/>
      </c>
      <c r="X32">
        <f>HYPERLINK("https://klasma.github.io/Logging_0115/tillsyn/A 8946-2025 tillsynsbegäran.docx", "A 8946-2025")</f>
        <v/>
      </c>
      <c r="Y32">
        <f>HYPERLINK("https://klasma.github.io/Logging_0115/tillsynsmail/A 8946-2025 tillsynsbegäran mail.docx", "A 8946-2025")</f>
        <v/>
      </c>
    </row>
    <row r="33" ht="15" customHeight="1">
      <c r="A33" t="inlineStr">
        <is>
          <t>A 17341-2025</t>
        </is>
      </c>
      <c r="B33" s="1" t="n">
        <v>45756</v>
      </c>
      <c r="C33" s="1" t="n">
        <v>45907</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20612-2021</t>
        </is>
      </c>
      <c r="B34" s="1" t="n">
        <v>44315</v>
      </c>
      <c r="C34" s="1" t="n">
        <v>45907</v>
      </c>
      <c r="D34" t="inlineStr">
        <is>
          <t>STOCKHOLMS LÄN</t>
        </is>
      </c>
      <c r="E34" t="inlineStr">
        <is>
          <t>VALLENTUNA</t>
        </is>
      </c>
      <c r="F34" t="inlineStr">
        <is>
          <t>Övriga Aktiebolag</t>
        </is>
      </c>
      <c r="G34" t="n">
        <v>1.2</v>
      </c>
      <c r="H34" t="n">
        <v>0</v>
      </c>
      <c r="I34" t="n">
        <v>0</v>
      </c>
      <c r="J34" t="n">
        <v>0</v>
      </c>
      <c r="K34" t="n">
        <v>0</v>
      </c>
      <c r="L34" t="n">
        <v>0</v>
      </c>
      <c r="M34" t="n">
        <v>0</v>
      </c>
      <c r="N34" t="n">
        <v>0</v>
      </c>
      <c r="O34" t="n">
        <v>0</v>
      </c>
      <c r="P34" t="n">
        <v>0</v>
      </c>
      <c r="Q34" t="n">
        <v>0</v>
      </c>
      <c r="R34" s="2" t="inlineStr"/>
    </row>
    <row r="35" ht="15" customHeight="1">
      <c r="A35" t="inlineStr">
        <is>
          <t>A 8089-2022</t>
        </is>
      </c>
      <c r="B35" s="1" t="n">
        <v>44609.53716435185</v>
      </c>
      <c r="C35" s="1" t="n">
        <v>45907</v>
      </c>
      <c r="D35" t="inlineStr">
        <is>
          <t>STOCKHOLMS LÄN</t>
        </is>
      </c>
      <c r="E35" t="inlineStr">
        <is>
          <t>VALLENTUNA</t>
        </is>
      </c>
      <c r="G35" t="n">
        <v>3.3</v>
      </c>
      <c r="H35" t="n">
        <v>0</v>
      </c>
      <c r="I35" t="n">
        <v>0</v>
      </c>
      <c r="J35" t="n">
        <v>0</v>
      </c>
      <c r="K35" t="n">
        <v>0</v>
      </c>
      <c r="L35" t="n">
        <v>0</v>
      </c>
      <c r="M35" t="n">
        <v>0</v>
      </c>
      <c r="N35" t="n">
        <v>0</v>
      </c>
      <c r="O35" t="n">
        <v>0</v>
      </c>
      <c r="P35" t="n">
        <v>0</v>
      </c>
      <c r="Q35" t="n">
        <v>0</v>
      </c>
      <c r="R35" s="2" t="inlineStr"/>
    </row>
    <row r="36" ht="15" customHeight="1">
      <c r="A36" t="inlineStr">
        <is>
          <t>A 8791-2021</t>
        </is>
      </c>
      <c r="B36" s="1" t="n">
        <v>44246</v>
      </c>
      <c r="C36" s="1" t="n">
        <v>45907</v>
      </c>
      <c r="D36" t="inlineStr">
        <is>
          <t>STOCKHOLMS LÄN</t>
        </is>
      </c>
      <c r="E36" t="inlineStr">
        <is>
          <t>VALLENTUNA</t>
        </is>
      </c>
      <c r="G36" t="n">
        <v>0.8</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45907</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14434-2021</t>
        </is>
      </c>
      <c r="B38" s="1" t="n">
        <v>44279</v>
      </c>
      <c r="C38" s="1" t="n">
        <v>45907</v>
      </c>
      <c r="D38" t="inlineStr">
        <is>
          <t>STOCKHOLMS LÄN</t>
        </is>
      </c>
      <c r="E38" t="inlineStr">
        <is>
          <t>VALLENTUNA</t>
        </is>
      </c>
      <c r="G38" t="n">
        <v>2</v>
      </c>
      <c r="H38" t="n">
        <v>0</v>
      </c>
      <c r="I38" t="n">
        <v>0</v>
      </c>
      <c r="J38" t="n">
        <v>0</v>
      </c>
      <c r="K38" t="n">
        <v>0</v>
      </c>
      <c r="L38" t="n">
        <v>0</v>
      </c>
      <c r="M38" t="n">
        <v>0</v>
      </c>
      <c r="N38" t="n">
        <v>0</v>
      </c>
      <c r="O38" t="n">
        <v>0</v>
      </c>
      <c r="P38" t="n">
        <v>0</v>
      </c>
      <c r="Q38" t="n">
        <v>0</v>
      </c>
      <c r="R38" s="2" t="inlineStr"/>
    </row>
    <row r="39" ht="15" customHeight="1">
      <c r="A39" t="inlineStr">
        <is>
          <t>A 65804-2020</t>
        </is>
      </c>
      <c r="B39" s="1" t="n">
        <v>44172</v>
      </c>
      <c r="C39" s="1" t="n">
        <v>45907</v>
      </c>
      <c r="D39" t="inlineStr">
        <is>
          <t>STOCKHOLMS LÄN</t>
        </is>
      </c>
      <c r="E39" t="inlineStr">
        <is>
          <t>VALLENTUNA</t>
        </is>
      </c>
      <c r="G39" t="n">
        <v>2.9</v>
      </c>
      <c r="H39" t="n">
        <v>0</v>
      </c>
      <c r="I39" t="n">
        <v>0</v>
      </c>
      <c r="J39" t="n">
        <v>0</v>
      </c>
      <c r="K39" t="n">
        <v>0</v>
      </c>
      <c r="L39" t="n">
        <v>0</v>
      </c>
      <c r="M39" t="n">
        <v>0</v>
      </c>
      <c r="N39" t="n">
        <v>0</v>
      </c>
      <c r="O39" t="n">
        <v>0</v>
      </c>
      <c r="P39" t="n">
        <v>0</v>
      </c>
      <c r="Q39" t="n">
        <v>0</v>
      </c>
      <c r="R39" s="2" t="inlineStr"/>
    </row>
    <row r="40" ht="15" customHeight="1">
      <c r="A40" t="inlineStr">
        <is>
          <t>A 178-2022</t>
        </is>
      </c>
      <c r="B40" s="1" t="n">
        <v>44560</v>
      </c>
      <c r="C40" s="1" t="n">
        <v>45907</v>
      </c>
      <c r="D40" t="inlineStr">
        <is>
          <t>STOCKHOLMS LÄN</t>
        </is>
      </c>
      <c r="E40" t="inlineStr">
        <is>
          <t>VALLENTUNA</t>
        </is>
      </c>
      <c r="F40" t="inlineStr">
        <is>
          <t>Övriga Aktiebolag</t>
        </is>
      </c>
      <c r="G40" t="n">
        <v>1.5</v>
      </c>
      <c r="H40" t="n">
        <v>0</v>
      </c>
      <c r="I40" t="n">
        <v>0</v>
      </c>
      <c r="J40" t="n">
        <v>0</v>
      </c>
      <c r="K40" t="n">
        <v>0</v>
      </c>
      <c r="L40" t="n">
        <v>0</v>
      </c>
      <c r="M40" t="n">
        <v>0</v>
      </c>
      <c r="N40" t="n">
        <v>0</v>
      </c>
      <c r="O40" t="n">
        <v>0</v>
      </c>
      <c r="P40" t="n">
        <v>0</v>
      </c>
      <c r="Q40" t="n">
        <v>0</v>
      </c>
      <c r="R40" s="2" t="inlineStr"/>
    </row>
    <row r="41" ht="15" customHeight="1">
      <c r="A41" t="inlineStr">
        <is>
          <t>A 22060-2021</t>
        </is>
      </c>
      <c r="B41" s="1" t="n">
        <v>44323</v>
      </c>
      <c r="C41" s="1" t="n">
        <v>45907</v>
      </c>
      <c r="D41" t="inlineStr">
        <is>
          <t>STOCKHOLMS LÄN</t>
        </is>
      </c>
      <c r="E41" t="inlineStr">
        <is>
          <t>VALLENTUNA</t>
        </is>
      </c>
      <c r="G41" t="n">
        <v>3</v>
      </c>
      <c r="H41" t="n">
        <v>0</v>
      </c>
      <c r="I41" t="n">
        <v>0</v>
      </c>
      <c r="J41" t="n">
        <v>0</v>
      </c>
      <c r="K41" t="n">
        <v>0</v>
      </c>
      <c r="L41" t="n">
        <v>0</v>
      </c>
      <c r="M41" t="n">
        <v>0</v>
      </c>
      <c r="N41" t="n">
        <v>0</v>
      </c>
      <c r="O41" t="n">
        <v>0</v>
      </c>
      <c r="P41" t="n">
        <v>0</v>
      </c>
      <c r="Q41" t="n">
        <v>0</v>
      </c>
      <c r="R41" s="2" t="inlineStr"/>
    </row>
    <row r="42" ht="15" customHeight="1">
      <c r="A42" t="inlineStr">
        <is>
          <t>A 242-2022</t>
        </is>
      </c>
      <c r="B42" s="1" t="n">
        <v>44560</v>
      </c>
      <c r="C42" s="1" t="n">
        <v>45907</v>
      </c>
      <c r="D42" t="inlineStr">
        <is>
          <t>STOCKHOLMS LÄN</t>
        </is>
      </c>
      <c r="E42" t="inlineStr">
        <is>
          <t>VALLENTUNA</t>
        </is>
      </c>
      <c r="F42" t="inlineStr">
        <is>
          <t>Övriga Aktiebolag</t>
        </is>
      </c>
      <c r="G42" t="n">
        <v>1</v>
      </c>
      <c r="H42" t="n">
        <v>0</v>
      </c>
      <c r="I42" t="n">
        <v>0</v>
      </c>
      <c r="J42" t="n">
        <v>0</v>
      </c>
      <c r="K42" t="n">
        <v>0</v>
      </c>
      <c r="L42" t="n">
        <v>0</v>
      </c>
      <c r="M42" t="n">
        <v>0</v>
      </c>
      <c r="N42" t="n">
        <v>0</v>
      </c>
      <c r="O42" t="n">
        <v>0</v>
      </c>
      <c r="P42" t="n">
        <v>0</v>
      </c>
      <c r="Q42" t="n">
        <v>0</v>
      </c>
      <c r="R42" s="2" t="inlineStr"/>
    </row>
    <row r="43" ht="15" customHeight="1">
      <c r="A43" t="inlineStr">
        <is>
          <t>A 2867-2022</t>
        </is>
      </c>
      <c r="B43" s="1" t="n">
        <v>44581</v>
      </c>
      <c r="C43" s="1" t="n">
        <v>45907</v>
      </c>
      <c r="D43" t="inlineStr">
        <is>
          <t>STOCKHOLMS LÄN</t>
        </is>
      </c>
      <c r="E43" t="inlineStr">
        <is>
          <t>VALLENTUNA</t>
        </is>
      </c>
      <c r="G43" t="n">
        <v>1.6</v>
      </c>
      <c r="H43" t="n">
        <v>0</v>
      </c>
      <c r="I43" t="n">
        <v>0</v>
      </c>
      <c r="J43" t="n">
        <v>0</v>
      </c>
      <c r="K43" t="n">
        <v>0</v>
      </c>
      <c r="L43" t="n">
        <v>0</v>
      </c>
      <c r="M43" t="n">
        <v>0</v>
      </c>
      <c r="N43" t="n">
        <v>0</v>
      </c>
      <c r="O43" t="n">
        <v>0</v>
      </c>
      <c r="P43" t="n">
        <v>0</v>
      </c>
      <c r="Q43" t="n">
        <v>0</v>
      </c>
      <c r="R43" s="2" t="inlineStr"/>
    </row>
    <row r="44" ht="15" customHeight="1">
      <c r="A44" t="inlineStr">
        <is>
          <t>A 7276-2022</t>
        </is>
      </c>
      <c r="B44" s="1" t="n">
        <v>44606</v>
      </c>
      <c r="C44" s="1" t="n">
        <v>45907</v>
      </c>
      <c r="D44" t="inlineStr">
        <is>
          <t>STOCKHOLMS LÄN</t>
        </is>
      </c>
      <c r="E44" t="inlineStr">
        <is>
          <t>VALLENTUNA</t>
        </is>
      </c>
      <c r="G44" t="n">
        <v>1.7</v>
      </c>
      <c r="H44" t="n">
        <v>0</v>
      </c>
      <c r="I44" t="n">
        <v>0</v>
      </c>
      <c r="J44" t="n">
        <v>0</v>
      </c>
      <c r="K44" t="n">
        <v>0</v>
      </c>
      <c r="L44" t="n">
        <v>0</v>
      </c>
      <c r="M44" t="n">
        <v>0</v>
      </c>
      <c r="N44" t="n">
        <v>0</v>
      </c>
      <c r="O44" t="n">
        <v>0</v>
      </c>
      <c r="P44" t="n">
        <v>0</v>
      </c>
      <c r="Q44" t="n">
        <v>0</v>
      </c>
      <c r="R44" s="2" t="inlineStr"/>
    </row>
    <row r="45" ht="15" customHeight="1">
      <c r="A45" t="inlineStr">
        <is>
          <t>A 7085-2022</t>
        </is>
      </c>
      <c r="B45" s="1" t="n">
        <v>44603</v>
      </c>
      <c r="C45" s="1" t="n">
        <v>45907</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45907</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48078-2021</t>
        </is>
      </c>
      <c r="B47" s="1" t="n">
        <v>44449.42578703703</v>
      </c>
      <c r="C47" s="1" t="n">
        <v>45907</v>
      </c>
      <c r="D47" t="inlineStr">
        <is>
          <t>STOCKHOLMS LÄN</t>
        </is>
      </c>
      <c r="E47" t="inlineStr">
        <is>
          <t>VALLENTUNA</t>
        </is>
      </c>
      <c r="G47" t="n">
        <v>0.7</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45907</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45907</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45907</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45907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45907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44346-2021</t>
        </is>
      </c>
      <c r="B53" s="1" t="n">
        <v>44434</v>
      </c>
      <c r="C53" s="1" t="n">
        <v>45907</v>
      </c>
      <c r="D53" t="inlineStr">
        <is>
          <t>STOCKHOLMS LÄN</t>
        </is>
      </c>
      <c r="E53" t="inlineStr">
        <is>
          <t>VALLENTUNA</t>
        </is>
      </c>
      <c r="G53" t="n">
        <v>3</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45907</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37657-2021</t>
        </is>
      </c>
      <c r="B55" s="1" t="n">
        <v>44400</v>
      </c>
      <c r="C55" s="1" t="n">
        <v>45907</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45907</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45907</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14489-2024</t>
        </is>
      </c>
      <c r="B58" s="1" t="n">
        <v>45394.58053240741</v>
      </c>
      <c r="C58" s="1" t="n">
        <v>45907</v>
      </c>
      <c r="D58" t="inlineStr">
        <is>
          <t>STOCKHOLMS LÄN</t>
        </is>
      </c>
      <c r="E58" t="inlineStr">
        <is>
          <t>VALLENTUNA</t>
        </is>
      </c>
      <c r="G58" t="n">
        <v>2.3</v>
      </c>
      <c r="H58" t="n">
        <v>0</v>
      </c>
      <c r="I58" t="n">
        <v>0</v>
      </c>
      <c r="J58" t="n">
        <v>0</v>
      </c>
      <c r="K58" t="n">
        <v>0</v>
      </c>
      <c r="L58" t="n">
        <v>0</v>
      </c>
      <c r="M58" t="n">
        <v>0</v>
      </c>
      <c r="N58" t="n">
        <v>0</v>
      </c>
      <c r="O58" t="n">
        <v>0</v>
      </c>
      <c r="P58" t="n">
        <v>0</v>
      </c>
      <c r="Q58" t="n">
        <v>0</v>
      </c>
      <c r="R58" s="2" t="inlineStr"/>
    </row>
    <row r="59" ht="15" customHeight="1">
      <c r="A59" t="inlineStr">
        <is>
          <t>A 15268-2023</t>
        </is>
      </c>
      <c r="B59" s="1" t="n">
        <v>45019.41045138889</v>
      </c>
      <c r="C59" s="1" t="n">
        <v>45907</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61442-2024</t>
        </is>
      </c>
      <c r="B60" s="1" t="n">
        <v>45646.47003472222</v>
      </c>
      <c r="C60" s="1" t="n">
        <v>45907</v>
      </c>
      <c r="D60" t="inlineStr">
        <is>
          <t>STOCKHOLMS LÄN</t>
        </is>
      </c>
      <c r="E60" t="inlineStr">
        <is>
          <t>VALLENTUNA</t>
        </is>
      </c>
      <c r="G60" t="n">
        <v>4.6</v>
      </c>
      <c r="H60" t="n">
        <v>0</v>
      </c>
      <c r="I60" t="n">
        <v>0</v>
      </c>
      <c r="J60" t="n">
        <v>0</v>
      </c>
      <c r="K60" t="n">
        <v>0</v>
      </c>
      <c r="L60" t="n">
        <v>0</v>
      </c>
      <c r="M60" t="n">
        <v>0</v>
      </c>
      <c r="N60" t="n">
        <v>0</v>
      </c>
      <c r="O60" t="n">
        <v>0</v>
      </c>
      <c r="P60" t="n">
        <v>0</v>
      </c>
      <c r="Q60" t="n">
        <v>0</v>
      </c>
      <c r="R60" s="2" t="inlineStr"/>
    </row>
    <row r="61" ht="15" customHeight="1">
      <c r="A61" t="inlineStr">
        <is>
          <t>A 48068-2021</t>
        </is>
      </c>
      <c r="B61" s="1" t="n">
        <v>44449.42270833333</v>
      </c>
      <c r="C61" s="1" t="n">
        <v>45907</v>
      </c>
      <c r="D61" t="inlineStr">
        <is>
          <t>STOCKHOLMS LÄN</t>
        </is>
      </c>
      <c r="E61" t="inlineStr">
        <is>
          <t>VALLENTUNA</t>
        </is>
      </c>
      <c r="G61" t="n">
        <v>1.3</v>
      </c>
      <c r="H61" t="n">
        <v>0</v>
      </c>
      <c r="I61" t="n">
        <v>0</v>
      </c>
      <c r="J61" t="n">
        <v>0</v>
      </c>
      <c r="K61" t="n">
        <v>0</v>
      </c>
      <c r="L61" t="n">
        <v>0</v>
      </c>
      <c r="M61" t="n">
        <v>0</v>
      </c>
      <c r="N61" t="n">
        <v>0</v>
      </c>
      <c r="O61" t="n">
        <v>0</v>
      </c>
      <c r="P61" t="n">
        <v>0</v>
      </c>
      <c r="Q61" t="n">
        <v>0</v>
      </c>
      <c r="R61" s="2" t="inlineStr"/>
    </row>
    <row r="62" ht="15" customHeight="1">
      <c r="A62" t="inlineStr">
        <is>
          <t>A 45499-2023</t>
        </is>
      </c>
      <c r="B62" s="1" t="n">
        <v>45194</v>
      </c>
      <c r="C62" s="1" t="n">
        <v>45907</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47204-2024</t>
        </is>
      </c>
      <c r="B63" s="1" t="n">
        <v>45586.63575231482</v>
      </c>
      <c r="C63" s="1" t="n">
        <v>45907</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45907</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45907</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45907</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45907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45907</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20789-2025</t>
        </is>
      </c>
      <c r="B69" s="1" t="n">
        <v>45776.62518518518</v>
      </c>
      <c r="C69" s="1" t="n">
        <v>45907</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45907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45907</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8077-2022</t>
        </is>
      </c>
      <c r="B72" s="1" t="n">
        <v>44609</v>
      </c>
      <c r="C72" s="1" t="n">
        <v>45907</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46381-2023</t>
        </is>
      </c>
      <c r="B73" s="1" t="n">
        <v>45193</v>
      </c>
      <c r="C73" s="1" t="n">
        <v>45907</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23009-2024</t>
        </is>
      </c>
      <c r="B74" s="1" t="n">
        <v>45450.34506944445</v>
      </c>
      <c r="C74" s="1" t="n">
        <v>45907</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61027-2023</t>
        </is>
      </c>
      <c r="B75" s="1" t="n">
        <v>45261</v>
      </c>
      <c r="C75" s="1" t="n">
        <v>45907</v>
      </c>
      <c r="D75" t="inlineStr">
        <is>
          <t>STOCKHOLMS LÄN</t>
        </is>
      </c>
      <c r="E75" t="inlineStr">
        <is>
          <t>VALLENTUNA</t>
        </is>
      </c>
      <c r="G75" t="n">
        <v>7.1</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45907</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68938-2020</t>
        </is>
      </c>
      <c r="B77" s="1" t="n">
        <v>44187</v>
      </c>
      <c r="C77" s="1" t="n">
        <v>45907</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45907</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15300-2023</t>
        </is>
      </c>
      <c r="B79" s="1" t="n">
        <v>45019</v>
      </c>
      <c r="C79" s="1" t="n">
        <v>45907</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21765-2023</t>
        </is>
      </c>
      <c r="B80" s="1" t="n">
        <v>45064</v>
      </c>
      <c r="C80" s="1" t="n">
        <v>45907</v>
      </c>
      <c r="D80" t="inlineStr">
        <is>
          <t>STOCKHOLMS LÄN</t>
        </is>
      </c>
      <c r="E80" t="inlineStr">
        <is>
          <t>VALLENTUNA</t>
        </is>
      </c>
      <c r="G80" t="n">
        <v>1.1</v>
      </c>
      <c r="H80" t="n">
        <v>0</v>
      </c>
      <c r="I80" t="n">
        <v>0</v>
      </c>
      <c r="J80" t="n">
        <v>0</v>
      </c>
      <c r="K80" t="n">
        <v>0</v>
      </c>
      <c r="L80" t="n">
        <v>0</v>
      </c>
      <c r="M80" t="n">
        <v>0</v>
      </c>
      <c r="N80" t="n">
        <v>0</v>
      </c>
      <c r="O80" t="n">
        <v>0</v>
      </c>
      <c r="P80" t="n">
        <v>0</v>
      </c>
      <c r="Q80" t="n">
        <v>0</v>
      </c>
      <c r="R80" s="2" t="inlineStr"/>
    </row>
    <row r="81" ht="15" customHeight="1">
      <c r="A81" t="inlineStr">
        <is>
          <t>A 21614-2022</t>
        </is>
      </c>
      <c r="B81" s="1" t="n">
        <v>44706</v>
      </c>
      <c r="C81" s="1" t="n">
        <v>45907</v>
      </c>
      <c r="D81" t="inlineStr">
        <is>
          <t>STOCKHOLMS LÄN</t>
        </is>
      </c>
      <c r="E81" t="inlineStr">
        <is>
          <t>VALLENTUNA</t>
        </is>
      </c>
      <c r="G81" t="n">
        <v>4</v>
      </c>
      <c r="H81" t="n">
        <v>0</v>
      </c>
      <c r="I81" t="n">
        <v>0</v>
      </c>
      <c r="J81" t="n">
        <v>0</v>
      </c>
      <c r="K81" t="n">
        <v>0</v>
      </c>
      <c r="L81" t="n">
        <v>0</v>
      </c>
      <c r="M81" t="n">
        <v>0</v>
      </c>
      <c r="N81" t="n">
        <v>0</v>
      </c>
      <c r="O81" t="n">
        <v>0</v>
      </c>
      <c r="P81" t="n">
        <v>0</v>
      </c>
      <c r="Q81" t="n">
        <v>0</v>
      </c>
      <c r="R81" s="2" t="inlineStr"/>
    </row>
    <row r="82" ht="15" customHeight="1">
      <c r="A82" t="inlineStr">
        <is>
          <t>A 23986-2023</t>
        </is>
      </c>
      <c r="B82" s="1" t="n">
        <v>45078</v>
      </c>
      <c r="C82" s="1" t="n">
        <v>45907</v>
      </c>
      <c r="D82" t="inlineStr">
        <is>
          <t>STOCKHOLMS LÄN</t>
        </is>
      </c>
      <c r="E82" t="inlineStr">
        <is>
          <t>VALLENTUNA</t>
        </is>
      </c>
      <c r="F82" t="inlineStr">
        <is>
          <t>Kyrkan</t>
        </is>
      </c>
      <c r="G82" t="n">
        <v>5.7</v>
      </c>
      <c r="H82" t="n">
        <v>0</v>
      </c>
      <c r="I82" t="n">
        <v>0</v>
      </c>
      <c r="J82" t="n">
        <v>0</v>
      </c>
      <c r="K82" t="n">
        <v>0</v>
      </c>
      <c r="L82" t="n">
        <v>0</v>
      </c>
      <c r="M82" t="n">
        <v>0</v>
      </c>
      <c r="N82" t="n">
        <v>0</v>
      </c>
      <c r="O82" t="n">
        <v>0</v>
      </c>
      <c r="P82" t="n">
        <v>0</v>
      </c>
      <c r="Q82" t="n">
        <v>0</v>
      </c>
      <c r="R82" s="2" t="inlineStr"/>
    </row>
    <row r="83" ht="15" customHeight="1">
      <c r="A83" t="inlineStr">
        <is>
          <t>A 25984-2025</t>
        </is>
      </c>
      <c r="B83" s="1" t="n">
        <v>45804.64016203704</v>
      </c>
      <c r="C83" s="1" t="n">
        <v>45907</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61742-2022</t>
        </is>
      </c>
      <c r="B84" s="1" t="n">
        <v>44917</v>
      </c>
      <c r="C84" s="1" t="n">
        <v>45907</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56152-2024</t>
        </is>
      </c>
      <c r="B85" s="1" t="n">
        <v>45624.52403935185</v>
      </c>
      <c r="C85" s="1" t="n">
        <v>45907</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45907</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34458-2023</t>
        </is>
      </c>
      <c r="B87" s="1" t="n">
        <v>45139</v>
      </c>
      <c r="C87" s="1" t="n">
        <v>45907</v>
      </c>
      <c r="D87" t="inlineStr">
        <is>
          <t>STOCKHOLMS LÄN</t>
        </is>
      </c>
      <c r="E87" t="inlineStr">
        <is>
          <t>VALLENTUNA</t>
        </is>
      </c>
      <c r="G87" t="n">
        <v>2.5</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45907</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61655-2020</t>
        </is>
      </c>
      <c r="B89" s="1" t="n">
        <v>44158</v>
      </c>
      <c r="C89" s="1" t="n">
        <v>45907</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3937-2022</t>
        </is>
      </c>
      <c r="B90" s="1" t="n">
        <v>44587</v>
      </c>
      <c r="C90" s="1" t="n">
        <v>45907</v>
      </c>
      <c r="D90" t="inlineStr">
        <is>
          <t>STOCKHOLMS LÄN</t>
        </is>
      </c>
      <c r="E90" t="inlineStr">
        <is>
          <t>VALLENTUNA</t>
        </is>
      </c>
      <c r="G90" t="n">
        <v>6.6</v>
      </c>
      <c r="H90" t="n">
        <v>0</v>
      </c>
      <c r="I90" t="n">
        <v>0</v>
      </c>
      <c r="J90" t="n">
        <v>0</v>
      </c>
      <c r="K90" t="n">
        <v>0</v>
      </c>
      <c r="L90" t="n">
        <v>0</v>
      </c>
      <c r="M90" t="n">
        <v>0</v>
      </c>
      <c r="N90" t="n">
        <v>0</v>
      </c>
      <c r="O90" t="n">
        <v>0</v>
      </c>
      <c r="P90" t="n">
        <v>0</v>
      </c>
      <c r="Q90" t="n">
        <v>0</v>
      </c>
      <c r="R90" s="2" t="inlineStr"/>
    </row>
    <row r="91" ht="15" customHeight="1">
      <c r="A91" t="inlineStr">
        <is>
          <t>A 17342-2025</t>
        </is>
      </c>
      <c r="B91" s="1" t="n">
        <v>45756</v>
      </c>
      <c r="C91" s="1" t="n">
        <v>45907</v>
      </c>
      <c r="D91" t="inlineStr">
        <is>
          <t>STOCKHOLMS LÄN</t>
        </is>
      </c>
      <c r="E91" t="inlineStr">
        <is>
          <t>VALLENTUNA</t>
        </is>
      </c>
      <c r="F91" t="inlineStr">
        <is>
          <t>Övriga Aktiebolag</t>
        </is>
      </c>
      <c r="G91" t="n">
        <v>3.9</v>
      </c>
      <c r="H91" t="n">
        <v>0</v>
      </c>
      <c r="I91" t="n">
        <v>0</v>
      </c>
      <c r="J91" t="n">
        <v>0</v>
      </c>
      <c r="K91" t="n">
        <v>0</v>
      </c>
      <c r="L91" t="n">
        <v>0</v>
      </c>
      <c r="M91" t="n">
        <v>0</v>
      </c>
      <c r="N91" t="n">
        <v>0</v>
      </c>
      <c r="O91" t="n">
        <v>0</v>
      </c>
      <c r="P91" t="n">
        <v>0</v>
      </c>
      <c r="Q91" t="n">
        <v>0</v>
      </c>
      <c r="R91" s="2" t="inlineStr"/>
    </row>
    <row r="92" ht="15" customHeight="1">
      <c r="A92" t="inlineStr">
        <is>
          <t>A 23013-2024</t>
        </is>
      </c>
      <c r="B92" s="1" t="n">
        <v>45450.35116898148</v>
      </c>
      <c r="C92" s="1" t="n">
        <v>45907</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3078-2023</t>
        </is>
      </c>
      <c r="B93" s="1" t="n">
        <v>44946.41527777778</v>
      </c>
      <c r="C93" s="1" t="n">
        <v>45907</v>
      </c>
      <c r="D93" t="inlineStr">
        <is>
          <t>STOCKHOLMS LÄN</t>
        </is>
      </c>
      <c r="E93" t="inlineStr">
        <is>
          <t>VALLENTUNA</t>
        </is>
      </c>
      <c r="G93" t="n">
        <v>3.9</v>
      </c>
      <c r="H93" t="n">
        <v>0</v>
      </c>
      <c r="I93" t="n">
        <v>0</v>
      </c>
      <c r="J93" t="n">
        <v>0</v>
      </c>
      <c r="K93" t="n">
        <v>0</v>
      </c>
      <c r="L93" t="n">
        <v>0</v>
      </c>
      <c r="M93" t="n">
        <v>0</v>
      </c>
      <c r="N93" t="n">
        <v>0</v>
      </c>
      <c r="O93" t="n">
        <v>0</v>
      </c>
      <c r="P93" t="n">
        <v>0</v>
      </c>
      <c r="Q93" t="n">
        <v>0</v>
      </c>
      <c r="R93" s="2" t="inlineStr"/>
    </row>
    <row r="94" ht="15" customHeight="1">
      <c r="A94" t="inlineStr">
        <is>
          <t>A 6593-2021</t>
        </is>
      </c>
      <c r="B94" s="1" t="n">
        <v>44236</v>
      </c>
      <c r="C94" s="1" t="n">
        <v>45907</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12562-2023</t>
        </is>
      </c>
      <c r="B95" s="1" t="n">
        <v>45000</v>
      </c>
      <c r="C95" s="1" t="n">
        <v>45907</v>
      </c>
      <c r="D95" t="inlineStr">
        <is>
          <t>STOCKHOLMS LÄN</t>
        </is>
      </c>
      <c r="E95" t="inlineStr">
        <is>
          <t>VALLENTUNA</t>
        </is>
      </c>
      <c r="G95" t="n">
        <v>2.1</v>
      </c>
      <c r="H95" t="n">
        <v>0</v>
      </c>
      <c r="I95" t="n">
        <v>0</v>
      </c>
      <c r="J95" t="n">
        <v>0</v>
      </c>
      <c r="K95" t="n">
        <v>0</v>
      </c>
      <c r="L95" t="n">
        <v>0</v>
      </c>
      <c r="M95" t="n">
        <v>0</v>
      </c>
      <c r="N95" t="n">
        <v>0</v>
      </c>
      <c r="O95" t="n">
        <v>0</v>
      </c>
      <c r="P95" t="n">
        <v>0</v>
      </c>
      <c r="Q95" t="n">
        <v>0</v>
      </c>
      <c r="R95" s="2" t="inlineStr"/>
    </row>
    <row r="96" ht="15" customHeight="1">
      <c r="A96" t="inlineStr">
        <is>
          <t>A 14480-2024</t>
        </is>
      </c>
      <c r="B96" s="1" t="n">
        <v>45394.56777777777</v>
      </c>
      <c r="C96" s="1" t="n">
        <v>45907</v>
      </c>
      <c r="D96" t="inlineStr">
        <is>
          <t>STOCKHOLMS LÄN</t>
        </is>
      </c>
      <c r="E96" t="inlineStr">
        <is>
          <t>VALLENTUNA</t>
        </is>
      </c>
      <c r="G96" t="n">
        <v>1.8</v>
      </c>
      <c r="H96" t="n">
        <v>0</v>
      </c>
      <c r="I96" t="n">
        <v>0</v>
      </c>
      <c r="J96" t="n">
        <v>0</v>
      </c>
      <c r="K96" t="n">
        <v>0</v>
      </c>
      <c r="L96" t="n">
        <v>0</v>
      </c>
      <c r="M96" t="n">
        <v>0</v>
      </c>
      <c r="N96" t="n">
        <v>0</v>
      </c>
      <c r="O96" t="n">
        <v>0</v>
      </c>
      <c r="P96" t="n">
        <v>0</v>
      </c>
      <c r="Q96" t="n">
        <v>0</v>
      </c>
      <c r="R96" s="2" t="inlineStr"/>
    </row>
    <row r="97" ht="15" customHeight="1">
      <c r="A97" t="inlineStr">
        <is>
          <t>A 17340-2025</t>
        </is>
      </c>
      <c r="B97" s="1" t="n">
        <v>45756</v>
      </c>
      <c r="C97" s="1" t="n">
        <v>45907</v>
      </c>
      <c r="D97" t="inlineStr">
        <is>
          <t>STOCKHOLMS LÄN</t>
        </is>
      </c>
      <c r="E97" t="inlineStr">
        <is>
          <t>VALLENTUNA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45907</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45907</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45496-2023</t>
        </is>
      </c>
      <c r="B100" s="1" t="n">
        <v>45194</v>
      </c>
      <c r="C100" s="1" t="n">
        <v>45907</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29704-2023</t>
        </is>
      </c>
      <c r="B101" s="1" t="n">
        <v>45107</v>
      </c>
      <c r="C101" s="1" t="n">
        <v>45907</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28431-2025</t>
        </is>
      </c>
      <c r="B102" s="1" t="n">
        <v>45819.38072916667</v>
      </c>
      <c r="C102" s="1" t="n">
        <v>45907</v>
      </c>
      <c r="D102" t="inlineStr">
        <is>
          <t>STOCKHOLMS LÄN</t>
        </is>
      </c>
      <c r="E102" t="inlineStr">
        <is>
          <t>VALLENTUNA</t>
        </is>
      </c>
      <c r="G102" t="n">
        <v>1.5</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45907</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41206-2025</t>
        </is>
      </c>
      <c r="B104" s="1" t="n">
        <v>45898</v>
      </c>
      <c r="C104" s="1" t="n">
        <v>45907</v>
      </c>
      <c r="D104" t="inlineStr">
        <is>
          <t>STOCKHOLMS LÄN</t>
        </is>
      </c>
      <c r="E104" t="inlineStr">
        <is>
          <t>VALLENTUNA</t>
        </is>
      </c>
      <c r="G104" t="n">
        <v>10</v>
      </c>
      <c r="H104" t="n">
        <v>0</v>
      </c>
      <c r="I104" t="n">
        <v>0</v>
      </c>
      <c r="J104" t="n">
        <v>0</v>
      </c>
      <c r="K104" t="n">
        <v>0</v>
      </c>
      <c r="L104" t="n">
        <v>0</v>
      </c>
      <c r="M104" t="n">
        <v>0</v>
      </c>
      <c r="N104" t="n">
        <v>0</v>
      </c>
      <c r="O104" t="n">
        <v>0</v>
      </c>
      <c r="P104" t="n">
        <v>0</v>
      </c>
      <c r="Q104" t="n">
        <v>0</v>
      </c>
      <c r="R104" s="2" t="inlineStr"/>
    </row>
    <row r="105" ht="15" customHeight="1">
      <c r="A105" t="inlineStr">
        <is>
          <t>A 48717-2024</t>
        </is>
      </c>
      <c r="B105" s="1" t="n">
        <v>45593</v>
      </c>
      <c r="C105" s="1" t="n">
        <v>45907</v>
      </c>
      <c r="D105" t="inlineStr">
        <is>
          <t>STOCKHOLMS LÄN</t>
        </is>
      </c>
      <c r="E105" t="inlineStr">
        <is>
          <t>VALLENTUNA</t>
        </is>
      </c>
      <c r="G105" t="n">
        <v>6.2</v>
      </c>
      <c r="H105" t="n">
        <v>0</v>
      </c>
      <c r="I105" t="n">
        <v>0</v>
      </c>
      <c r="J105" t="n">
        <v>0</v>
      </c>
      <c r="K105" t="n">
        <v>0</v>
      </c>
      <c r="L105" t="n">
        <v>0</v>
      </c>
      <c r="M105" t="n">
        <v>0</v>
      </c>
      <c r="N105" t="n">
        <v>0</v>
      </c>
      <c r="O105" t="n">
        <v>0</v>
      </c>
      <c r="P105" t="n">
        <v>0</v>
      </c>
      <c r="Q105" t="n">
        <v>0</v>
      </c>
      <c r="R105" s="2" t="inlineStr"/>
    </row>
    <row r="106" ht="15" customHeight="1">
      <c r="A106" t="inlineStr">
        <is>
          <t>A 21612-2021</t>
        </is>
      </c>
      <c r="B106" s="1" t="n">
        <v>44321</v>
      </c>
      <c r="C106" s="1" t="n">
        <v>45907</v>
      </c>
      <c r="D106" t="inlineStr">
        <is>
          <t>STOCKHOLMS LÄN</t>
        </is>
      </c>
      <c r="E106" t="inlineStr">
        <is>
          <t>VALLENTUNA</t>
        </is>
      </c>
      <c r="G106" t="n">
        <v>1.4</v>
      </c>
      <c r="H106" t="n">
        <v>0</v>
      </c>
      <c r="I106" t="n">
        <v>0</v>
      </c>
      <c r="J106" t="n">
        <v>0</v>
      </c>
      <c r="K106" t="n">
        <v>0</v>
      </c>
      <c r="L106" t="n">
        <v>0</v>
      </c>
      <c r="M106" t="n">
        <v>0</v>
      </c>
      <c r="N106" t="n">
        <v>0</v>
      </c>
      <c r="O106" t="n">
        <v>0</v>
      </c>
      <c r="P106" t="n">
        <v>0</v>
      </c>
      <c r="Q106" t="n">
        <v>0</v>
      </c>
      <c r="R106" s="2" t="inlineStr"/>
    </row>
    <row r="107" ht="15" customHeight="1">
      <c r="A107" t="inlineStr">
        <is>
          <t>A 42613-2025</t>
        </is>
      </c>
      <c r="B107" s="1" t="n">
        <v>45905.70616898148</v>
      </c>
      <c r="C107" s="1" t="n">
        <v>45907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4803-2024</t>
        </is>
      </c>
      <c r="B108" s="1" t="n">
        <v>45328</v>
      </c>
      <c r="C108" s="1" t="n">
        <v>45907</v>
      </c>
      <c r="D108" t="inlineStr">
        <is>
          <t>STOCKHOLMS LÄN</t>
        </is>
      </c>
      <c r="E108" t="inlineStr">
        <is>
          <t>VALLENTUNA</t>
        </is>
      </c>
      <c r="G108" t="n">
        <v>4.6</v>
      </c>
      <c r="H108" t="n">
        <v>0</v>
      </c>
      <c r="I108" t="n">
        <v>0</v>
      </c>
      <c r="J108" t="n">
        <v>0</v>
      </c>
      <c r="K108" t="n">
        <v>0</v>
      </c>
      <c r="L108" t="n">
        <v>0</v>
      </c>
      <c r="M108" t="n">
        <v>0</v>
      </c>
      <c r="N108" t="n">
        <v>0</v>
      </c>
      <c r="O108" t="n">
        <v>0</v>
      </c>
      <c r="P108" t="n">
        <v>0</v>
      </c>
      <c r="Q108" t="n">
        <v>0</v>
      </c>
      <c r="R108" s="2" t="inlineStr"/>
    </row>
    <row r="109" ht="15" customHeight="1">
      <c r="A109" t="inlineStr">
        <is>
          <t>A 27868-2025</t>
        </is>
      </c>
      <c r="B109" s="1" t="n">
        <v>45817</v>
      </c>
      <c r="C109" s="1" t="n">
        <v>45907</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45907</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38102-2024</t>
        </is>
      </c>
      <c r="B111" s="1" t="n">
        <v>45545.36349537037</v>
      </c>
      <c r="C111" s="1" t="n">
        <v>45907</v>
      </c>
      <c r="D111" t="inlineStr">
        <is>
          <t>STOCKHOLMS LÄN</t>
        </is>
      </c>
      <c r="E111" t="inlineStr">
        <is>
          <t>VALLENTUNA</t>
        </is>
      </c>
      <c r="G111" t="n">
        <v>3.2</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45907</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45907</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45907</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24943-2024</t>
        </is>
      </c>
      <c r="B115" s="1" t="n">
        <v>45461.62585648148</v>
      </c>
      <c r="C115" s="1" t="n">
        <v>45907</v>
      </c>
      <c r="D115" t="inlineStr">
        <is>
          <t>STOCKHOLMS LÄN</t>
        </is>
      </c>
      <c r="E115" t="inlineStr">
        <is>
          <t>VALLENTUNA</t>
        </is>
      </c>
      <c r="G115" t="n">
        <v>2</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45907</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24707-2023</t>
        </is>
      </c>
      <c r="B117" s="1" t="n">
        <v>45084</v>
      </c>
      <c r="C117" s="1" t="n">
        <v>45907</v>
      </c>
      <c r="D117" t="inlineStr">
        <is>
          <t>STOCKHOLMS LÄN</t>
        </is>
      </c>
      <c r="E117" t="inlineStr">
        <is>
          <t>VALLENTUNA</t>
        </is>
      </c>
      <c r="G117" t="n">
        <v>1.1</v>
      </c>
      <c r="H117" t="n">
        <v>0</v>
      </c>
      <c r="I117" t="n">
        <v>0</v>
      </c>
      <c r="J117" t="n">
        <v>0</v>
      </c>
      <c r="K117" t="n">
        <v>0</v>
      </c>
      <c r="L117" t="n">
        <v>0</v>
      </c>
      <c r="M117" t="n">
        <v>0</v>
      </c>
      <c r="N117" t="n">
        <v>0</v>
      </c>
      <c r="O117" t="n">
        <v>0</v>
      </c>
      <c r="P117" t="n">
        <v>0</v>
      </c>
      <c r="Q117" t="n">
        <v>0</v>
      </c>
      <c r="R117" s="2" t="inlineStr"/>
    </row>
    <row r="118" ht="15" customHeight="1">
      <c r="A118" t="inlineStr">
        <is>
          <t>A 22683-2023</t>
        </is>
      </c>
      <c r="B118" s="1" t="n">
        <v>45071</v>
      </c>
      <c r="C118" s="1" t="n">
        <v>45907</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62402-2022</t>
        </is>
      </c>
      <c r="B119" s="1" t="n">
        <v>44923</v>
      </c>
      <c r="C119" s="1" t="n">
        <v>45907</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45907</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24994-2021</t>
        </is>
      </c>
      <c r="B121" s="1" t="n">
        <v>44341</v>
      </c>
      <c r="C121" s="1" t="n">
        <v>45907</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17411-2023</t>
        </is>
      </c>
      <c r="B122" s="1" t="n">
        <v>45035.82512731481</v>
      </c>
      <c r="C122" s="1" t="n">
        <v>45907</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60795-2023</t>
        </is>
      </c>
      <c r="B123" s="1" t="n">
        <v>45260</v>
      </c>
      <c r="C123" s="1" t="n">
        <v>45907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45907</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45907</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45907</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14775-2024</t>
        </is>
      </c>
      <c r="B127" s="1" t="n">
        <v>45397.73675925926</v>
      </c>
      <c r="C127" s="1" t="n">
        <v>45907</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8565-2025</t>
        </is>
      </c>
      <c r="B128" s="1" t="n">
        <v>45709</v>
      </c>
      <c r="C128" s="1" t="n">
        <v>45907</v>
      </c>
      <c r="D128" t="inlineStr">
        <is>
          <t>STOCKHOLMS LÄN</t>
        </is>
      </c>
      <c r="E128" t="inlineStr">
        <is>
          <t>VALLENTUNA</t>
        </is>
      </c>
      <c r="F128" t="inlineStr">
        <is>
          <t>Kommuner</t>
        </is>
      </c>
      <c r="G128" t="n">
        <v>4.2</v>
      </c>
      <c r="H128" t="n">
        <v>0</v>
      </c>
      <c r="I128" t="n">
        <v>0</v>
      </c>
      <c r="J128" t="n">
        <v>0</v>
      </c>
      <c r="K128" t="n">
        <v>0</v>
      </c>
      <c r="L128" t="n">
        <v>0</v>
      </c>
      <c r="M128" t="n">
        <v>0</v>
      </c>
      <c r="N128" t="n">
        <v>0</v>
      </c>
      <c r="O128" t="n">
        <v>0</v>
      </c>
      <c r="P128" t="n">
        <v>0</v>
      </c>
      <c r="Q128" t="n">
        <v>0</v>
      </c>
      <c r="R128" s="2" t="inlineStr"/>
    </row>
    <row r="129" ht="15" customHeight="1">
      <c r="A129" t="inlineStr">
        <is>
          <t>A 8787-2024</t>
        </is>
      </c>
      <c r="B129" s="1" t="n">
        <v>45356</v>
      </c>
      <c r="C129" s="1" t="n">
        <v>45907</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45907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45907</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52562-2023</t>
        </is>
      </c>
      <c r="B132" s="1" t="n">
        <v>45225</v>
      </c>
      <c r="C132" s="1" t="n">
        <v>45907</v>
      </c>
      <c r="D132" t="inlineStr">
        <is>
          <t>STOCKHOLMS LÄN</t>
        </is>
      </c>
      <c r="E132" t="inlineStr">
        <is>
          <t>VALLENTUNA</t>
        </is>
      </c>
      <c r="G132" t="n">
        <v>3.4</v>
      </c>
      <c r="H132" t="n">
        <v>0</v>
      </c>
      <c r="I132" t="n">
        <v>0</v>
      </c>
      <c r="J132" t="n">
        <v>0</v>
      </c>
      <c r="K132" t="n">
        <v>0</v>
      </c>
      <c r="L132" t="n">
        <v>0</v>
      </c>
      <c r="M132" t="n">
        <v>0</v>
      </c>
      <c r="N132" t="n">
        <v>0</v>
      </c>
      <c r="O132" t="n">
        <v>0</v>
      </c>
      <c r="P132" t="n">
        <v>0</v>
      </c>
      <c r="Q132" t="n">
        <v>0</v>
      </c>
      <c r="R132" s="2" t="inlineStr"/>
    </row>
    <row r="133" ht="15" customHeight="1">
      <c r="A133" t="inlineStr">
        <is>
          <t>A 49530-2023</t>
        </is>
      </c>
      <c r="B133" s="1" t="n">
        <v>45205</v>
      </c>
      <c r="C133" s="1" t="n">
        <v>45907</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52542-2023</t>
        </is>
      </c>
      <c r="B134" s="1" t="n">
        <v>45225</v>
      </c>
      <c r="C134" s="1" t="n">
        <v>45907</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2318-2024</t>
        </is>
      </c>
      <c r="B135" s="1" t="n">
        <v>45310</v>
      </c>
      <c r="C135" s="1" t="n">
        <v>45907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9063-2024</t>
        </is>
      </c>
      <c r="B136" s="1" t="n">
        <v>45357.72652777778</v>
      </c>
      <c r="C136" s="1" t="n">
        <v>45907</v>
      </c>
      <c r="D136" t="inlineStr">
        <is>
          <t>STOCKHOLMS LÄN</t>
        </is>
      </c>
      <c r="E136" t="inlineStr">
        <is>
          <t>VALLENTUNA</t>
        </is>
      </c>
      <c r="G136" t="n">
        <v>4.1</v>
      </c>
      <c r="H136" t="n">
        <v>0</v>
      </c>
      <c r="I136" t="n">
        <v>0</v>
      </c>
      <c r="J136" t="n">
        <v>0</v>
      </c>
      <c r="K136" t="n">
        <v>0</v>
      </c>
      <c r="L136" t="n">
        <v>0</v>
      </c>
      <c r="M136" t="n">
        <v>0</v>
      </c>
      <c r="N136" t="n">
        <v>0</v>
      </c>
      <c r="O136" t="n">
        <v>0</v>
      </c>
      <c r="P136" t="n">
        <v>0</v>
      </c>
      <c r="Q136" t="n">
        <v>0</v>
      </c>
      <c r="R136" s="2" t="inlineStr"/>
    </row>
    <row r="137" ht="15" customHeight="1">
      <c r="A137" t="inlineStr">
        <is>
          <t>A 19356-2025</t>
        </is>
      </c>
      <c r="B137" s="1" t="n">
        <v>45769.62061342593</v>
      </c>
      <c r="C137" s="1" t="n">
        <v>45907</v>
      </c>
      <c r="D137" t="inlineStr">
        <is>
          <t>STOCKHOLMS LÄN</t>
        </is>
      </c>
      <c r="E137" t="inlineStr">
        <is>
          <t>VALLENTUNA</t>
        </is>
      </c>
      <c r="F137" t="inlineStr">
        <is>
          <t>Övriga Aktiebolag</t>
        </is>
      </c>
      <c r="G137" t="n">
        <v>1.6</v>
      </c>
      <c r="H137" t="n">
        <v>0</v>
      </c>
      <c r="I137" t="n">
        <v>0</v>
      </c>
      <c r="J137" t="n">
        <v>0</v>
      </c>
      <c r="K137" t="n">
        <v>0</v>
      </c>
      <c r="L137" t="n">
        <v>0</v>
      </c>
      <c r="M137" t="n">
        <v>0</v>
      </c>
      <c r="N137" t="n">
        <v>0</v>
      </c>
      <c r="O137" t="n">
        <v>0</v>
      </c>
      <c r="P137" t="n">
        <v>0</v>
      </c>
      <c r="Q137" t="n">
        <v>0</v>
      </c>
      <c r="R137" s="2" t="inlineStr"/>
    </row>
    <row r="138" ht="15" customHeight="1">
      <c r="A138" t="inlineStr">
        <is>
          <t>A 21445-2023</t>
        </is>
      </c>
      <c r="B138" s="1" t="n">
        <v>45063</v>
      </c>
      <c r="C138" s="1" t="n">
        <v>45907</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45907</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14485-2024</t>
        </is>
      </c>
      <c r="B140" s="1" t="n">
        <v>45394.57304398148</v>
      </c>
      <c r="C140" s="1" t="n">
        <v>45907</v>
      </c>
      <c r="D140" t="inlineStr">
        <is>
          <t>STOCKHOLMS LÄN</t>
        </is>
      </c>
      <c r="E140" t="inlineStr">
        <is>
          <t>VALLENTUNA</t>
        </is>
      </c>
      <c r="G140" t="n">
        <v>5.1</v>
      </c>
      <c r="H140" t="n">
        <v>0</v>
      </c>
      <c r="I140" t="n">
        <v>0</v>
      </c>
      <c r="J140" t="n">
        <v>0</v>
      </c>
      <c r="K140" t="n">
        <v>0</v>
      </c>
      <c r="L140" t="n">
        <v>0</v>
      </c>
      <c r="M140" t="n">
        <v>0</v>
      </c>
      <c r="N140" t="n">
        <v>0</v>
      </c>
      <c r="O140" t="n">
        <v>0</v>
      </c>
      <c r="P140" t="n">
        <v>0</v>
      </c>
      <c r="Q140" t="n">
        <v>0</v>
      </c>
      <c r="R140" s="2" t="inlineStr"/>
    </row>
    <row r="141" ht="15" customHeight="1">
      <c r="A141" t="inlineStr">
        <is>
          <t>A 34441-2023</t>
        </is>
      </c>
      <c r="B141" s="1" t="n">
        <v>45139</v>
      </c>
      <c r="C141" s="1" t="n">
        <v>45907</v>
      </c>
      <c r="D141" t="inlineStr">
        <is>
          <t>STOCKHOLMS LÄN</t>
        </is>
      </c>
      <c r="E141" t="inlineStr">
        <is>
          <t>VALLENTUNA</t>
        </is>
      </c>
      <c r="G141" t="n">
        <v>1.6</v>
      </c>
      <c r="H141" t="n">
        <v>0</v>
      </c>
      <c r="I141" t="n">
        <v>0</v>
      </c>
      <c r="J141" t="n">
        <v>0</v>
      </c>
      <c r="K141" t="n">
        <v>0</v>
      </c>
      <c r="L141" t="n">
        <v>0</v>
      </c>
      <c r="M141" t="n">
        <v>0</v>
      </c>
      <c r="N141" t="n">
        <v>0</v>
      </c>
      <c r="O141" t="n">
        <v>0</v>
      </c>
      <c r="P141" t="n">
        <v>0</v>
      </c>
      <c r="Q141" t="n">
        <v>0</v>
      </c>
      <c r="R141" s="2" t="inlineStr"/>
    </row>
    <row r="142" ht="15" customHeight="1">
      <c r="A142" t="inlineStr">
        <is>
          <t>A 34445-2023</t>
        </is>
      </c>
      <c r="B142" s="1" t="n">
        <v>45139</v>
      </c>
      <c r="C142" s="1" t="n">
        <v>45907</v>
      </c>
      <c r="D142" t="inlineStr">
        <is>
          <t>STOCKHOLMS LÄN</t>
        </is>
      </c>
      <c r="E142" t="inlineStr">
        <is>
          <t>VALLENTUNA</t>
        </is>
      </c>
      <c r="G142" t="n">
        <v>0.9</v>
      </c>
      <c r="H142" t="n">
        <v>0</v>
      </c>
      <c r="I142" t="n">
        <v>0</v>
      </c>
      <c r="J142" t="n">
        <v>0</v>
      </c>
      <c r="K142" t="n">
        <v>0</v>
      </c>
      <c r="L142" t="n">
        <v>0</v>
      </c>
      <c r="M142" t="n">
        <v>0</v>
      </c>
      <c r="N142" t="n">
        <v>0</v>
      </c>
      <c r="O142" t="n">
        <v>0</v>
      </c>
      <c r="P142" t="n">
        <v>0</v>
      </c>
      <c r="Q142" t="n">
        <v>0</v>
      </c>
      <c r="R142" s="2" t="inlineStr"/>
    </row>
    <row r="143">
      <c r="A143" t="inlineStr">
        <is>
          <t>A 34460-2023</t>
        </is>
      </c>
      <c r="B143" s="1" t="n">
        <v>45139</v>
      </c>
      <c r="C143" s="1" t="n">
        <v>45907</v>
      </c>
      <c r="D143" t="inlineStr">
        <is>
          <t>STOCKHOLMS LÄN</t>
        </is>
      </c>
      <c r="E143" t="inlineStr">
        <is>
          <t>VALLENTUNA</t>
        </is>
      </c>
      <c r="G143" t="n">
        <v>1.7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2025-09-07T09:00:16Z</dcterms:created>
  <dcterms:modified xmlns:dcterms="http://purl.org/dc/terms/" xmlns:xsi="http://www.w3.org/2001/XMLSchema-instance" xsi:type="dcterms:W3CDTF">2025-09-07T09:00:16Z</dcterms:modified>
</cp:coreProperties>
</file>