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40568-2023</t>
        </is>
      </c>
      <c r="B2" t="inlineStr">
        <is>
          <t>avverkningsanmälan</t>
        </is>
      </c>
      <c r="C2" t="inlineStr">
        <is>
          <t>Föryngringsavverkning</t>
        </is>
      </c>
      <c r="D2" s="1" t="n">
        <v>45168</v>
      </c>
      <c r="E2" s="1" t="n">
        <v>46219</v>
      </c>
      <c r="F2" t="inlineStr">
        <is>
          <t>STOCKHOLMS LÄN</t>
        </is>
      </c>
      <c r="G2" t="inlineStr">
        <is>
          <t>VALLENTUNA</t>
        </is>
      </c>
      <c r="I2" t="n">
        <v>4.6</v>
      </c>
      <c r="J2" t="n">
        <v>13</v>
      </c>
      <c r="K2" t="n">
        <v>15</v>
      </c>
      <c r="L2" t="n">
        <v>19</v>
      </c>
      <c r="M2" t="n">
        <v>5</v>
      </c>
      <c r="N2" t="n">
        <v>0</v>
      </c>
      <c r="O2" t="n">
        <v>0</v>
      </c>
      <c r="P2" t="n">
        <v>0</v>
      </c>
      <c r="Q2" t="n">
        <v>24</v>
      </c>
      <c r="R2" t="n">
        <v>5</v>
      </c>
      <c r="S2" t="n">
        <v>48</v>
      </c>
      <c r="T2" t="n">
        <v>217</v>
      </c>
      <c r="U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V2">
        <f>HYPERLINK("https://klasma.github.io/Logging_0115/artfynd/A 40568-2023 artfynd.xlsx", "A 40568-2023")</f>
        <v/>
      </c>
      <c r="W2">
        <f>HYPERLINK("https://klasma.github.io/Logging_0115/kartor/A 40568-2023 karta.png", "A 40568-2023")</f>
        <v/>
      </c>
      <c r="X2">
        <f>HYPERLINK("https://klasma.github.io/Logging_0115/knärot/A 40568-2023 karta knärot.png", "A 40568-2023")</f>
        <v/>
      </c>
      <c r="Y2">
        <f>HYPERLINK("https://klasma.github.io/Logging_0115/klagomål/A 40568-2023 FSC-klagomål.docx", "A 40568-2023")</f>
        <v/>
      </c>
      <c r="Z2">
        <f>HYPERLINK("https://klasma.github.io/Logging_0115/klagomålsmail/A 40568-2023 FSC-klagomål mail.docx", "A 40568-2023")</f>
        <v/>
      </c>
      <c r="AA2">
        <f>HYPERLINK("https://klasma.github.io/Logging_0115/tillsyn/A 40568-2023 tillsynsbegäran.docx", "A 40568-2023")</f>
        <v/>
      </c>
      <c r="AB2">
        <f>HYPERLINK("https://klasma.github.io/Logging_0115/tillsynsmail/A 40568-2023 tillsynsbegäran mail.docx", "A 40568-2023")</f>
        <v/>
      </c>
      <c r="AC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46219</v>
      </c>
      <c r="F3" t="inlineStr">
        <is>
          <t>STOCKHOLMS LÄN</t>
        </is>
      </c>
      <c r="G3" t="inlineStr">
        <is>
          <t>VALLENTUNA</t>
        </is>
      </c>
      <c r="I3" t="n">
        <v>5.6</v>
      </c>
      <c r="J3" t="n">
        <v>9</v>
      </c>
      <c r="K3" t="n">
        <v>18</v>
      </c>
      <c r="L3" t="n">
        <v>17</v>
      </c>
      <c r="M3" t="n">
        <v>3</v>
      </c>
      <c r="N3" t="n">
        <v>0</v>
      </c>
      <c r="O3" t="n">
        <v>0</v>
      </c>
      <c r="P3" t="n">
        <v>0</v>
      </c>
      <c r="Q3" t="n">
        <v>20</v>
      </c>
      <c r="R3" t="n">
        <v>3</v>
      </c>
      <c r="S3" t="n">
        <v>42</v>
      </c>
      <c r="T3" t="n">
        <v>236</v>
      </c>
      <c r="U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V3">
        <f>HYPERLINK("https://klasma.github.io/Logging_0115/artfynd/A 50183-2023 artfynd.xlsx", "A 50183-2023")</f>
        <v/>
      </c>
      <c r="W3">
        <f>HYPERLINK("https://klasma.github.io/Logging_0115/kartor/A 50183-2023 karta.png", "A 50183-2023")</f>
        <v/>
      </c>
      <c r="X3">
        <f>HYPERLINK("https://klasma.github.io/Logging_0115/knärot/A 50183-2023 karta knärot.png", "A 50183-2023")</f>
        <v/>
      </c>
      <c r="Y3">
        <f>HYPERLINK("https://klasma.github.io/Logging_0115/klagomål/A 50183-2023 FSC-klagomål.docx", "A 50183-2023")</f>
        <v/>
      </c>
      <c r="Z3">
        <f>HYPERLINK("https://klasma.github.io/Logging_0115/klagomålsmail/A 50183-2023 FSC-klagomål mail.docx", "A 50183-2023")</f>
        <v/>
      </c>
      <c r="AA3">
        <f>HYPERLINK("https://klasma.github.io/Logging_0115/tillsyn/A 50183-2023 tillsynsbegäran.docx", "A 50183-2023")</f>
        <v/>
      </c>
      <c r="AB3">
        <f>HYPERLINK("https://klasma.github.io/Logging_0115/tillsynsmail/A 50183-2023 tillsynsbegäran mail.docx", "A 50183-2023")</f>
        <v/>
      </c>
      <c r="AC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46219</v>
      </c>
      <c r="F4" t="inlineStr">
        <is>
          <t>STOCKHOLMS LÄN</t>
        </is>
      </c>
      <c r="G4" t="inlineStr">
        <is>
          <t>VALLENTUNA</t>
        </is>
      </c>
      <c r="I4" t="n">
        <v>29.3</v>
      </c>
      <c r="J4" t="n">
        <v>11</v>
      </c>
      <c r="K4" t="n">
        <v>9</v>
      </c>
      <c r="L4" t="n">
        <v>8</v>
      </c>
      <c r="M4" t="n">
        <v>2</v>
      </c>
      <c r="N4" t="n">
        <v>0</v>
      </c>
      <c r="O4" t="n">
        <v>0</v>
      </c>
      <c r="P4" t="n">
        <v>0</v>
      </c>
      <c r="Q4" t="n">
        <v>10</v>
      </c>
      <c r="R4" t="n">
        <v>2</v>
      </c>
      <c r="S4" t="n">
        <v>26</v>
      </c>
      <c r="T4" t="n">
        <v>94</v>
      </c>
      <c r="U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V4">
        <f>HYPERLINK("https://klasma.github.io/Logging_0115/artfynd/A 15530-2024 artfynd.xlsx", "A 15530-2024")</f>
        <v/>
      </c>
      <c r="W4">
        <f>HYPERLINK("https://klasma.github.io/Logging_0115/kartor/A 15530-2024 karta.png", "A 15530-2024")</f>
        <v/>
      </c>
      <c r="X4">
        <f>HYPERLINK("https://klasma.github.io/Logging_0115/knärot/A 15530-2024 karta knärot.png", "A 15530-2024")</f>
        <v/>
      </c>
      <c r="Y4">
        <f>HYPERLINK("https://klasma.github.io/Logging_0115/klagomål/A 15530-2024 FSC-klagomål.docx", "A 15530-2024")</f>
        <v/>
      </c>
      <c r="Z4">
        <f>HYPERLINK("https://klasma.github.io/Logging_0115/klagomålsmail/A 15530-2024 FSC-klagomål mail.docx", "A 15530-2024")</f>
        <v/>
      </c>
      <c r="AA4">
        <f>HYPERLINK("https://klasma.github.io/Logging_0115/tillsyn/A 15530-2024 tillsynsbegäran.docx", "A 15530-2024")</f>
        <v/>
      </c>
      <c r="AB4">
        <f>HYPERLINK("https://klasma.github.io/Logging_0115/tillsynsmail/A 15530-2024 tillsynsbegäran mail.docx", "A 15530-2024")</f>
        <v/>
      </c>
      <c r="AC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46219</v>
      </c>
      <c r="F5" t="inlineStr">
        <is>
          <t>STOCKHOLMS LÄN</t>
        </is>
      </c>
      <c r="G5" t="inlineStr">
        <is>
          <t>VALLENTUNA</t>
        </is>
      </c>
      <c r="I5" t="n">
        <v>4.9</v>
      </c>
      <c r="J5" t="n">
        <v>7</v>
      </c>
      <c r="K5" t="n">
        <v>6</v>
      </c>
      <c r="L5" t="n">
        <v>3</v>
      </c>
      <c r="M5" t="n">
        <v>2</v>
      </c>
      <c r="N5" t="n">
        <v>0</v>
      </c>
      <c r="O5" t="n">
        <v>0</v>
      </c>
      <c r="P5" t="n">
        <v>0</v>
      </c>
      <c r="Q5" t="n">
        <v>5</v>
      </c>
      <c r="R5" t="n">
        <v>2</v>
      </c>
      <c r="S5" t="n">
        <v>16</v>
      </c>
      <c r="T5" t="n">
        <v>46</v>
      </c>
      <c r="U5" s="2" t="inlineStr">
        <is>
          <t>Garnlav
Knärot
Talltita
Ullticka
Vedskivlav
Björksplintborre
Blodticka
Flagellkvastmossa
Jättesvampmal
Mindre märgborre
Vedticka
Mattlummer
Spillkråka
Tjäder
Fläcknycklar
Revlummer</t>
        </is>
      </c>
      <c r="V5">
        <f>HYPERLINK("https://klasma.github.io/Logging_0115/artfynd/A 55825-2023 artfynd.xlsx", "A 55825-2023")</f>
        <v/>
      </c>
      <c r="W5">
        <f>HYPERLINK("https://klasma.github.io/Logging_0115/kartor/A 55825-2023 karta.png", "A 55825-2023")</f>
        <v/>
      </c>
      <c r="X5">
        <f>HYPERLINK("https://klasma.github.io/Logging_0115/knärot/A 55825-2023 karta knärot.png", "A 55825-2023")</f>
        <v/>
      </c>
      <c r="Y5">
        <f>HYPERLINK("https://klasma.github.io/Logging_0115/klagomål/A 55825-2023 FSC-klagomål.docx", "A 55825-2023")</f>
        <v/>
      </c>
      <c r="Z5">
        <f>HYPERLINK("https://klasma.github.io/Logging_0115/klagomålsmail/A 55825-2023 FSC-klagomål mail.docx", "A 55825-2023")</f>
        <v/>
      </c>
      <c r="AA5">
        <f>HYPERLINK("https://klasma.github.io/Logging_0115/tillsyn/A 55825-2023 tillsynsbegäran.docx", "A 55825-2023")</f>
        <v/>
      </c>
      <c r="AB5">
        <f>HYPERLINK("https://klasma.github.io/Logging_0115/tillsynsmail/A 55825-2023 tillsynsbegäran mail.docx", "A 55825-2023")</f>
        <v/>
      </c>
      <c r="AC5">
        <f>HYPERLINK("https://klasma.github.io/Logging_0115/fåglar/A 55825-2023 prioriterade fågelarter.docx", "A 55825-2023")</f>
        <v/>
      </c>
    </row>
    <row r="6" ht="15" customHeight="1">
      <c r="A6" t="inlineStr">
        <is>
          <t>A 50718-2023</t>
        </is>
      </c>
      <c r="B6" t="inlineStr">
        <is>
          <t>avverkningsanmälan</t>
        </is>
      </c>
      <c r="C6" t="inlineStr">
        <is>
          <t>Föryngringsavverkning</t>
        </is>
      </c>
      <c r="D6" s="1" t="n">
        <v>45217</v>
      </c>
      <c r="E6" s="1" t="n">
        <v>46219</v>
      </c>
      <c r="F6" t="inlineStr">
        <is>
          <t>STOCKHOLMS LÄN</t>
        </is>
      </c>
      <c r="G6" t="inlineStr">
        <is>
          <t>VALLENTUNA</t>
        </is>
      </c>
      <c r="I6" t="n">
        <v>3.6</v>
      </c>
      <c r="J6" t="n">
        <v>4</v>
      </c>
      <c r="K6" t="n">
        <v>9</v>
      </c>
      <c r="L6" t="n">
        <v>4</v>
      </c>
      <c r="M6" t="n">
        <v>0</v>
      </c>
      <c r="N6" t="n">
        <v>0</v>
      </c>
      <c r="O6" t="n">
        <v>0</v>
      </c>
      <c r="P6" t="n">
        <v>0</v>
      </c>
      <c r="Q6" t="n">
        <v>4</v>
      </c>
      <c r="R6" t="n">
        <v>0</v>
      </c>
      <c r="S6" t="n">
        <v>16</v>
      </c>
      <c r="T6" t="n">
        <v>43</v>
      </c>
      <c r="U6" s="2" t="inlineStr">
        <is>
          <t>Rosenticka
Tallticka
Ullticka
Vedtrappmossa
Brandticka
Bronshjon
Grovticka
Grön sköldmossa
Grönpyrola
Gulnål
Rödgul trumpetsvamp
Trådticka
Vedticka
Blåsippa
Spillkråka
Revlummer</t>
        </is>
      </c>
      <c r="V6">
        <f>HYPERLINK("https://klasma.github.io/Logging_0115/artfynd/A 50718-2023 artfynd.xlsx", "A 50718-2023")</f>
        <v/>
      </c>
      <c r="W6">
        <f>HYPERLINK("https://klasma.github.io/Logging_0115/kartor/A 50718-2023 karta.png", "A 50718-2023")</f>
        <v/>
      </c>
      <c r="Y6">
        <f>HYPERLINK("https://klasma.github.io/Logging_0115/klagomål/A 50718-2023 FSC-klagomål.docx", "A 50718-2023")</f>
        <v/>
      </c>
      <c r="Z6">
        <f>HYPERLINK("https://klasma.github.io/Logging_0115/klagomålsmail/A 50718-2023 FSC-klagomål mail.docx", "A 50718-2023")</f>
        <v/>
      </c>
      <c r="AA6">
        <f>HYPERLINK("https://klasma.github.io/Logging_0115/tillsyn/A 50718-2023 tillsynsbegäran.docx", "A 50718-2023")</f>
        <v/>
      </c>
      <c r="AB6">
        <f>HYPERLINK("https://klasma.github.io/Logging_0115/tillsynsmail/A 50718-2023 tillsynsbegäran mail.docx", "A 50718-2023")</f>
        <v/>
      </c>
      <c r="AC6">
        <f>HYPERLINK("https://klasma.github.io/Logging_0115/fåglar/A 50718-2023 prioriterade fågelarter.docx", "A 50718-2023")</f>
        <v/>
      </c>
    </row>
    <row r="7" ht="15" customHeight="1">
      <c r="A7" t="inlineStr">
        <is>
          <t>A 42922-2023</t>
        </is>
      </c>
      <c r="B7" t="inlineStr">
        <is>
          <t>avverkningsanmälan</t>
        </is>
      </c>
      <c r="C7" t="inlineStr">
        <is>
          <t>Föryngringsavverkning</t>
        </is>
      </c>
      <c r="D7" s="1" t="n">
        <v>45182</v>
      </c>
      <c r="E7" s="1" t="n">
        <v>46219</v>
      </c>
      <c r="F7" t="inlineStr">
        <is>
          <t>STOCKHOLMS LÄN</t>
        </is>
      </c>
      <c r="G7" t="inlineStr">
        <is>
          <t>VALLENTUNA</t>
        </is>
      </c>
      <c r="I7" t="n">
        <v>4.2</v>
      </c>
      <c r="J7" t="n">
        <v>4</v>
      </c>
      <c r="K7" t="n">
        <v>7</v>
      </c>
      <c r="L7" t="n">
        <v>5</v>
      </c>
      <c r="M7" t="n">
        <v>1</v>
      </c>
      <c r="N7" t="n">
        <v>0</v>
      </c>
      <c r="O7" t="n">
        <v>0</v>
      </c>
      <c r="P7" t="n">
        <v>0</v>
      </c>
      <c r="Q7" t="n">
        <v>6</v>
      </c>
      <c r="R7" t="n">
        <v>1</v>
      </c>
      <c r="S7" t="n">
        <v>16</v>
      </c>
      <c r="T7" t="n">
        <v>47</v>
      </c>
      <c r="U7" s="2" t="inlineStr">
        <is>
          <t>Ostticka
Fjällig taggsvamp s.str.
Motaggsvamp
Orange taggsvamp
Talltita
Tjockfotad fingersvamp
Björksplintborre
Granbarkgnagare
Grönpyrola
Mindre märgborre
Rödgul trumpetsvamp
Vedticka
Vågbandad barkbock
Blåsippa
Spillkråka
Kungsfågel</t>
        </is>
      </c>
      <c r="V7">
        <f>HYPERLINK("https://klasma.github.io/Logging_0115/artfynd/A 42922-2023 artfynd.xlsx", "A 42922-2023")</f>
        <v/>
      </c>
      <c r="W7">
        <f>HYPERLINK("https://klasma.github.io/Logging_0115/kartor/A 42922-2023 karta.png", "A 42922-2023")</f>
        <v/>
      </c>
      <c r="Y7">
        <f>HYPERLINK("https://klasma.github.io/Logging_0115/klagomål/A 42922-2023 FSC-klagomål.docx", "A 42922-2023")</f>
        <v/>
      </c>
      <c r="Z7">
        <f>HYPERLINK("https://klasma.github.io/Logging_0115/klagomålsmail/A 42922-2023 FSC-klagomål mail.docx", "A 42922-2023")</f>
        <v/>
      </c>
      <c r="AA7">
        <f>HYPERLINK("https://klasma.github.io/Logging_0115/tillsyn/A 42922-2023 tillsynsbegäran.docx", "A 42922-2023")</f>
        <v/>
      </c>
      <c r="AB7">
        <f>HYPERLINK("https://klasma.github.io/Logging_0115/tillsynsmail/A 42922-2023 tillsynsbegäran mail.docx", "A 42922-2023")</f>
        <v/>
      </c>
      <c r="AC7">
        <f>HYPERLINK("https://klasma.github.io/Logging_0115/fåglar/A 42922-2023 prioriterade fågelarter.docx", "A 42922-2023")</f>
        <v/>
      </c>
    </row>
    <row r="8" ht="15" customHeight="1">
      <c r="A8" t="inlineStr">
        <is>
          <t>A 61763-2025</t>
        </is>
      </c>
      <c r="B8" t="inlineStr">
        <is>
          <t>avverkningsanmälan</t>
        </is>
      </c>
      <c r="C8" t="inlineStr">
        <is>
          <t>Föryngringsavverkning</t>
        </is>
      </c>
      <c r="D8" s="1" t="n">
        <v>46002</v>
      </c>
      <c r="E8" s="1" t="n">
        <v>46219</v>
      </c>
      <c r="F8" t="inlineStr">
        <is>
          <t>STOCKHOLMS LÄN</t>
        </is>
      </c>
      <c r="G8" t="inlineStr">
        <is>
          <t>VALLENTUNA</t>
        </is>
      </c>
      <c r="I8" t="n">
        <v>6.9</v>
      </c>
      <c r="J8" t="n">
        <v>2</v>
      </c>
      <c r="K8" t="n">
        <v>5</v>
      </c>
      <c r="L8" t="n">
        <v>2</v>
      </c>
      <c r="M8" t="n">
        <v>1</v>
      </c>
      <c r="N8" t="n">
        <v>0</v>
      </c>
      <c r="O8" t="n">
        <v>0</v>
      </c>
      <c r="P8" t="n">
        <v>0</v>
      </c>
      <c r="Q8" t="n">
        <v>3</v>
      </c>
      <c r="R8" t="n">
        <v>1</v>
      </c>
      <c r="S8" t="n">
        <v>9</v>
      </c>
      <c r="T8" t="n">
        <v>9</v>
      </c>
      <c r="U8" s="2" t="inlineStr">
        <is>
          <t>Gränsticka
Dunmossa
Talltita
Björksplintborre
Blomkålssvamp
Mörk husmossa
Stubbspretmossa
Vågbandad barkbock
Kungsfågel</t>
        </is>
      </c>
      <c r="V8">
        <f>HYPERLINK("https://klasma.github.io/Logging_0115/artfynd/A 61763-2025 artfynd.xlsx", "A 61763-2025")</f>
        <v/>
      </c>
      <c r="W8">
        <f>HYPERLINK("https://klasma.github.io/Logging_0115/kartor/A 61763-2025 karta.png", "A 61763-2025")</f>
        <v/>
      </c>
      <c r="Y8">
        <f>HYPERLINK("https://klasma.github.io/Logging_0115/klagomål/A 61763-2025 FSC-klagomål.docx", "A 61763-2025")</f>
        <v/>
      </c>
      <c r="Z8">
        <f>HYPERLINK("https://klasma.github.io/Logging_0115/klagomålsmail/A 61763-2025 FSC-klagomål mail.docx", "A 61763-2025")</f>
        <v/>
      </c>
      <c r="AA8">
        <f>HYPERLINK("https://klasma.github.io/Logging_0115/tillsyn/A 61763-2025 tillsynsbegäran.docx", "A 61763-2025")</f>
        <v/>
      </c>
      <c r="AB8">
        <f>HYPERLINK("https://klasma.github.io/Logging_0115/tillsynsmail/A 61763-2025 tillsynsbegäran mail.docx", "A 61763-2025")</f>
        <v/>
      </c>
      <c r="AC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46219</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s="2" t="inlineStr">
        <is>
          <t>Grönsångare
Talltita
Aprikosfingersvamp
Mindre märgborre
Mönjevaxing
Nästrot
Tibast
Blåsippa
Tjäder</t>
        </is>
      </c>
      <c r="V9">
        <f>HYPERLINK("https://klasma.github.io/Logging_0115/artfynd/A 50435-2024 artfynd.xlsx", "A 50435-2024")</f>
        <v/>
      </c>
      <c r="W9">
        <f>HYPERLINK("https://klasma.github.io/Logging_0115/kartor/A 50435-2024 karta.png", "A 50435-2024")</f>
        <v/>
      </c>
      <c r="Y9">
        <f>HYPERLINK("https://klasma.github.io/Logging_0115/klagomål/A 50435-2024 FSC-klagomål.docx", "A 50435-2024")</f>
        <v/>
      </c>
      <c r="Z9">
        <f>HYPERLINK("https://klasma.github.io/Logging_0115/klagomålsmail/A 50435-2024 FSC-klagomål mail.docx", "A 50435-2024")</f>
        <v/>
      </c>
      <c r="AA9">
        <f>HYPERLINK("https://klasma.github.io/Logging_0115/tillsyn/A 50435-2024 tillsynsbegäran.docx", "A 50435-2024")</f>
        <v/>
      </c>
      <c r="AB9">
        <f>HYPERLINK("https://klasma.github.io/Logging_0115/tillsynsmail/A 50435-2024 tillsynsbegäran mail.docx", "A 50435-2024")</f>
        <v/>
      </c>
      <c r="AC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46219</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s="2" t="inlineStr">
        <is>
          <t>Gränsticka
Fjällig taggsvamp s.str.
Orange taggsvamp
Skarp dropptaggsvamp
Gullgröppa
Rödgul trumpetsvamp
Vedticka</t>
        </is>
      </c>
      <c r="V10">
        <f>HYPERLINK("https://klasma.github.io/Logging_0115/artfynd/A 25512-2022 artfynd.xlsx", "A 25512-2022")</f>
        <v/>
      </c>
      <c r="W10">
        <f>HYPERLINK("https://klasma.github.io/Logging_0115/kartor/A 25512-2022 karta.png", "A 25512-2022")</f>
        <v/>
      </c>
      <c r="Y10">
        <f>HYPERLINK("https://klasma.github.io/Logging_0115/klagomål/A 25512-2022 FSC-klagomål.docx", "A 25512-2022")</f>
        <v/>
      </c>
      <c r="Z10">
        <f>HYPERLINK("https://klasma.github.io/Logging_0115/klagomålsmail/A 25512-2022 FSC-klagomål mail.docx", "A 25512-2022")</f>
        <v/>
      </c>
      <c r="AA10">
        <f>HYPERLINK("https://klasma.github.io/Logging_0115/tillsyn/A 25512-2022 tillsynsbegäran.docx", "A 25512-2022")</f>
        <v/>
      </c>
      <c r="AB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46219</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s="2" t="inlineStr">
        <is>
          <t>Knärot
Björksplintborre
Blåmossa
Bronshjon
Vedticka
Spillkråka</t>
        </is>
      </c>
      <c r="V11">
        <f>HYPERLINK("https://klasma.github.io/Logging_0115/artfynd/A 8500-2022 artfynd.xlsx", "A 8500-2022")</f>
        <v/>
      </c>
      <c r="W11">
        <f>HYPERLINK("https://klasma.github.io/Logging_0115/kartor/A 8500-2022 karta.png", "A 8500-2022")</f>
        <v/>
      </c>
      <c r="X11">
        <f>HYPERLINK("https://klasma.github.io/Logging_0115/knärot/A 8500-2022 karta knärot.png", "A 8500-2022")</f>
        <v/>
      </c>
      <c r="Y11">
        <f>HYPERLINK("https://klasma.github.io/Logging_0115/klagomål/A 8500-2022 FSC-klagomål.docx", "A 8500-2022")</f>
        <v/>
      </c>
      <c r="Z11">
        <f>HYPERLINK("https://klasma.github.io/Logging_0115/klagomålsmail/A 8500-2022 FSC-klagomål mail.docx", "A 8500-2022")</f>
        <v/>
      </c>
      <c r="AA11">
        <f>HYPERLINK("https://klasma.github.io/Logging_0115/tillsyn/A 8500-2022 tillsynsbegäran.docx", "A 8500-2022")</f>
        <v/>
      </c>
      <c r="AB11">
        <f>HYPERLINK("https://klasma.github.io/Logging_0115/tillsynsmail/A 8500-2022 tillsynsbegäran mail.docx", "A 8500-2022")</f>
        <v/>
      </c>
      <c r="AC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46219</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s="2" t="inlineStr">
        <is>
          <t>Denisespindling
Kryddspindling
Motaggsvamp
Orange taggsvamp
Anisspindling
Brandticka</t>
        </is>
      </c>
      <c r="V12">
        <f>HYPERLINK("https://klasma.github.io/Logging_0115/artfynd/A 62402-2022 artfynd.xlsx", "A 62402-2022")</f>
        <v/>
      </c>
      <c r="W12">
        <f>HYPERLINK("https://klasma.github.io/Logging_0115/kartor/A 62402-2022 karta.png", "A 62402-2022")</f>
        <v/>
      </c>
      <c r="Y12">
        <f>HYPERLINK("https://klasma.github.io/Logging_0115/klagomål/A 62402-2022 FSC-klagomål.docx", "A 62402-2022")</f>
        <v/>
      </c>
      <c r="Z12">
        <f>HYPERLINK("https://klasma.github.io/Logging_0115/klagomålsmail/A 62402-2022 FSC-klagomål mail.docx", "A 62402-2022")</f>
        <v/>
      </c>
      <c r="AA12">
        <f>HYPERLINK("https://klasma.github.io/Logging_0115/tillsyn/A 62402-2022 tillsynsbegäran.docx", "A 62402-2022")</f>
        <v/>
      </c>
      <c r="AB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46219</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s="2" t="inlineStr">
        <is>
          <t>Lunglav
Ullticka
Vårärt
Barkticka
Mindre märgborre
Stuplav</t>
        </is>
      </c>
      <c r="V13">
        <f>HYPERLINK("https://klasma.github.io/Logging_0115/artfynd/S 3063-2024 artfynd.xlsx", "S 3063-2024")</f>
        <v/>
      </c>
      <c r="W13">
        <f>HYPERLINK("https://klasma.github.io/Logging_0115/kartor/S 3063-2024 karta.png", "S 3063-2024")</f>
        <v/>
      </c>
      <c r="Y13">
        <f>HYPERLINK("https://klasma.github.io/Logging_0115/klagomål/S 3063-2024 FSC-klagomål.docx", "S 3063-2024")</f>
        <v/>
      </c>
      <c r="Z13">
        <f>HYPERLINK("https://klasma.github.io/Logging_0115/klagomålsmail/S 3063-2024 FSC-klagomål mail.docx", "S 3063-2024")</f>
        <v/>
      </c>
      <c r="AA13">
        <f>HYPERLINK("https://klasma.github.io/Logging_0115/tillsyn/S 3063-2024 tillsynsbegäran.docx", "S 3063-2024")</f>
        <v/>
      </c>
      <c r="AB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46219</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s="2" t="inlineStr">
        <is>
          <t>Motaggsvamp
Mindre märgborre
Vågbandad barkbock
Spillkråka
Grönsiska</t>
        </is>
      </c>
      <c r="V14">
        <f>HYPERLINK("https://klasma.github.io/Logging_0115/artfynd/A 17342-2025 artfynd.xlsx", "A 17342-2025")</f>
        <v/>
      </c>
      <c r="W14">
        <f>HYPERLINK("https://klasma.github.io/Logging_0115/kartor/A 17342-2025 karta.png", "A 17342-2025")</f>
        <v/>
      </c>
      <c r="Y14">
        <f>HYPERLINK("https://klasma.github.io/Logging_0115/klagomål/A 17342-2025 FSC-klagomål.docx", "A 17342-2025")</f>
        <v/>
      </c>
      <c r="Z14">
        <f>HYPERLINK("https://klasma.github.io/Logging_0115/klagomålsmail/A 17342-2025 FSC-klagomål mail.docx", "A 17342-2025")</f>
        <v/>
      </c>
      <c r="AA14">
        <f>HYPERLINK("https://klasma.github.io/Logging_0115/tillsyn/A 17342-2025 tillsynsbegäran.docx", "A 17342-2025")</f>
        <v/>
      </c>
      <c r="AB14">
        <f>HYPERLINK("https://klasma.github.io/Logging_0115/tillsynsmail/A 17342-2025 tillsynsbegäran mail.docx", "A 17342-2025")</f>
        <v/>
      </c>
      <c r="AC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46219</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s="2" t="inlineStr">
        <is>
          <t>Hussvala
Berggräsfjäril
Mindre hackspett</t>
        </is>
      </c>
      <c r="V15">
        <f>HYPERLINK("https://klasma.github.io/Logging_0115/artfynd/A 14508-2024 artfynd.xlsx", "A 14508-2024")</f>
        <v/>
      </c>
      <c r="W15">
        <f>HYPERLINK("https://klasma.github.io/Logging_0115/kartor/A 14508-2024 karta.png", "A 14508-2024")</f>
        <v/>
      </c>
      <c r="Y15">
        <f>HYPERLINK("https://klasma.github.io/Logging_0115/klagomål/A 14508-2024 FSC-klagomål.docx", "A 14508-2024")</f>
        <v/>
      </c>
      <c r="Z15">
        <f>HYPERLINK("https://klasma.github.io/Logging_0115/klagomålsmail/A 14508-2024 FSC-klagomål mail.docx", "A 14508-2024")</f>
        <v/>
      </c>
      <c r="AA15">
        <f>HYPERLINK("https://klasma.github.io/Logging_0115/tillsyn/A 14508-2024 tillsynsbegäran.docx", "A 14508-2024")</f>
        <v/>
      </c>
      <c r="AB15">
        <f>HYPERLINK("https://klasma.github.io/Logging_0115/tillsynsmail/A 14508-2024 tillsynsbegäran mail.docx", "A 14508-2024")</f>
        <v/>
      </c>
      <c r="AC15">
        <f>HYPERLINK("https://klasma.github.io/Logging_0115/fåglar/A 14508-2024 prioriterade fågelarter.docx", "A 14508-2024")</f>
        <v/>
      </c>
    </row>
    <row r="16" ht="15" customHeight="1">
      <c r="A16" t="inlineStr">
        <is>
          <t>A 37456-2023</t>
        </is>
      </c>
      <c r="B16" t="inlineStr">
        <is>
          <t>avverkningsanmälan</t>
        </is>
      </c>
      <c r="C16" t="inlineStr">
        <is>
          <t>Föryngringsavverkning</t>
        </is>
      </c>
      <c r="D16" s="1" t="n">
        <v>45156</v>
      </c>
      <c r="E16" s="1" t="n">
        <v>46219</v>
      </c>
      <c r="F16" t="inlineStr">
        <is>
          <t>STOCKHOLMS LÄN</t>
        </is>
      </c>
      <c r="G16" t="inlineStr">
        <is>
          <t>VALLENTUNA</t>
        </is>
      </c>
      <c r="H16" t="inlineStr">
        <is>
          <t>Övriga Aktiebolag</t>
        </is>
      </c>
      <c r="I16" t="n">
        <v>3.3</v>
      </c>
      <c r="J16" t="n">
        <v>1</v>
      </c>
      <c r="K16" t="n">
        <v>0</v>
      </c>
      <c r="L16" t="n">
        <v>2</v>
      </c>
      <c r="M16" t="n">
        <v>0</v>
      </c>
      <c r="N16" t="n">
        <v>0</v>
      </c>
      <c r="O16" t="n">
        <v>0</v>
      </c>
      <c r="P16" t="n">
        <v>0</v>
      </c>
      <c r="Q16" t="n">
        <v>2</v>
      </c>
      <c r="R16" t="n">
        <v>0</v>
      </c>
      <c r="S16" t="n">
        <v>3</v>
      </c>
      <c r="T16" t="n">
        <v>4</v>
      </c>
      <c r="U16" s="2" t="inlineStr">
        <is>
          <t>Skarp dropptaggsvamp
Tjockfotad fingersvamp
Blåsippa</t>
        </is>
      </c>
      <c r="V16">
        <f>HYPERLINK("https://klasma.github.io/Logging_0115/artfynd/A 37456-2023 artfynd.xlsx", "A 37456-2023")</f>
        <v/>
      </c>
      <c r="W16">
        <f>HYPERLINK("https://klasma.github.io/Logging_0115/kartor/A 37456-2023 karta.png", "A 37456-2023")</f>
        <v/>
      </c>
      <c r="Y16">
        <f>HYPERLINK("https://klasma.github.io/Logging_0115/klagomål/A 37456-2023 FSC-klagomål.docx", "A 37456-2023")</f>
        <v/>
      </c>
      <c r="Z16">
        <f>HYPERLINK("https://klasma.github.io/Logging_0115/klagomålsmail/A 37456-2023 FSC-klagomål mail.docx", "A 37456-2023")</f>
        <v/>
      </c>
      <c r="AA16">
        <f>HYPERLINK("https://klasma.github.io/Logging_0115/tillsyn/A 37456-2023 tillsynsbegäran.docx", "A 37456-2023")</f>
        <v/>
      </c>
      <c r="AB16">
        <f>HYPERLINK("https://klasma.github.io/Logging_0115/tillsynsmail/A 37456-2023 tillsynsbegäran mail.docx", "A 37456-2023")</f>
        <v/>
      </c>
    </row>
    <row r="17" ht="15" customHeight="1">
      <c r="A17" t="inlineStr">
        <is>
          <t>A 63543-2025</t>
        </is>
      </c>
      <c r="B17" t="inlineStr">
        <is>
          <t>avverkningsanmälan</t>
        </is>
      </c>
      <c r="C17" t="inlineStr">
        <is>
          <t>Föryngringsavverkning</t>
        </is>
      </c>
      <c r="D17" s="1" t="n">
        <v>46013</v>
      </c>
      <c r="E17" s="1" t="n">
        <v>46219</v>
      </c>
      <c r="F17" t="inlineStr">
        <is>
          <t>STOCKHOLMS LÄN</t>
        </is>
      </c>
      <c r="G17" t="inlineStr">
        <is>
          <t>VALLENTUNA</t>
        </is>
      </c>
      <c r="I17" t="n">
        <v>3.4</v>
      </c>
      <c r="J17" t="n">
        <v>0</v>
      </c>
      <c r="K17" t="n">
        <v>1</v>
      </c>
      <c r="L17" t="n">
        <v>2</v>
      </c>
      <c r="M17" t="n">
        <v>0</v>
      </c>
      <c r="N17" t="n">
        <v>0</v>
      </c>
      <c r="O17" t="n">
        <v>0</v>
      </c>
      <c r="P17" t="n">
        <v>0</v>
      </c>
      <c r="Q17" t="n">
        <v>2</v>
      </c>
      <c r="R17" t="n">
        <v>0</v>
      </c>
      <c r="S17" t="n">
        <v>3</v>
      </c>
      <c r="T17" t="n">
        <v>3</v>
      </c>
      <c r="U17" s="2" t="inlineStr">
        <is>
          <t>Tallticka
Vedskivlav
Björksplintborre</t>
        </is>
      </c>
      <c r="V17">
        <f>HYPERLINK("https://klasma.github.io/Logging_0115/artfynd/A 63543-2025 artfynd.xlsx", "A 63543-2025")</f>
        <v/>
      </c>
      <c r="W17">
        <f>HYPERLINK("https://klasma.github.io/Logging_0115/kartor/A 63543-2025 karta.png", "A 63543-2025")</f>
        <v/>
      </c>
      <c r="Y17">
        <f>HYPERLINK("https://klasma.github.io/Logging_0115/klagomål/A 63543-2025 FSC-klagomål.docx", "A 63543-2025")</f>
        <v/>
      </c>
      <c r="Z17">
        <f>HYPERLINK("https://klasma.github.io/Logging_0115/klagomålsmail/A 63543-2025 FSC-klagomål mail.docx", "A 63543-2025")</f>
        <v/>
      </c>
      <c r="AA17">
        <f>HYPERLINK("https://klasma.github.io/Logging_0115/tillsyn/A 63543-2025 tillsynsbegäran.docx", "A 63543-2025")</f>
        <v/>
      </c>
      <c r="AB17">
        <f>HYPERLINK("https://klasma.github.io/Logging_0115/tillsynsmail/A 63543-2025 tillsynsbegäran mail.docx", "A 63543-2025")</f>
        <v/>
      </c>
    </row>
    <row r="18" ht="15" customHeight="1">
      <c r="A18" t="inlineStr">
        <is>
          <t>A 48717-2024</t>
        </is>
      </c>
      <c r="B18" t="inlineStr">
        <is>
          <t>avverkningsanmälan</t>
        </is>
      </c>
      <c r="C18" t="inlineStr">
        <is>
          <t>Föryngringsavverkning</t>
        </is>
      </c>
      <c r="D18" s="1" t="n">
        <v>45593</v>
      </c>
      <c r="E18" s="1" t="n">
        <v>46219</v>
      </c>
      <c r="F18" t="inlineStr">
        <is>
          <t>STOCKHOLMS LÄN</t>
        </is>
      </c>
      <c r="G18" t="inlineStr">
        <is>
          <t>VALLENTUNA</t>
        </is>
      </c>
      <c r="I18" t="n">
        <v>6.2</v>
      </c>
      <c r="J18" t="n">
        <v>2</v>
      </c>
      <c r="K18" t="n">
        <v>0</v>
      </c>
      <c r="L18" t="n">
        <v>1</v>
      </c>
      <c r="M18" t="n">
        <v>0</v>
      </c>
      <c r="N18" t="n">
        <v>0</v>
      </c>
      <c r="O18" t="n">
        <v>0</v>
      </c>
      <c r="P18" t="n">
        <v>0</v>
      </c>
      <c r="Q18" t="n">
        <v>1</v>
      </c>
      <c r="R18" t="n">
        <v>0</v>
      </c>
      <c r="S18" t="n">
        <v>3</v>
      </c>
      <c r="T18" t="n">
        <v>4</v>
      </c>
      <c r="U18" s="2" t="inlineStr">
        <is>
          <t>Ullticka
Tjäder
Kungsfågel</t>
        </is>
      </c>
      <c r="V18">
        <f>HYPERLINK("https://klasma.github.io/Logging_0115/artfynd/A 48717-2024 artfynd.xlsx", "A 48717-2024")</f>
        <v/>
      </c>
      <c r="W18">
        <f>HYPERLINK("https://klasma.github.io/Logging_0115/kartor/A 48717-2024 karta.png", "A 48717-2024")</f>
        <v/>
      </c>
      <c r="Y18">
        <f>HYPERLINK("https://klasma.github.io/Logging_0115/klagomål/A 48717-2024 FSC-klagomål.docx", "A 48717-2024")</f>
        <v/>
      </c>
      <c r="Z18">
        <f>HYPERLINK("https://klasma.github.io/Logging_0115/klagomålsmail/A 48717-2024 FSC-klagomål mail.docx", "A 48717-2024")</f>
        <v/>
      </c>
      <c r="AA18">
        <f>HYPERLINK("https://klasma.github.io/Logging_0115/tillsyn/A 48717-2024 tillsynsbegäran.docx", "A 48717-2024")</f>
        <v/>
      </c>
      <c r="AB18">
        <f>HYPERLINK("https://klasma.github.io/Logging_0115/tillsynsmail/A 48717-2024 tillsynsbegäran mail.docx", "A 48717-2024")</f>
        <v/>
      </c>
      <c r="AC18">
        <f>HYPERLINK("https://klasma.github.io/Logging_0115/fåglar/A 48717-2024 prioriterade fågelarter.docx", "A 48717-2024")</f>
        <v/>
      </c>
    </row>
    <row r="19" ht="15" customHeight="1">
      <c r="A19" t="inlineStr">
        <is>
          <t>A 9745-2022</t>
        </is>
      </c>
      <c r="B19" t="inlineStr">
        <is>
          <t>avverkningsanmälan</t>
        </is>
      </c>
      <c r="C19" t="inlineStr">
        <is>
          <t>Föryngringsavverkning</t>
        </is>
      </c>
      <c r="D19" s="1" t="n">
        <v>44618</v>
      </c>
      <c r="E19" s="1" t="n">
        <v>46219</v>
      </c>
      <c r="F19" t="inlineStr">
        <is>
          <t>STOCKHOLMS LÄN</t>
        </is>
      </c>
      <c r="G19" t="inlineStr">
        <is>
          <t>VALLENTUNA</t>
        </is>
      </c>
      <c r="I19" t="n">
        <v>5.9</v>
      </c>
      <c r="J19" t="n">
        <v>1</v>
      </c>
      <c r="K19" t="n">
        <v>2</v>
      </c>
      <c r="L19" t="n">
        <v>0</v>
      </c>
      <c r="M19" t="n">
        <v>0</v>
      </c>
      <c r="N19" t="n">
        <v>0</v>
      </c>
      <c r="O19" t="n">
        <v>0</v>
      </c>
      <c r="P19" t="n">
        <v>0</v>
      </c>
      <c r="Q19" t="n">
        <v>0</v>
      </c>
      <c r="R19" t="n">
        <v>0</v>
      </c>
      <c r="S19" t="n">
        <v>3</v>
      </c>
      <c r="T19" t="n">
        <v>4</v>
      </c>
      <c r="U19" s="2" t="inlineStr">
        <is>
          <t>Björksplintborre
Vedticka
Spillkråka</t>
        </is>
      </c>
      <c r="V19">
        <f>HYPERLINK("https://klasma.github.io/Logging_0115/artfynd/A 9745-2022 artfynd.xlsx", "A 9745-2022")</f>
        <v/>
      </c>
      <c r="W19">
        <f>HYPERLINK("https://klasma.github.io/Logging_0115/kartor/A 9745-2022 karta.png", "A 9745-2022")</f>
        <v/>
      </c>
      <c r="Y19">
        <f>HYPERLINK("https://klasma.github.io/Logging_0115/klagomål/A 9745-2022 FSC-klagomål.docx", "A 9745-2022")</f>
        <v/>
      </c>
      <c r="Z19">
        <f>HYPERLINK("https://klasma.github.io/Logging_0115/klagomålsmail/A 9745-2022 FSC-klagomål mail.docx", "A 9745-2022")</f>
        <v/>
      </c>
      <c r="AA19">
        <f>HYPERLINK("https://klasma.github.io/Logging_0115/tillsyn/A 9745-2022 tillsynsbegäran.docx", "A 9745-2022")</f>
        <v/>
      </c>
      <c r="AB19">
        <f>HYPERLINK("https://klasma.github.io/Logging_0115/tillsynsmail/A 9745-2022 tillsynsbegäran mail.docx", "A 9745-2022")</f>
        <v/>
      </c>
      <c r="AC19">
        <f>HYPERLINK("https://klasma.github.io/Logging_0115/fåglar/A 9745-2022 prioriterade fågelarter.docx", "A 9745-2022")</f>
        <v/>
      </c>
    </row>
    <row r="20" ht="15" customHeight="1">
      <c r="A20" t="inlineStr">
        <is>
          <t>A 9807-2026</t>
        </is>
      </c>
      <c r="B20" t="inlineStr">
        <is>
          <t>avverkningsanmälan</t>
        </is>
      </c>
      <c r="C20" t="inlineStr">
        <is>
          <t>Avverkning för annat ändamål</t>
        </is>
      </c>
      <c r="D20" s="1" t="n">
        <v>46072</v>
      </c>
      <c r="E20" s="1" t="n">
        <v>46219</v>
      </c>
      <c r="F20" t="inlineStr">
        <is>
          <t>STOCKHOLMS LÄN</t>
        </is>
      </c>
      <c r="G20" t="inlineStr">
        <is>
          <t>VALLENTUNA</t>
        </is>
      </c>
      <c r="I20" t="n">
        <v>2.1</v>
      </c>
      <c r="J20" t="n">
        <v>3</v>
      </c>
      <c r="K20" t="n">
        <v>0</v>
      </c>
      <c r="L20" t="n">
        <v>1</v>
      </c>
      <c r="M20" t="n">
        <v>0</v>
      </c>
      <c r="N20" t="n">
        <v>0</v>
      </c>
      <c r="O20" t="n">
        <v>0</v>
      </c>
      <c r="P20" t="n">
        <v>0</v>
      </c>
      <c r="Q20" t="n">
        <v>1</v>
      </c>
      <c r="R20" t="n">
        <v>0</v>
      </c>
      <c r="S20" t="n">
        <v>3</v>
      </c>
      <c r="T20" t="n">
        <v>8</v>
      </c>
      <c r="U20" s="2" t="inlineStr">
        <is>
          <t>Järnsparv
Grönsiska
Kungsfågel</t>
        </is>
      </c>
      <c r="V20">
        <f>HYPERLINK("https://klasma.github.io/Logging_0115/artfynd/A 9807-2026 artfynd.xlsx", "A 9807-2026")</f>
        <v/>
      </c>
      <c r="W20">
        <f>HYPERLINK("https://klasma.github.io/Logging_0115/kartor/A 9807-2026 karta.png", "A 9807-2026")</f>
        <v/>
      </c>
      <c r="Y20">
        <f>HYPERLINK("https://klasma.github.io/Logging_0115/klagomål/A 9807-2026 FSC-klagomål.docx", "A 9807-2026")</f>
        <v/>
      </c>
      <c r="Z20">
        <f>HYPERLINK("https://klasma.github.io/Logging_0115/klagomålsmail/A 9807-2026 FSC-klagomål mail.docx", "A 9807-2026")</f>
        <v/>
      </c>
      <c r="AA20">
        <f>HYPERLINK("https://klasma.github.io/Logging_0115/tillsyn/A 9807-2026 tillsynsbegäran.docx", "A 9807-2026")</f>
        <v/>
      </c>
      <c r="AB20">
        <f>HYPERLINK("https://klasma.github.io/Logging_0115/tillsynsmail/A 9807-2026 tillsynsbegäran mail.docx", "A 9807-2026")</f>
        <v/>
      </c>
      <c r="AC20">
        <f>HYPERLINK("https://klasma.github.io/Logging_0115/fåglar/A 9807-2026 prioriterade fågelarter.docx", "A 9807-2026")</f>
        <v/>
      </c>
    </row>
    <row r="21" ht="15" customHeight="1">
      <c r="A21" t="inlineStr">
        <is>
          <t>A 60-2022</t>
        </is>
      </c>
      <c r="B21" t="inlineStr">
        <is>
          <t>avverkningsanmälan</t>
        </is>
      </c>
      <c r="C21" t="inlineStr">
        <is>
          <t>Föryngringsavverkning</t>
        </is>
      </c>
      <c r="D21" s="1" t="n">
        <v>44560</v>
      </c>
      <c r="E21" s="1" t="n">
        <v>46219</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s="2" t="inlineStr">
        <is>
          <t>Vårärt
Vätteros</t>
        </is>
      </c>
      <c r="V21">
        <f>HYPERLINK("https://klasma.github.io/Logging_0115/artfynd/A 60-2022 artfynd.xlsx", "A 60-2022")</f>
        <v/>
      </c>
      <c r="W21">
        <f>HYPERLINK("https://klasma.github.io/Logging_0115/kartor/A 60-2022 karta.png", "A 60-2022")</f>
        <v/>
      </c>
      <c r="Y21">
        <f>HYPERLINK("https://klasma.github.io/Logging_0115/klagomål/A 60-2022 FSC-klagomål.docx", "A 60-2022")</f>
        <v/>
      </c>
      <c r="Z21">
        <f>HYPERLINK("https://klasma.github.io/Logging_0115/klagomålsmail/A 60-2022 FSC-klagomål mail.docx", "A 60-2022")</f>
        <v/>
      </c>
      <c r="AA21">
        <f>HYPERLINK("https://klasma.github.io/Logging_0115/tillsyn/A 60-2022 tillsynsbegäran.docx", "A 60-2022")</f>
        <v/>
      </c>
      <c r="AB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46219</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s="2" t="inlineStr">
        <is>
          <t>Talltita
Tibast</t>
        </is>
      </c>
      <c r="V22">
        <f>HYPERLINK("https://klasma.github.io/Logging_0115/artfynd/A 70608-2021 artfynd.xlsx", "A 70608-2021")</f>
        <v/>
      </c>
      <c r="W22">
        <f>HYPERLINK("https://klasma.github.io/Logging_0115/kartor/A 70608-2021 karta.png", "A 70608-2021")</f>
        <v/>
      </c>
      <c r="Y22">
        <f>HYPERLINK("https://klasma.github.io/Logging_0115/klagomål/A 70608-2021 FSC-klagomål.docx", "A 70608-2021")</f>
        <v/>
      </c>
      <c r="Z22">
        <f>HYPERLINK("https://klasma.github.io/Logging_0115/klagomålsmail/A 70608-2021 FSC-klagomål mail.docx", "A 70608-2021")</f>
        <v/>
      </c>
      <c r="AA22">
        <f>HYPERLINK("https://klasma.github.io/Logging_0115/tillsyn/A 70608-2021 tillsynsbegäran.docx", "A 70608-2021")</f>
        <v/>
      </c>
      <c r="AB22">
        <f>HYPERLINK("https://klasma.github.io/Logging_0115/tillsynsmail/A 70608-2021 tillsynsbegäran mail.docx", "A 70608-2021")</f>
        <v/>
      </c>
      <c r="AC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46219</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s="2" t="inlineStr">
        <is>
          <t>Grönpyrola
Blåsippa</t>
        </is>
      </c>
      <c r="V23">
        <f>HYPERLINK("https://klasma.github.io/Logging_0115/artfynd/A 9445-2022 artfynd.xlsx", "A 9445-2022")</f>
        <v/>
      </c>
      <c r="W23">
        <f>HYPERLINK("https://klasma.github.io/Logging_0115/kartor/A 9445-2022 karta.png", "A 9445-2022")</f>
        <v/>
      </c>
      <c r="Y23">
        <f>HYPERLINK("https://klasma.github.io/Logging_0115/klagomål/A 9445-2022 FSC-klagomål.docx", "A 9445-2022")</f>
        <v/>
      </c>
      <c r="Z23">
        <f>HYPERLINK("https://klasma.github.io/Logging_0115/klagomålsmail/A 9445-2022 FSC-klagomål mail.docx", "A 9445-2022")</f>
        <v/>
      </c>
      <c r="AA23">
        <f>HYPERLINK("https://klasma.github.io/Logging_0115/tillsyn/A 9445-2022 tillsynsbegäran.docx", "A 9445-2022")</f>
        <v/>
      </c>
      <c r="AB23">
        <f>HYPERLINK("https://klasma.github.io/Logging_0115/tillsynsmail/A 9445-2022 tillsynsbegäran mail.docx", "A 9445-2022")</f>
        <v/>
      </c>
    </row>
    <row r="24" ht="15" customHeight="1">
      <c r="A24" t="inlineStr">
        <is>
          <t>A 34460-2023</t>
        </is>
      </c>
      <c r="B24" t="inlineStr">
        <is>
          <t>avverkningsanmälan</t>
        </is>
      </c>
      <c r="C24" t="inlineStr">
        <is>
          <t>Föryngringsavverkning</t>
        </is>
      </c>
      <c r="D24" s="1" t="n">
        <v>45139</v>
      </c>
      <c r="E24" s="1" t="n">
        <v>46219</v>
      </c>
      <c r="F24" t="inlineStr">
        <is>
          <t>STOCKHOLMS LÄN</t>
        </is>
      </c>
      <c r="G24" t="inlineStr">
        <is>
          <t>VALLENTUNA</t>
        </is>
      </c>
      <c r="I24" t="n">
        <v>1.7</v>
      </c>
      <c r="J24" t="n">
        <v>0</v>
      </c>
      <c r="K24" t="n">
        <v>0</v>
      </c>
      <c r="L24" t="n">
        <v>2</v>
      </c>
      <c r="M24" t="n">
        <v>0</v>
      </c>
      <c r="N24" t="n">
        <v>0</v>
      </c>
      <c r="O24" t="n">
        <v>0</v>
      </c>
      <c r="P24" t="n">
        <v>0</v>
      </c>
      <c r="Q24" t="n">
        <v>2</v>
      </c>
      <c r="R24" t="n">
        <v>0</v>
      </c>
      <c r="S24" t="n">
        <v>2</v>
      </c>
      <c r="T24" t="n">
        <v>2</v>
      </c>
      <c r="U24" s="2" t="inlineStr">
        <is>
          <t>Motaggsvamp
Orange taggsvamp</t>
        </is>
      </c>
      <c r="V24">
        <f>HYPERLINK("https://klasma.github.io/Logging_0115/artfynd/A 34460-2023 artfynd.xlsx", "A 34460-2023")</f>
        <v/>
      </c>
      <c r="W24">
        <f>HYPERLINK("https://klasma.github.io/Logging_0115/kartor/A 34460-2023 karta.png", "A 34460-2023")</f>
        <v/>
      </c>
      <c r="Y24">
        <f>HYPERLINK("https://klasma.github.io/Logging_0115/klagomål/A 34460-2023 FSC-klagomål.docx", "A 34460-2023")</f>
        <v/>
      </c>
      <c r="Z24">
        <f>HYPERLINK("https://klasma.github.io/Logging_0115/klagomålsmail/A 34460-2023 FSC-klagomål mail.docx", "A 34460-2023")</f>
        <v/>
      </c>
      <c r="AA24">
        <f>HYPERLINK("https://klasma.github.io/Logging_0115/tillsyn/A 34460-2023 tillsynsbegäran.docx", "A 34460-2023")</f>
        <v/>
      </c>
      <c r="AB24">
        <f>HYPERLINK("https://klasma.github.io/Logging_0115/tillsynsmail/A 34460-2023 tillsynsbegäran mail.docx", "A 34460-2023")</f>
        <v/>
      </c>
    </row>
    <row r="25" ht="15" customHeight="1">
      <c r="A25" t="inlineStr">
        <is>
          <t>A 63539-2025</t>
        </is>
      </c>
      <c r="B25" t="inlineStr">
        <is>
          <t>avverkningsanmälan</t>
        </is>
      </c>
      <c r="C25" t="inlineStr">
        <is>
          <t>Föryngringsavverkning</t>
        </is>
      </c>
      <c r="D25" s="1" t="n">
        <v>46013</v>
      </c>
      <c r="E25" s="1" t="n">
        <v>46219</v>
      </c>
      <c r="F25" t="inlineStr">
        <is>
          <t>STOCKHOLMS LÄN</t>
        </is>
      </c>
      <c r="G25" t="inlineStr">
        <is>
          <t>VALLENTUNA</t>
        </is>
      </c>
      <c r="I25" t="n">
        <v>1.1</v>
      </c>
      <c r="J25" t="n">
        <v>0</v>
      </c>
      <c r="K25" t="n">
        <v>0</v>
      </c>
      <c r="L25" t="n">
        <v>2</v>
      </c>
      <c r="M25" t="n">
        <v>0</v>
      </c>
      <c r="N25" t="n">
        <v>0</v>
      </c>
      <c r="O25" t="n">
        <v>0</v>
      </c>
      <c r="P25" t="n">
        <v>0</v>
      </c>
      <c r="Q25" t="n">
        <v>2</v>
      </c>
      <c r="R25" t="n">
        <v>0</v>
      </c>
      <c r="S25" t="n">
        <v>2</v>
      </c>
      <c r="T25" t="n">
        <v>2</v>
      </c>
      <c r="U25" s="2" t="inlineStr">
        <is>
          <t>Tallticka
Vårärt</t>
        </is>
      </c>
      <c r="V25">
        <f>HYPERLINK("https://klasma.github.io/Logging_0115/artfynd/A 63539-2025 artfynd.xlsx", "A 63539-2025")</f>
        <v/>
      </c>
      <c r="W25">
        <f>HYPERLINK("https://klasma.github.io/Logging_0115/kartor/A 63539-2025 karta.png", "A 63539-2025")</f>
        <v/>
      </c>
      <c r="Y25">
        <f>HYPERLINK("https://klasma.github.io/Logging_0115/klagomål/A 63539-2025 FSC-klagomål.docx", "A 63539-2025")</f>
        <v/>
      </c>
      <c r="Z25">
        <f>HYPERLINK("https://klasma.github.io/Logging_0115/klagomålsmail/A 63539-2025 FSC-klagomål mail.docx", "A 63539-2025")</f>
        <v/>
      </c>
      <c r="AA25">
        <f>HYPERLINK("https://klasma.github.io/Logging_0115/tillsyn/A 63539-2025 tillsynsbegäran.docx", "A 63539-2025")</f>
        <v/>
      </c>
      <c r="AB25">
        <f>HYPERLINK("https://klasma.github.io/Logging_0115/tillsynsmail/A 63539-2025 tillsynsbegäran mail.docx", "A 63539-2025")</f>
        <v/>
      </c>
    </row>
    <row r="26" ht="15" customHeight="1">
      <c r="A26" t="inlineStr">
        <is>
          <t>A 41021-2023</t>
        </is>
      </c>
      <c r="B26" t="inlineStr">
        <is>
          <t>avverkningsanmälan</t>
        </is>
      </c>
      <c r="C26" t="inlineStr">
        <is>
          <t>Föryngringsavverkning</t>
        </is>
      </c>
      <c r="D26" s="1" t="n">
        <v>45173</v>
      </c>
      <c r="E26" s="1" t="n">
        <v>46219</v>
      </c>
      <c r="F26" t="inlineStr">
        <is>
          <t>STOCKHOLMS LÄN</t>
        </is>
      </c>
      <c r="G26" t="inlineStr">
        <is>
          <t>VALLENTUNA</t>
        </is>
      </c>
      <c r="I26" t="n">
        <v>3</v>
      </c>
      <c r="J26" t="n">
        <v>0</v>
      </c>
      <c r="K26" t="n">
        <v>0</v>
      </c>
      <c r="L26" t="n">
        <v>2</v>
      </c>
      <c r="M26" t="n">
        <v>0</v>
      </c>
      <c r="N26" t="n">
        <v>0</v>
      </c>
      <c r="O26" t="n">
        <v>0</v>
      </c>
      <c r="P26" t="n">
        <v>0</v>
      </c>
      <c r="Q26" t="n">
        <v>2</v>
      </c>
      <c r="R26" t="n">
        <v>0</v>
      </c>
      <c r="S26" t="n">
        <v>2</v>
      </c>
      <c r="T26" t="n">
        <v>2</v>
      </c>
      <c r="U26" s="2" t="inlineStr">
        <is>
          <t>Fjällig taggsvamp s.str.
Orange taggsvamp</t>
        </is>
      </c>
      <c r="V26">
        <f>HYPERLINK("https://klasma.github.io/Logging_0115/artfynd/A 41021-2023 artfynd.xlsx", "A 41021-2023")</f>
        <v/>
      </c>
      <c r="W26">
        <f>HYPERLINK("https://klasma.github.io/Logging_0115/kartor/A 41021-2023 karta.png", "A 41021-2023")</f>
        <v/>
      </c>
      <c r="Y26">
        <f>HYPERLINK("https://klasma.github.io/Logging_0115/klagomål/A 41021-2023 FSC-klagomål.docx", "A 41021-2023")</f>
        <v/>
      </c>
      <c r="Z26">
        <f>HYPERLINK("https://klasma.github.io/Logging_0115/klagomålsmail/A 41021-2023 FSC-klagomål mail.docx", "A 41021-2023")</f>
        <v/>
      </c>
      <c r="AA26">
        <f>HYPERLINK("https://klasma.github.io/Logging_0115/tillsyn/A 41021-2023 tillsynsbegäran.docx", "A 41021-2023")</f>
        <v/>
      </c>
      <c r="AB26">
        <f>HYPERLINK("https://klasma.github.io/Logging_0115/tillsynsmail/A 41021-2023 tillsynsbegäran mail.docx", "A 41021-2023")</f>
        <v/>
      </c>
    </row>
    <row r="27" ht="15" customHeight="1">
      <c r="A27" t="inlineStr">
        <is>
          <t>A 27935-2026</t>
        </is>
      </c>
      <c r="B27" t="inlineStr">
        <is>
          <t>avverkningsanmälan</t>
        </is>
      </c>
      <c r="C27" t="inlineStr">
        <is>
          <t>Avverkning för annat ändamål</t>
        </is>
      </c>
      <c r="D27" s="1" t="n">
        <v>46191</v>
      </c>
      <c r="E27" s="1" t="n">
        <v>46219</v>
      </c>
      <c r="F27" t="inlineStr">
        <is>
          <t>STOCKHOLMS LÄN</t>
        </is>
      </c>
      <c r="G27" t="inlineStr">
        <is>
          <t>VALLENTUNA</t>
        </is>
      </c>
      <c r="I27" t="n">
        <v>5</v>
      </c>
      <c r="J27" t="n">
        <v>2</v>
      </c>
      <c r="K27" t="n">
        <v>0</v>
      </c>
      <c r="L27" t="n">
        <v>0</v>
      </c>
      <c r="M27" t="n">
        <v>0</v>
      </c>
      <c r="N27" t="n">
        <v>0</v>
      </c>
      <c r="O27" t="n">
        <v>0</v>
      </c>
      <c r="P27" t="n">
        <v>0</v>
      </c>
      <c r="Q27" t="n">
        <v>0</v>
      </c>
      <c r="R27" t="n">
        <v>0</v>
      </c>
      <c r="S27" t="n">
        <v>2</v>
      </c>
      <c r="T27" t="n">
        <v>9</v>
      </c>
      <c r="U27" s="2" t="inlineStr">
        <is>
          <t>Större vattensalamander
Mindre vattensalamander</t>
        </is>
      </c>
      <c r="V27">
        <f>HYPERLINK("https://klasma.github.io/Logging_0115/artfynd/A 27935-2026 artfynd.xlsx", "A 27935-2026")</f>
        <v/>
      </c>
      <c r="W27">
        <f>HYPERLINK("https://klasma.github.io/Logging_0115/kartor/A 27935-2026 karta.png", "A 27935-2026")</f>
        <v/>
      </c>
      <c r="Y27">
        <f>HYPERLINK("https://klasma.github.io/Logging_0115/klagomål/A 27935-2026 FSC-klagomål.docx", "A 27935-2026")</f>
        <v/>
      </c>
      <c r="Z27">
        <f>HYPERLINK("https://klasma.github.io/Logging_0115/klagomålsmail/A 27935-2026 FSC-klagomål mail.docx", "A 27935-2026")</f>
        <v/>
      </c>
      <c r="AA27">
        <f>HYPERLINK("https://klasma.github.io/Logging_0115/tillsyn/A 27935-2026 tillsynsbegäran.docx", "A 27935-2026")</f>
        <v/>
      </c>
      <c r="AB27">
        <f>HYPERLINK("https://klasma.github.io/Logging_0115/tillsynsmail/A 27935-2026 tillsynsbegäran mail.docx", "A 27935-2026")</f>
        <v/>
      </c>
    </row>
    <row r="28" ht="15" customHeight="1">
      <c r="A28" t="inlineStr">
        <is>
          <t>A 8817-2025</t>
        </is>
      </c>
      <c r="B28" t="inlineStr">
        <is>
          <t>avverkningsanmälan</t>
        </is>
      </c>
      <c r="C28" t="inlineStr">
        <is>
          <t>Föryngringsavverkning</t>
        </is>
      </c>
      <c r="D28" s="1" t="n">
        <v>45712</v>
      </c>
      <c r="E28" s="1" t="n">
        <v>46219</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s="2" t="inlineStr">
        <is>
          <t>Tibast</t>
        </is>
      </c>
      <c r="V28">
        <f>HYPERLINK("https://klasma.github.io/Logging_0115/artfynd/A 8817-2025 artfynd.xlsx", "A 8817-2025")</f>
        <v/>
      </c>
      <c r="W28">
        <f>HYPERLINK("https://klasma.github.io/Logging_0115/kartor/A 8817-2025 karta.png", "A 8817-2025")</f>
        <v/>
      </c>
      <c r="Y28">
        <f>HYPERLINK("https://klasma.github.io/Logging_0115/klagomål/A 8817-2025 FSC-klagomål.docx", "A 8817-2025")</f>
        <v/>
      </c>
      <c r="Z28">
        <f>HYPERLINK("https://klasma.github.io/Logging_0115/klagomålsmail/A 8817-2025 FSC-klagomål mail.docx", "A 8817-2025")</f>
        <v/>
      </c>
      <c r="AA28">
        <f>HYPERLINK("https://klasma.github.io/Logging_0115/tillsyn/A 8817-2025 tillsynsbegäran.docx", "A 8817-2025")</f>
        <v/>
      </c>
      <c r="AB28">
        <f>HYPERLINK("https://klasma.github.io/Logging_0115/tillsynsmail/A 8817-2025 tillsynsbegäran mail.docx", "A 8817-2025")</f>
        <v/>
      </c>
    </row>
    <row r="29" ht="15" customHeight="1">
      <c r="A29" t="inlineStr">
        <is>
          <t>A 24068-2024</t>
        </is>
      </c>
      <c r="B29" t="inlineStr">
        <is>
          <t>avverkningsanmälan</t>
        </is>
      </c>
      <c r="C29" t="inlineStr">
        <is>
          <t>Föryngringsavverkning</t>
        </is>
      </c>
      <c r="D29" s="1" t="n">
        <v>45456</v>
      </c>
      <c r="E29" s="1" t="n">
        <v>46219</v>
      </c>
      <c r="F29" t="inlineStr">
        <is>
          <t>STOCKHOLMS LÄN</t>
        </is>
      </c>
      <c r="G29" t="inlineStr">
        <is>
          <t>VALLENTUNA</t>
        </is>
      </c>
      <c r="I29" t="n">
        <v>7.4</v>
      </c>
      <c r="J29" t="n">
        <v>0</v>
      </c>
      <c r="K29" t="n">
        <v>0</v>
      </c>
      <c r="L29" t="n">
        <v>1</v>
      </c>
      <c r="M29" t="n">
        <v>0</v>
      </c>
      <c r="N29" t="n">
        <v>0</v>
      </c>
      <c r="O29" t="n">
        <v>0</v>
      </c>
      <c r="P29" t="n">
        <v>0</v>
      </c>
      <c r="Q29" t="n">
        <v>1</v>
      </c>
      <c r="R29" t="n">
        <v>0</v>
      </c>
      <c r="S29" t="n">
        <v>1</v>
      </c>
      <c r="T29" t="n">
        <v>1</v>
      </c>
      <c r="U29" s="2" t="inlineStr">
        <is>
          <t>Vedskivlav</t>
        </is>
      </c>
      <c r="V29">
        <f>HYPERLINK("https://klasma.github.io/Logging_0115/artfynd/A 24068-2024 artfynd.xlsx", "A 24068-2024")</f>
        <v/>
      </c>
      <c r="W29">
        <f>HYPERLINK("https://klasma.github.io/Logging_0115/kartor/A 24068-2024 karta.png", "A 24068-2024")</f>
        <v/>
      </c>
      <c r="Y29">
        <f>HYPERLINK("https://klasma.github.io/Logging_0115/klagomål/A 24068-2024 FSC-klagomål.docx", "A 24068-2024")</f>
        <v/>
      </c>
      <c r="Z29">
        <f>HYPERLINK("https://klasma.github.io/Logging_0115/klagomålsmail/A 24068-2024 FSC-klagomål mail.docx", "A 24068-2024")</f>
        <v/>
      </c>
      <c r="AA29">
        <f>HYPERLINK("https://klasma.github.io/Logging_0115/tillsyn/A 24068-2024 tillsynsbegäran.docx", "A 24068-2024")</f>
        <v/>
      </c>
      <c r="AB29">
        <f>HYPERLINK("https://klasma.github.io/Logging_0115/tillsynsmail/A 24068-2024 tillsynsbegäran mail.docx", "A 24068-2024")</f>
        <v/>
      </c>
    </row>
    <row r="30" ht="15" customHeight="1">
      <c r="A30" t="inlineStr">
        <is>
          <t>A 17348-2025</t>
        </is>
      </c>
      <c r="B30" t="inlineStr">
        <is>
          <t>avverkningsanmälan</t>
        </is>
      </c>
      <c r="C30" t="inlineStr">
        <is>
          <t>Föryngringsavverkning</t>
        </is>
      </c>
      <c r="D30" s="1" t="n">
        <v>45756</v>
      </c>
      <c r="E30" s="1" t="n">
        <v>46219</v>
      </c>
      <c r="F30" t="inlineStr">
        <is>
          <t>STOCKHOLMS LÄN</t>
        </is>
      </c>
      <c r="G30" t="inlineStr">
        <is>
          <t>VALLENTUNA</t>
        </is>
      </c>
      <c r="H30" t="inlineStr">
        <is>
          <t>Övriga Aktiebolag</t>
        </is>
      </c>
      <c r="I30" t="n">
        <v>2.2</v>
      </c>
      <c r="J30" t="n">
        <v>0</v>
      </c>
      <c r="K30" t="n">
        <v>1</v>
      </c>
      <c r="L30" t="n">
        <v>0</v>
      </c>
      <c r="M30" t="n">
        <v>0</v>
      </c>
      <c r="N30" t="n">
        <v>0</v>
      </c>
      <c r="O30" t="n">
        <v>0</v>
      </c>
      <c r="P30" t="n">
        <v>0</v>
      </c>
      <c r="Q30" t="n">
        <v>0</v>
      </c>
      <c r="R30" t="n">
        <v>0</v>
      </c>
      <c r="S30" t="n">
        <v>1</v>
      </c>
      <c r="T30" t="n">
        <v>1</v>
      </c>
      <c r="U30" s="2" t="inlineStr">
        <is>
          <t>Björksplintborre</t>
        </is>
      </c>
      <c r="V30">
        <f>HYPERLINK("https://klasma.github.io/Logging_0115/artfynd/A 17348-2025 artfynd.xlsx", "A 17348-2025")</f>
        <v/>
      </c>
      <c r="W30">
        <f>HYPERLINK("https://klasma.github.io/Logging_0115/kartor/A 17348-2025 karta.png", "A 17348-2025")</f>
        <v/>
      </c>
      <c r="Y30">
        <f>HYPERLINK("https://klasma.github.io/Logging_0115/klagomål/A 17348-2025 FSC-klagomål.docx", "A 17348-2025")</f>
        <v/>
      </c>
      <c r="Z30">
        <f>HYPERLINK("https://klasma.github.io/Logging_0115/klagomålsmail/A 17348-2025 FSC-klagomål mail.docx", "A 17348-2025")</f>
        <v/>
      </c>
      <c r="AA30">
        <f>HYPERLINK("https://klasma.github.io/Logging_0115/tillsyn/A 17348-2025 tillsynsbegäran.docx", "A 17348-2025")</f>
        <v/>
      </c>
      <c r="AB30">
        <f>HYPERLINK("https://klasma.github.io/Logging_0115/tillsynsmail/A 17348-2025 tillsynsbegäran mail.docx", "A 17348-2025")</f>
        <v/>
      </c>
    </row>
    <row r="31" ht="15" customHeight="1">
      <c r="A31" t="inlineStr">
        <is>
          <t>A 7890-2023</t>
        </is>
      </c>
      <c r="B31" t="inlineStr">
        <is>
          <t>avverkningsanmälan</t>
        </is>
      </c>
      <c r="C31" t="inlineStr">
        <is>
          <t>Föryngringsavverkning</t>
        </is>
      </c>
      <c r="D31" s="1" t="n">
        <v>44973</v>
      </c>
      <c r="E31" s="1" t="n">
        <v>46219</v>
      </c>
      <c r="F31" t="inlineStr">
        <is>
          <t>STOCKHOLMS LÄN</t>
        </is>
      </c>
      <c r="G31" t="inlineStr">
        <is>
          <t>VALLENTUNA</t>
        </is>
      </c>
      <c r="I31" t="n">
        <v>0.5</v>
      </c>
      <c r="J31" t="n">
        <v>0</v>
      </c>
      <c r="K31" t="n">
        <v>0</v>
      </c>
      <c r="L31" t="n">
        <v>1</v>
      </c>
      <c r="M31" t="n">
        <v>0</v>
      </c>
      <c r="N31" t="n">
        <v>0</v>
      </c>
      <c r="O31" t="n">
        <v>0</v>
      </c>
      <c r="P31" t="n">
        <v>0</v>
      </c>
      <c r="Q31" t="n">
        <v>1</v>
      </c>
      <c r="R31" t="n">
        <v>0</v>
      </c>
      <c r="S31" t="n">
        <v>1</v>
      </c>
      <c r="T31" t="n">
        <v>1</v>
      </c>
      <c r="U31" s="2" t="inlineStr">
        <is>
          <t>Ullticka</t>
        </is>
      </c>
      <c r="V31">
        <f>HYPERLINK("https://klasma.github.io/Logging_0115/artfynd/A 7890-2023 artfynd.xlsx", "A 7890-2023")</f>
        <v/>
      </c>
      <c r="W31">
        <f>HYPERLINK("https://klasma.github.io/Logging_0115/kartor/A 7890-2023 karta.png", "A 7890-2023")</f>
        <v/>
      </c>
      <c r="Y31">
        <f>HYPERLINK("https://klasma.github.io/Logging_0115/klagomål/A 7890-2023 FSC-klagomål.docx", "A 7890-2023")</f>
        <v/>
      </c>
      <c r="Z31">
        <f>HYPERLINK("https://klasma.github.io/Logging_0115/klagomålsmail/A 7890-2023 FSC-klagomål mail.docx", "A 7890-2023")</f>
        <v/>
      </c>
      <c r="AA31">
        <f>HYPERLINK("https://klasma.github.io/Logging_0115/tillsyn/A 7890-2023 tillsynsbegäran.docx", "A 7890-2023")</f>
        <v/>
      </c>
      <c r="AB31">
        <f>HYPERLINK("https://klasma.github.io/Logging_0115/tillsynsmail/A 7890-2023 tillsynsbegäran mail.docx", "A 7890-2023")</f>
        <v/>
      </c>
    </row>
    <row r="32" ht="15" customHeight="1">
      <c r="A32" t="inlineStr">
        <is>
          <t>A 22830-2024</t>
        </is>
      </c>
      <c r="B32" t="inlineStr">
        <is>
          <t>avverkningsanmälan</t>
        </is>
      </c>
      <c r="C32" t="inlineStr">
        <is>
          <t>Föryngringsavverkning</t>
        </is>
      </c>
      <c r="D32" s="1" t="n">
        <v>45448</v>
      </c>
      <c r="E32" s="1" t="n">
        <v>46219</v>
      </c>
      <c r="F32" t="inlineStr">
        <is>
          <t>STOCKHOLMS LÄN</t>
        </is>
      </c>
      <c r="G32" t="inlineStr">
        <is>
          <t>VALLENTUNA</t>
        </is>
      </c>
      <c r="I32" t="n">
        <v>0.3</v>
      </c>
      <c r="J32" t="n">
        <v>0</v>
      </c>
      <c r="K32" t="n">
        <v>0</v>
      </c>
      <c r="L32" t="n">
        <v>1</v>
      </c>
      <c r="M32" t="n">
        <v>0</v>
      </c>
      <c r="N32" t="n">
        <v>0</v>
      </c>
      <c r="O32" t="n">
        <v>0</v>
      </c>
      <c r="P32" t="n">
        <v>0</v>
      </c>
      <c r="Q32" t="n">
        <v>1</v>
      </c>
      <c r="R32" t="n">
        <v>0</v>
      </c>
      <c r="S32" t="n">
        <v>1</v>
      </c>
      <c r="T32" t="n">
        <v>1</v>
      </c>
      <c r="U32" s="2" t="inlineStr">
        <is>
          <t>Tallticka</t>
        </is>
      </c>
      <c r="V32">
        <f>HYPERLINK("https://klasma.github.io/Logging_0115/artfynd/A 22830-2024 artfynd.xlsx", "A 22830-2024")</f>
        <v/>
      </c>
      <c r="W32">
        <f>HYPERLINK("https://klasma.github.io/Logging_0115/kartor/A 22830-2024 karta.png", "A 22830-2024")</f>
        <v/>
      </c>
      <c r="Y32">
        <f>HYPERLINK("https://klasma.github.io/Logging_0115/klagomål/A 22830-2024 FSC-klagomål.docx", "A 22830-2024")</f>
        <v/>
      </c>
      <c r="Z32">
        <f>HYPERLINK("https://klasma.github.io/Logging_0115/klagomålsmail/A 22830-2024 FSC-klagomål mail.docx", "A 22830-2024")</f>
        <v/>
      </c>
      <c r="AA32">
        <f>HYPERLINK("https://klasma.github.io/Logging_0115/tillsyn/A 22830-2024 tillsynsbegäran.docx", "A 22830-2024")</f>
        <v/>
      </c>
      <c r="AB32">
        <f>HYPERLINK("https://klasma.github.io/Logging_0115/tillsynsmail/A 22830-2024 tillsynsbegäran mail.docx", "A 22830-2024")</f>
        <v/>
      </c>
    </row>
    <row r="33" ht="15" customHeight="1">
      <c r="A33" t="inlineStr">
        <is>
          <t>A 54481-2025</t>
        </is>
      </c>
      <c r="B33" t="inlineStr">
        <is>
          <t>avverkningsanmälan</t>
        </is>
      </c>
      <c r="C33" t="inlineStr">
        <is>
          <t>Föryngringsavverkning</t>
        </is>
      </c>
      <c r="D33" s="1" t="n">
        <v>45965</v>
      </c>
      <c r="E33" s="1" t="n">
        <v>46219</v>
      </c>
      <c r="F33" t="inlineStr">
        <is>
          <t>STOCKHOLMS LÄN</t>
        </is>
      </c>
      <c r="G33" t="inlineStr">
        <is>
          <t>VALLENTUNA</t>
        </is>
      </c>
      <c r="I33" t="n">
        <v>1.4</v>
      </c>
      <c r="J33" t="n">
        <v>0</v>
      </c>
      <c r="K33" t="n">
        <v>0</v>
      </c>
      <c r="L33" t="n">
        <v>1</v>
      </c>
      <c r="M33" t="n">
        <v>0</v>
      </c>
      <c r="N33" t="n">
        <v>0</v>
      </c>
      <c r="O33" t="n">
        <v>0</v>
      </c>
      <c r="P33" t="n">
        <v>0</v>
      </c>
      <c r="Q33" t="n">
        <v>1</v>
      </c>
      <c r="R33" t="n">
        <v>0</v>
      </c>
      <c r="S33" t="n">
        <v>1</v>
      </c>
      <c r="T33" t="n">
        <v>1</v>
      </c>
      <c r="U33" s="2" t="inlineStr">
        <is>
          <t>Gullklöver</t>
        </is>
      </c>
      <c r="V33">
        <f>HYPERLINK("https://klasma.github.io/Logging_0115/artfynd/A 54481-2025 artfynd.xlsx", "A 54481-2025")</f>
        <v/>
      </c>
      <c r="W33">
        <f>HYPERLINK("https://klasma.github.io/Logging_0115/kartor/A 54481-2025 karta.png", "A 54481-2025")</f>
        <v/>
      </c>
      <c r="Y33">
        <f>HYPERLINK("https://klasma.github.io/Logging_0115/klagomål/A 54481-2025 FSC-klagomål.docx", "A 54481-2025")</f>
        <v/>
      </c>
      <c r="Z33">
        <f>HYPERLINK("https://klasma.github.io/Logging_0115/klagomålsmail/A 54481-2025 FSC-klagomål mail.docx", "A 54481-2025")</f>
        <v/>
      </c>
      <c r="AA33">
        <f>HYPERLINK("https://klasma.github.io/Logging_0115/tillsyn/A 54481-2025 tillsynsbegäran.docx", "A 54481-2025")</f>
        <v/>
      </c>
      <c r="AB33">
        <f>HYPERLINK("https://klasma.github.io/Logging_0115/tillsynsmail/A 54481-2025 tillsynsbegäran mail.docx", "A 54481-2025")</f>
        <v/>
      </c>
    </row>
    <row r="34" ht="15" customHeight="1">
      <c r="A34" t="inlineStr">
        <is>
          <t>A 54460-2025</t>
        </is>
      </c>
      <c r="B34" t="inlineStr">
        <is>
          <t>avverkningsanmälan</t>
        </is>
      </c>
      <c r="C34" t="inlineStr">
        <is>
          <t>Föryngringsavverkning</t>
        </is>
      </c>
      <c r="D34" s="1" t="n">
        <v>45965</v>
      </c>
      <c r="E34" s="1" t="n">
        <v>46219</v>
      </c>
      <c r="F34" t="inlineStr">
        <is>
          <t>STOCKHOLMS LÄN</t>
        </is>
      </c>
      <c r="G34" t="inlineStr">
        <is>
          <t>VALLENTUNA</t>
        </is>
      </c>
      <c r="I34" t="n">
        <v>22.9</v>
      </c>
      <c r="J34" t="n">
        <v>0</v>
      </c>
      <c r="K34" t="n">
        <v>0</v>
      </c>
      <c r="L34" t="n">
        <v>1</v>
      </c>
      <c r="M34" t="n">
        <v>0</v>
      </c>
      <c r="N34" t="n">
        <v>0</v>
      </c>
      <c r="O34" t="n">
        <v>0</v>
      </c>
      <c r="P34" t="n">
        <v>0</v>
      </c>
      <c r="Q34" t="n">
        <v>1</v>
      </c>
      <c r="R34" t="n">
        <v>0</v>
      </c>
      <c r="S34" t="n">
        <v>1</v>
      </c>
      <c r="T34" t="n">
        <v>1</v>
      </c>
      <c r="U34" s="2" t="inlineStr">
        <is>
          <t>Gullklöver</t>
        </is>
      </c>
      <c r="V34">
        <f>HYPERLINK("https://klasma.github.io/Logging_0115/artfynd/A 54460-2025 artfynd.xlsx", "A 54460-2025")</f>
        <v/>
      </c>
      <c r="W34">
        <f>HYPERLINK("https://klasma.github.io/Logging_0115/kartor/A 54460-2025 karta.png", "A 54460-2025")</f>
        <v/>
      </c>
      <c r="Y34">
        <f>HYPERLINK("https://klasma.github.io/Logging_0115/klagomål/A 54460-2025 FSC-klagomål.docx", "A 54460-2025")</f>
        <v/>
      </c>
      <c r="Z34">
        <f>HYPERLINK("https://klasma.github.io/Logging_0115/klagomålsmail/A 54460-2025 FSC-klagomål mail.docx", "A 54460-2025")</f>
        <v/>
      </c>
      <c r="AA34">
        <f>HYPERLINK("https://klasma.github.io/Logging_0115/tillsyn/A 54460-2025 tillsynsbegäran.docx", "A 54460-2025")</f>
        <v/>
      </c>
      <c r="AB34">
        <f>HYPERLINK("https://klasma.github.io/Logging_0115/tillsynsmail/A 54460-2025 tillsynsbegäran mail.docx", "A 54460-2025")</f>
        <v/>
      </c>
    </row>
    <row r="35" ht="15" customHeight="1">
      <c r="A35" t="inlineStr">
        <is>
          <t>A 21-2022</t>
        </is>
      </c>
      <c r="B35" t="inlineStr">
        <is>
          <t>avverkningsanmälan</t>
        </is>
      </c>
      <c r="C35" t="inlineStr">
        <is>
          <t>Föryngringsavverkning</t>
        </is>
      </c>
      <c r="D35" s="1" t="n">
        <v>44560</v>
      </c>
      <c r="E35" s="1" t="n">
        <v>46219</v>
      </c>
      <c r="F35" t="inlineStr">
        <is>
          <t>STOCKHOLMS LÄN</t>
        </is>
      </c>
      <c r="G35" t="inlineStr">
        <is>
          <t>VALLENTUNA</t>
        </is>
      </c>
      <c r="H35" t="inlineStr">
        <is>
          <t>Övriga Aktiebolag</t>
        </is>
      </c>
      <c r="I35" t="n">
        <v>3.5</v>
      </c>
      <c r="J35" t="n">
        <v>1</v>
      </c>
      <c r="K35" t="n">
        <v>0</v>
      </c>
      <c r="L35" t="n">
        <v>0</v>
      </c>
      <c r="M35" t="n">
        <v>0</v>
      </c>
      <c r="N35" t="n">
        <v>0</v>
      </c>
      <c r="O35" t="n">
        <v>0</v>
      </c>
      <c r="P35" t="n">
        <v>0</v>
      </c>
      <c r="Q35" t="n">
        <v>0</v>
      </c>
      <c r="R35" t="n">
        <v>0</v>
      </c>
      <c r="S35" t="n">
        <v>1</v>
      </c>
      <c r="T35" t="n">
        <v>1</v>
      </c>
      <c r="U35" s="2" t="inlineStr">
        <is>
          <t>Nattviol</t>
        </is>
      </c>
      <c r="V35">
        <f>HYPERLINK("https://klasma.github.io/Logging_0115/artfynd/A 21-2022 artfynd.xlsx", "A 21-2022")</f>
        <v/>
      </c>
      <c r="W35">
        <f>HYPERLINK("https://klasma.github.io/Logging_0115/kartor/A 21-2022 karta.png", "A 21-2022")</f>
        <v/>
      </c>
      <c r="Y35">
        <f>HYPERLINK("https://klasma.github.io/Logging_0115/klagomål/A 21-2022 FSC-klagomål.docx", "A 21-2022")</f>
        <v/>
      </c>
      <c r="Z35">
        <f>HYPERLINK("https://klasma.github.io/Logging_0115/klagomålsmail/A 21-2022 FSC-klagomål mail.docx", "A 21-2022")</f>
        <v/>
      </c>
      <c r="AA35">
        <f>HYPERLINK("https://klasma.github.io/Logging_0115/tillsyn/A 21-2022 tillsynsbegäran.docx", "A 21-2022")</f>
        <v/>
      </c>
      <c r="AB35">
        <f>HYPERLINK("https://klasma.github.io/Logging_0115/tillsynsmail/A 21-2022 tillsynsbegäran mail.docx", "A 21-2022")</f>
        <v/>
      </c>
    </row>
    <row r="36" ht="15" customHeight="1">
      <c r="A36" t="inlineStr">
        <is>
          <t>A 23009-2024</t>
        </is>
      </c>
      <c r="B36" t="inlineStr">
        <is>
          <t>avverkningsanmälan</t>
        </is>
      </c>
      <c r="C36" t="inlineStr">
        <is>
          <t>Föryngringsavverkning</t>
        </is>
      </c>
      <c r="D36" s="1" t="n">
        <v>45450</v>
      </c>
      <c r="E36" s="1" t="n">
        <v>46219</v>
      </c>
      <c r="F36" t="inlineStr">
        <is>
          <t>STOCKHOLMS LÄN</t>
        </is>
      </c>
      <c r="G36" t="inlineStr">
        <is>
          <t>VALLENTUNA</t>
        </is>
      </c>
      <c r="I36" t="n">
        <v>1.4</v>
      </c>
      <c r="J36" t="n">
        <v>0</v>
      </c>
      <c r="K36" t="n">
        <v>1</v>
      </c>
      <c r="L36" t="n">
        <v>0</v>
      </c>
      <c r="M36" t="n">
        <v>0</v>
      </c>
      <c r="N36" t="n">
        <v>0</v>
      </c>
      <c r="O36" t="n">
        <v>0</v>
      </c>
      <c r="P36" t="n">
        <v>0</v>
      </c>
      <c r="Q36" t="n">
        <v>0</v>
      </c>
      <c r="R36" t="n">
        <v>0</v>
      </c>
      <c r="S36" t="n">
        <v>1</v>
      </c>
      <c r="T36" t="n">
        <v>1</v>
      </c>
      <c r="U36" s="2" t="inlineStr">
        <is>
          <t>Tibast</t>
        </is>
      </c>
      <c r="V36">
        <f>HYPERLINK("https://klasma.github.io/Logging_0115/artfynd/A 23009-2024 artfynd.xlsx", "A 23009-2024")</f>
        <v/>
      </c>
      <c r="W36">
        <f>HYPERLINK("https://klasma.github.io/Logging_0115/kartor/A 23009-2024 karta.png", "A 23009-2024")</f>
        <v/>
      </c>
      <c r="Y36">
        <f>HYPERLINK("https://klasma.github.io/Logging_0115/klagomål/A 23009-2024 FSC-klagomål.docx", "A 23009-2024")</f>
        <v/>
      </c>
      <c r="Z36">
        <f>HYPERLINK("https://klasma.github.io/Logging_0115/klagomålsmail/A 23009-2024 FSC-klagomål mail.docx", "A 23009-2024")</f>
        <v/>
      </c>
      <c r="AA36">
        <f>HYPERLINK("https://klasma.github.io/Logging_0115/tillsyn/A 23009-2024 tillsynsbegäran.docx", "A 23009-2024")</f>
        <v/>
      </c>
      <c r="AB36">
        <f>HYPERLINK("https://klasma.github.io/Logging_0115/tillsynsmail/A 23009-2024 tillsynsbegäran mail.docx", "A 23009-2024")</f>
        <v/>
      </c>
    </row>
    <row r="37" ht="15" customHeight="1">
      <c r="A37" t="inlineStr">
        <is>
          <t>A 17341-2025</t>
        </is>
      </c>
      <c r="B37" t="inlineStr">
        <is>
          <t>avverkningsanmälan</t>
        </is>
      </c>
      <c r="C37" t="inlineStr">
        <is>
          <t>Föryngringsavverkning</t>
        </is>
      </c>
      <c r="D37" s="1" t="n">
        <v>45756</v>
      </c>
      <c r="E37" s="1" t="n">
        <v>46219</v>
      </c>
      <c r="F37" t="inlineStr">
        <is>
          <t>STOCKHOLMS LÄN</t>
        </is>
      </c>
      <c r="G37" t="inlineStr">
        <is>
          <t>VALLENTUNA</t>
        </is>
      </c>
      <c r="H37" t="inlineStr">
        <is>
          <t>Övriga Aktiebolag</t>
        </is>
      </c>
      <c r="I37" t="n">
        <v>5.2</v>
      </c>
      <c r="J37" t="n">
        <v>0</v>
      </c>
      <c r="K37" t="n">
        <v>1</v>
      </c>
      <c r="L37" t="n">
        <v>0</v>
      </c>
      <c r="M37" t="n">
        <v>0</v>
      </c>
      <c r="N37" t="n">
        <v>0</v>
      </c>
      <c r="O37" t="n">
        <v>0</v>
      </c>
      <c r="P37" t="n">
        <v>0</v>
      </c>
      <c r="Q37" t="n">
        <v>0</v>
      </c>
      <c r="R37" t="n">
        <v>0</v>
      </c>
      <c r="S37" t="n">
        <v>1</v>
      </c>
      <c r="T37" t="n">
        <v>2</v>
      </c>
      <c r="U37" s="2" t="inlineStr">
        <is>
          <t>Björksplintborre</t>
        </is>
      </c>
      <c r="V37">
        <f>HYPERLINK("https://klasma.github.io/Logging_0115/artfynd/A 17341-2025 artfynd.xlsx", "A 17341-2025")</f>
        <v/>
      </c>
      <c r="W37">
        <f>HYPERLINK("https://klasma.github.io/Logging_0115/kartor/A 17341-2025 karta.png", "A 17341-2025")</f>
        <v/>
      </c>
      <c r="Y37">
        <f>HYPERLINK("https://klasma.github.io/Logging_0115/klagomål/A 17341-2025 FSC-klagomål.docx", "A 17341-2025")</f>
        <v/>
      </c>
      <c r="Z37">
        <f>HYPERLINK("https://klasma.github.io/Logging_0115/klagomålsmail/A 17341-2025 FSC-klagomål mail.docx", "A 17341-2025")</f>
        <v/>
      </c>
      <c r="AA37">
        <f>HYPERLINK("https://klasma.github.io/Logging_0115/tillsyn/A 17341-2025 tillsynsbegäran.docx", "A 17341-2025")</f>
        <v/>
      </c>
      <c r="AB37">
        <f>HYPERLINK("https://klasma.github.io/Logging_0115/tillsynsmail/A 17341-2025 tillsynsbegäran mail.docx", "A 17341-2025")</f>
        <v/>
      </c>
    </row>
    <row r="38" ht="15" customHeight="1">
      <c r="A38" t="inlineStr">
        <is>
          <t>A 12396-2026</t>
        </is>
      </c>
      <c r="B38" t="inlineStr">
        <is>
          <t>avverkningsanmälan</t>
        </is>
      </c>
      <c r="C38" t="inlineStr">
        <is>
          <t>Föryngringsavverkning</t>
        </is>
      </c>
      <c r="D38" s="1" t="n">
        <v>46090</v>
      </c>
      <c r="E38" s="1" t="n">
        <v>46219</v>
      </c>
      <c r="F38" t="inlineStr">
        <is>
          <t>STOCKHOLMS LÄN</t>
        </is>
      </c>
      <c r="G38" t="inlineStr">
        <is>
          <t>VALLENTUNA</t>
        </is>
      </c>
      <c r="I38" t="n">
        <v>3</v>
      </c>
      <c r="J38" t="n">
        <v>1</v>
      </c>
      <c r="K38" t="n">
        <v>0</v>
      </c>
      <c r="L38" t="n">
        <v>0</v>
      </c>
      <c r="M38" t="n">
        <v>0</v>
      </c>
      <c r="N38" t="n">
        <v>0</v>
      </c>
      <c r="O38" t="n">
        <v>0</v>
      </c>
      <c r="P38" t="n">
        <v>0</v>
      </c>
      <c r="Q38" t="n">
        <v>0</v>
      </c>
      <c r="R38" t="n">
        <v>0</v>
      </c>
      <c r="S38" t="n">
        <v>1</v>
      </c>
      <c r="T38" t="n">
        <v>1</v>
      </c>
      <c r="U38" s="2" t="inlineStr">
        <is>
          <t>Spillkråka</t>
        </is>
      </c>
      <c r="V38">
        <f>HYPERLINK("https://klasma.github.io/Logging_0115/artfynd/A 12396-2026 artfynd.xlsx", "A 12396-2026")</f>
        <v/>
      </c>
      <c r="W38">
        <f>HYPERLINK("https://klasma.github.io/Logging_0115/kartor/A 12396-2026 karta.png", "A 12396-2026")</f>
        <v/>
      </c>
      <c r="Y38">
        <f>HYPERLINK("https://klasma.github.io/Logging_0115/klagomål/A 12396-2026 FSC-klagomål.docx", "A 12396-2026")</f>
        <v/>
      </c>
      <c r="Z38">
        <f>HYPERLINK("https://klasma.github.io/Logging_0115/klagomålsmail/A 12396-2026 FSC-klagomål mail.docx", "A 12396-2026")</f>
        <v/>
      </c>
      <c r="AA38">
        <f>HYPERLINK("https://klasma.github.io/Logging_0115/tillsyn/A 12396-2026 tillsynsbegäran.docx", "A 12396-2026")</f>
        <v/>
      </c>
      <c r="AB38">
        <f>HYPERLINK("https://klasma.github.io/Logging_0115/tillsynsmail/A 12396-2026 tillsynsbegäran mail.docx", "A 12396-2026")</f>
        <v/>
      </c>
      <c r="AC38">
        <f>HYPERLINK("https://klasma.github.io/Logging_0115/fåglar/A 12396-2026 prioriterade fågelarter.docx", "A 12396-2026")</f>
        <v/>
      </c>
    </row>
    <row r="39" ht="15" customHeight="1">
      <c r="A39" t="inlineStr">
        <is>
          <t>A 12401-2026</t>
        </is>
      </c>
      <c r="B39" t="inlineStr">
        <is>
          <t>avverkningsanmälan</t>
        </is>
      </c>
      <c r="C39" t="inlineStr">
        <is>
          <t>Föryngringsavverkning</t>
        </is>
      </c>
      <c r="D39" s="1" t="n">
        <v>46090</v>
      </c>
      <c r="E39" s="1" t="n">
        <v>46219</v>
      </c>
      <c r="F39" t="inlineStr">
        <is>
          <t>STOCKHOLMS LÄN</t>
        </is>
      </c>
      <c r="G39" t="inlineStr">
        <is>
          <t>VALLENTUNA</t>
        </is>
      </c>
      <c r="I39" t="n">
        <v>5.9</v>
      </c>
      <c r="J39" t="n">
        <v>1</v>
      </c>
      <c r="K39" t="n">
        <v>0</v>
      </c>
      <c r="L39" t="n">
        <v>0</v>
      </c>
      <c r="M39" t="n">
        <v>0</v>
      </c>
      <c r="N39" t="n">
        <v>0</v>
      </c>
      <c r="O39" t="n">
        <v>0</v>
      </c>
      <c r="P39" t="n">
        <v>0</v>
      </c>
      <c r="Q39" t="n">
        <v>0</v>
      </c>
      <c r="R39" t="n">
        <v>0</v>
      </c>
      <c r="S39" t="n">
        <v>1</v>
      </c>
      <c r="T39" t="n">
        <v>1</v>
      </c>
      <c r="U39" s="2" t="inlineStr">
        <is>
          <t>Spillkråka</t>
        </is>
      </c>
      <c r="V39">
        <f>HYPERLINK("https://klasma.github.io/Logging_0115/artfynd/A 12401-2026 artfynd.xlsx", "A 12401-2026")</f>
        <v/>
      </c>
      <c r="W39">
        <f>HYPERLINK("https://klasma.github.io/Logging_0115/kartor/A 12401-2026 karta.png", "A 12401-2026")</f>
        <v/>
      </c>
      <c r="Y39">
        <f>HYPERLINK("https://klasma.github.io/Logging_0115/klagomål/A 12401-2026 FSC-klagomål.docx", "A 12401-2026")</f>
        <v/>
      </c>
      <c r="Z39">
        <f>HYPERLINK("https://klasma.github.io/Logging_0115/klagomålsmail/A 12401-2026 FSC-klagomål mail.docx", "A 12401-2026")</f>
        <v/>
      </c>
      <c r="AA39">
        <f>HYPERLINK("https://klasma.github.io/Logging_0115/tillsyn/A 12401-2026 tillsynsbegäran.docx", "A 12401-2026")</f>
        <v/>
      </c>
      <c r="AB39">
        <f>HYPERLINK("https://klasma.github.io/Logging_0115/tillsynsmail/A 12401-2026 tillsynsbegäran mail.docx", "A 12401-2026")</f>
        <v/>
      </c>
      <c r="AC39">
        <f>HYPERLINK("https://klasma.github.io/Logging_0115/fåglar/A 12401-2026 prioriterade fågelarter.docx", "A 12401-2026")</f>
        <v/>
      </c>
    </row>
    <row r="40" ht="15" customHeight="1">
      <c r="A40" t="inlineStr">
        <is>
          <t>A 34458-2023</t>
        </is>
      </c>
      <c r="B40" t="inlineStr">
        <is>
          <t>avverkningsanmälan</t>
        </is>
      </c>
      <c r="C40" t="inlineStr">
        <is>
          <t>Föryngringsavverkning</t>
        </is>
      </c>
      <c r="D40" s="1" t="n">
        <v>45139</v>
      </c>
      <c r="E40" s="1" t="n">
        <v>46219</v>
      </c>
      <c r="F40" t="inlineStr">
        <is>
          <t>STOCKHOLMS LÄN</t>
        </is>
      </c>
      <c r="G40" t="inlineStr">
        <is>
          <t>VALLENTUNA</t>
        </is>
      </c>
      <c r="I40" t="n">
        <v>2.5</v>
      </c>
      <c r="J40" t="n">
        <v>0</v>
      </c>
      <c r="K40" t="n">
        <v>0</v>
      </c>
      <c r="L40" t="n">
        <v>1</v>
      </c>
      <c r="M40" t="n">
        <v>0</v>
      </c>
      <c r="N40" t="n">
        <v>0</v>
      </c>
      <c r="O40" t="n">
        <v>0</v>
      </c>
      <c r="P40" t="n">
        <v>0</v>
      </c>
      <c r="Q40" t="n">
        <v>1</v>
      </c>
      <c r="R40" t="n">
        <v>0</v>
      </c>
      <c r="S40" t="n">
        <v>1</v>
      </c>
      <c r="T40" t="n">
        <v>1</v>
      </c>
      <c r="U40" s="2" t="inlineStr">
        <is>
          <t>Motaggsvamp</t>
        </is>
      </c>
      <c r="V40">
        <f>HYPERLINK("https://klasma.github.io/Logging_0115/artfynd/A 34458-2023 artfynd.xlsx", "A 34458-2023")</f>
        <v/>
      </c>
      <c r="W40">
        <f>HYPERLINK("https://klasma.github.io/Logging_0115/kartor/A 34458-2023 karta.png", "A 34458-2023")</f>
        <v/>
      </c>
      <c r="Y40">
        <f>HYPERLINK("https://klasma.github.io/Logging_0115/klagomål/A 34458-2023 FSC-klagomål.docx", "A 34458-2023")</f>
        <v/>
      </c>
      <c r="Z40">
        <f>HYPERLINK("https://klasma.github.io/Logging_0115/klagomålsmail/A 34458-2023 FSC-klagomål mail.docx", "A 34458-2023")</f>
        <v/>
      </c>
      <c r="AA40">
        <f>HYPERLINK("https://klasma.github.io/Logging_0115/tillsyn/A 34458-2023 tillsynsbegäran.docx", "A 34458-2023")</f>
        <v/>
      </c>
      <c r="AB40">
        <f>HYPERLINK("https://klasma.github.io/Logging_0115/tillsynsmail/A 34458-2023 tillsynsbegäran mail.docx", "A 34458-2023")</f>
        <v/>
      </c>
    </row>
    <row r="41" ht="15" customHeight="1">
      <c r="A41" t="inlineStr">
        <is>
          <t>A 20910-2026</t>
        </is>
      </c>
      <c r="B41" t="inlineStr">
        <is>
          <t>avverkningsanmälan</t>
        </is>
      </c>
      <c r="C41" t="inlineStr">
        <is>
          <t>Föryngringsavverkning</t>
        </is>
      </c>
      <c r="D41" s="1" t="n">
        <v>46142</v>
      </c>
      <c r="E41" s="1" t="n">
        <v>46219</v>
      </c>
      <c r="F41" t="inlineStr">
        <is>
          <t>STOCKHOLMS LÄN</t>
        </is>
      </c>
      <c r="G41" t="inlineStr">
        <is>
          <t>VALLENTUNA</t>
        </is>
      </c>
      <c r="I41" t="n">
        <v>1.8</v>
      </c>
      <c r="J41" t="n">
        <v>1</v>
      </c>
      <c r="K41" t="n">
        <v>0</v>
      </c>
      <c r="L41" t="n">
        <v>0</v>
      </c>
      <c r="M41" t="n">
        <v>0</v>
      </c>
      <c r="N41" t="n">
        <v>0</v>
      </c>
      <c r="O41" t="n">
        <v>0</v>
      </c>
      <c r="P41" t="n">
        <v>0</v>
      </c>
      <c r="Q41" t="n">
        <v>0</v>
      </c>
      <c r="R41" t="n">
        <v>0</v>
      </c>
      <c r="S41" t="n">
        <v>1</v>
      </c>
      <c r="T41" t="n">
        <v>1</v>
      </c>
      <c r="U41" s="2" t="inlineStr">
        <is>
          <t>Revlummer</t>
        </is>
      </c>
      <c r="V41">
        <f>HYPERLINK("https://klasma.github.io/Logging_0115/artfynd/A 20910-2026 artfynd.xlsx", "A 20910-2026")</f>
        <v/>
      </c>
      <c r="W41">
        <f>HYPERLINK("https://klasma.github.io/Logging_0115/kartor/A 20910-2026 karta.png", "A 20910-2026")</f>
        <v/>
      </c>
      <c r="Y41">
        <f>HYPERLINK("https://klasma.github.io/Logging_0115/klagomål/A 20910-2026 FSC-klagomål.docx", "A 20910-2026")</f>
        <v/>
      </c>
      <c r="Z41">
        <f>HYPERLINK("https://klasma.github.io/Logging_0115/klagomålsmail/A 20910-2026 FSC-klagomål mail.docx", "A 20910-2026")</f>
        <v/>
      </c>
      <c r="AA41">
        <f>HYPERLINK("https://klasma.github.io/Logging_0115/tillsyn/A 20910-2026 tillsynsbegäran.docx", "A 20910-2026")</f>
        <v/>
      </c>
      <c r="AB41">
        <f>HYPERLINK("https://klasma.github.io/Logging_0115/tillsynsmail/A 20910-2026 tillsynsbegäran mail.docx", "A 20910-2026")</f>
        <v/>
      </c>
    </row>
    <row r="42" ht="15" customHeight="1">
      <c r="A42" t="inlineStr">
        <is>
          <t>A 20914-2026</t>
        </is>
      </c>
      <c r="B42" t="inlineStr">
        <is>
          <t>avverkningsanmälan</t>
        </is>
      </c>
      <c r="C42" t="inlineStr">
        <is>
          <t>Avverkning för att bevara och utveckla /försöksver</t>
        </is>
      </c>
      <c r="D42" s="1" t="n">
        <v>46142</v>
      </c>
      <c r="E42" s="1" t="n">
        <v>46219</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s="2" t="inlineStr">
        <is>
          <t>Tallticka</t>
        </is>
      </c>
      <c r="V42">
        <f>HYPERLINK("https://klasma.github.io/Logging_0115/artfynd/A 20914-2026 artfynd.xlsx", "A 20914-2026")</f>
        <v/>
      </c>
      <c r="W42">
        <f>HYPERLINK("https://klasma.github.io/Logging_0115/kartor/A 20914-2026 karta.png", "A 20914-2026")</f>
        <v/>
      </c>
      <c r="Y42">
        <f>HYPERLINK("https://klasma.github.io/Logging_0115/klagomål/A 20914-2026 FSC-klagomål.docx", "A 20914-2026")</f>
        <v/>
      </c>
      <c r="Z42">
        <f>HYPERLINK("https://klasma.github.io/Logging_0115/klagomålsmail/A 20914-2026 FSC-klagomål mail.docx", "A 20914-2026")</f>
        <v/>
      </c>
      <c r="AA42">
        <f>HYPERLINK("https://klasma.github.io/Logging_0115/tillsyn/A 20914-2026 tillsynsbegäran.docx", "A 20914-2026")</f>
        <v/>
      </c>
      <c r="AB42">
        <f>HYPERLINK("https://klasma.github.io/Logging_0115/tillsynsmail/A 20914-2026 tillsynsbegäran mail.docx", "A 20914-2026")</f>
        <v/>
      </c>
    </row>
    <row r="43" ht="15" customHeight="1">
      <c r="A43" t="inlineStr">
        <is>
          <t>A 8089-2022</t>
        </is>
      </c>
      <c r="B43" t="inlineStr">
        <is>
          <t>avverkningsanmälan</t>
        </is>
      </c>
      <c r="C43" t="inlineStr">
        <is>
          <t>Föryngringsavverkning</t>
        </is>
      </c>
      <c r="D43" s="1" t="n">
        <v>44609</v>
      </c>
      <c r="E43" s="1" t="n">
        <v>46219</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s="2" t="inlineStr"/>
    </row>
    <row r="44" ht="15" customHeight="1">
      <c r="A44" t="inlineStr">
        <is>
          <t>A 9442-2022</t>
        </is>
      </c>
      <c r="B44" t="inlineStr">
        <is>
          <t>avverkningsanmälan</t>
        </is>
      </c>
      <c r="C44" t="inlineStr">
        <is>
          <t>Föryngringsavverkning</t>
        </is>
      </c>
      <c r="D44" s="1" t="n">
        <v>44616</v>
      </c>
      <c r="E44" s="1" t="n">
        <v>46219</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s="2" t="inlineStr"/>
    </row>
    <row r="45" ht="15" customHeight="1">
      <c r="A45" t="inlineStr">
        <is>
          <t>A 178-2022</t>
        </is>
      </c>
      <c r="B45" t="inlineStr">
        <is>
          <t>avverkningsanmälan</t>
        </is>
      </c>
      <c r="C45" t="inlineStr">
        <is>
          <t>Föryngringsavverkning</t>
        </is>
      </c>
      <c r="D45" s="1" t="n">
        <v>44560</v>
      </c>
      <c r="E45" s="1" t="n">
        <v>46219</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s="2" t="inlineStr"/>
    </row>
    <row r="46" ht="15" customHeight="1">
      <c r="A46" t="inlineStr">
        <is>
          <t>A 242-2022</t>
        </is>
      </c>
      <c r="B46" t="inlineStr">
        <is>
          <t>avverkningsanmälan</t>
        </is>
      </c>
      <c r="C46" t="inlineStr">
        <is>
          <t>Föryngringsavverkning</t>
        </is>
      </c>
      <c r="D46" s="1" t="n">
        <v>44560</v>
      </c>
      <c r="E46" s="1" t="n">
        <v>46219</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s="2" t="inlineStr"/>
    </row>
    <row r="47" ht="15" customHeight="1">
      <c r="A47" t="inlineStr">
        <is>
          <t>A 7276-2022</t>
        </is>
      </c>
      <c r="B47" t="inlineStr">
        <is>
          <t>avverkningsanmälan</t>
        </is>
      </c>
      <c r="C47" t="inlineStr">
        <is>
          <t>Föryngringsavverkning</t>
        </is>
      </c>
      <c r="D47" s="1" t="n">
        <v>44606</v>
      </c>
      <c r="E47" s="1" t="n">
        <v>46219</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s="2" t="inlineStr"/>
    </row>
    <row r="48" ht="15" customHeight="1">
      <c r="A48" t="inlineStr">
        <is>
          <t>A 46924-2021</t>
        </is>
      </c>
      <c r="B48" t="inlineStr">
        <is>
          <t>avverkningsanmälan</t>
        </is>
      </c>
      <c r="C48" t="inlineStr">
        <is>
          <t>Föryngringsavverkning</t>
        </is>
      </c>
      <c r="D48" s="1" t="n">
        <v>44446</v>
      </c>
      <c r="E48" s="1" t="n">
        <v>46219</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s="2" t="inlineStr"/>
    </row>
    <row r="49" ht="15" customHeight="1">
      <c r="A49" t="inlineStr">
        <is>
          <t>A 52377-2021</t>
        </is>
      </c>
      <c r="B49" t="inlineStr">
        <is>
          <t>avverkningsanmälan</t>
        </is>
      </c>
      <c r="C49" t="inlineStr">
        <is>
          <t>Föryngringsavverkning</t>
        </is>
      </c>
      <c r="D49" s="1" t="n">
        <v>44465</v>
      </c>
      <c r="E49" s="1" t="n">
        <v>46219</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s="2" t="inlineStr"/>
    </row>
    <row r="50" ht="15" customHeight="1">
      <c r="A50" t="inlineStr">
        <is>
          <t>A 37657-2021</t>
        </is>
      </c>
      <c r="B50" t="inlineStr">
        <is>
          <t>avverkningsanmälan</t>
        </is>
      </c>
      <c r="C50" t="inlineStr">
        <is>
          <t>Föryngringsavverkning</t>
        </is>
      </c>
      <c r="D50" s="1" t="n">
        <v>44400</v>
      </c>
      <c r="E50" s="1" t="n">
        <v>46219</v>
      </c>
      <c r="F50" t="inlineStr">
        <is>
          <t>STOCKHOLMS LÄN</t>
        </is>
      </c>
      <c r="G50" t="inlineStr">
        <is>
          <t>VALLENTUNA</t>
        </is>
      </c>
      <c r="I50" t="n">
        <v>2.9</v>
      </c>
      <c r="J50" t="n">
        <v>0</v>
      </c>
      <c r="K50" t="n">
        <v>0</v>
      </c>
      <c r="L50" t="n">
        <v>0</v>
      </c>
      <c r="M50" t="n">
        <v>0</v>
      </c>
      <c r="N50" t="n">
        <v>0</v>
      </c>
      <c r="O50" t="n">
        <v>0</v>
      </c>
      <c r="P50" t="n">
        <v>0</v>
      </c>
      <c r="Q50" t="n">
        <v>0</v>
      </c>
      <c r="R50" t="n">
        <v>0</v>
      </c>
      <c r="S50" t="n">
        <v>0</v>
      </c>
      <c r="T50" t="n">
        <v>0</v>
      </c>
      <c r="U50" s="2" t="inlineStr"/>
    </row>
    <row r="51" ht="15" customHeight="1">
      <c r="A51" t="inlineStr">
        <is>
          <t>A 48078-2021</t>
        </is>
      </c>
      <c r="B51" t="inlineStr">
        <is>
          <t>avverkningsanmälan</t>
        </is>
      </c>
      <c r="C51" t="inlineStr">
        <is>
          <t>Föryngringsavverkning</t>
        </is>
      </c>
      <c r="D51" s="1" t="n">
        <v>44449</v>
      </c>
      <c r="E51" s="1" t="n">
        <v>46219</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s="2" t="inlineStr"/>
    </row>
    <row r="52" ht="15" customHeight="1">
      <c r="A52" t="inlineStr">
        <is>
          <t>A 7264-2022</t>
        </is>
      </c>
      <c r="B52" t="inlineStr">
        <is>
          <t>avverkningsanmälan</t>
        </is>
      </c>
      <c r="C52" t="inlineStr">
        <is>
          <t>Föryngringsavverkning</t>
        </is>
      </c>
      <c r="D52" s="1" t="n">
        <v>44606</v>
      </c>
      <c r="E52" s="1" t="n">
        <v>46219</v>
      </c>
      <c r="F52" t="inlineStr">
        <is>
          <t>STOCKHOLMS LÄN</t>
        </is>
      </c>
      <c r="G52" t="inlineStr">
        <is>
          <t>VALLENTUNA</t>
        </is>
      </c>
      <c r="I52" t="n">
        <v>2.4</v>
      </c>
      <c r="J52" t="n">
        <v>0</v>
      </c>
      <c r="K52" t="n">
        <v>0</v>
      </c>
      <c r="L52" t="n">
        <v>0</v>
      </c>
      <c r="M52" t="n">
        <v>0</v>
      </c>
      <c r="N52" t="n">
        <v>0</v>
      </c>
      <c r="O52" t="n">
        <v>0</v>
      </c>
      <c r="P52" t="n">
        <v>0</v>
      </c>
      <c r="Q52" t="n">
        <v>0</v>
      </c>
      <c r="R52" t="n">
        <v>0</v>
      </c>
      <c r="S52" t="n">
        <v>0</v>
      </c>
      <c r="T52" t="n">
        <v>0</v>
      </c>
      <c r="U52" s="2" t="inlineStr"/>
    </row>
    <row r="53" ht="15" customHeight="1">
      <c r="A53" t="inlineStr">
        <is>
          <t>A 7085-2022</t>
        </is>
      </c>
      <c r="B53" t="inlineStr">
        <is>
          <t>avverkningsanmälan</t>
        </is>
      </c>
      <c r="C53" t="inlineStr">
        <is>
          <t>Föryngringsavverkning</t>
        </is>
      </c>
      <c r="D53" s="1" t="n">
        <v>44603</v>
      </c>
      <c r="E53" s="1" t="n">
        <v>46219</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s="2" t="inlineStr"/>
    </row>
    <row r="54" ht="15" customHeight="1">
      <c r="A54" t="inlineStr">
        <is>
          <t>A 34441-2023</t>
        </is>
      </c>
      <c r="B54" t="inlineStr">
        <is>
          <t>avverkningsanmälan</t>
        </is>
      </c>
      <c r="C54" t="inlineStr">
        <is>
          <t>Föryngringsavverkning</t>
        </is>
      </c>
      <c r="D54" s="1" t="n">
        <v>45139</v>
      </c>
      <c r="E54" s="1" t="n">
        <v>46219</v>
      </c>
      <c r="F54" t="inlineStr">
        <is>
          <t>STOCKHOLMS LÄN</t>
        </is>
      </c>
      <c r="G54" t="inlineStr">
        <is>
          <t>VALLENTUNA</t>
        </is>
      </c>
      <c r="I54" t="n">
        <v>1.6</v>
      </c>
      <c r="J54" t="n">
        <v>0</v>
      </c>
      <c r="K54" t="n">
        <v>0</v>
      </c>
      <c r="L54" t="n">
        <v>0</v>
      </c>
      <c r="M54" t="n">
        <v>0</v>
      </c>
      <c r="N54" t="n">
        <v>0</v>
      </c>
      <c r="O54" t="n">
        <v>0</v>
      </c>
      <c r="P54" t="n">
        <v>0</v>
      </c>
      <c r="Q54" t="n">
        <v>0</v>
      </c>
      <c r="R54" t="n">
        <v>0</v>
      </c>
      <c r="S54" t="n">
        <v>0</v>
      </c>
      <c r="T54" t="n">
        <v>0</v>
      </c>
      <c r="U54" s="2" t="inlineStr"/>
    </row>
    <row r="55" ht="15" customHeight="1">
      <c r="A55" t="inlineStr">
        <is>
          <t>A 34445-2023</t>
        </is>
      </c>
      <c r="B55" t="inlineStr">
        <is>
          <t>avverkningsanmälan</t>
        </is>
      </c>
      <c r="C55" t="inlineStr">
        <is>
          <t>Föryngringsavverkning</t>
        </is>
      </c>
      <c r="D55" s="1" t="n">
        <v>45139</v>
      </c>
      <c r="E55" s="1" t="n">
        <v>46219</v>
      </c>
      <c r="F55" t="inlineStr">
        <is>
          <t>STOCKHOLMS LÄN</t>
        </is>
      </c>
      <c r="G55" t="inlineStr">
        <is>
          <t>VALLENTUNA</t>
        </is>
      </c>
      <c r="I55" t="n">
        <v>0.9</v>
      </c>
      <c r="J55" t="n">
        <v>0</v>
      </c>
      <c r="K55" t="n">
        <v>0</v>
      </c>
      <c r="L55" t="n">
        <v>0</v>
      </c>
      <c r="M55" t="n">
        <v>0</v>
      </c>
      <c r="N55" t="n">
        <v>0</v>
      </c>
      <c r="O55" t="n">
        <v>0</v>
      </c>
      <c r="P55" t="n">
        <v>0</v>
      </c>
      <c r="Q55" t="n">
        <v>0</v>
      </c>
      <c r="R55" t="n">
        <v>0</v>
      </c>
      <c r="S55" t="n">
        <v>0</v>
      </c>
      <c r="T55" t="n">
        <v>0</v>
      </c>
      <c r="U55" s="2" t="inlineStr"/>
    </row>
    <row r="56" ht="15" customHeight="1">
      <c r="A56" t="inlineStr">
        <is>
          <t>A 23986-2023</t>
        </is>
      </c>
      <c r="B56" t="inlineStr">
        <is>
          <t>avverkningsanmälan</t>
        </is>
      </c>
      <c r="C56" t="inlineStr">
        <is>
          <t>Föryngringsavverkning</t>
        </is>
      </c>
      <c r="D56" s="1" t="n">
        <v>45078</v>
      </c>
      <c r="E56" s="1" t="n">
        <v>46219</v>
      </c>
      <c r="F56" t="inlineStr">
        <is>
          <t>STOCKHOLMS LÄN</t>
        </is>
      </c>
      <c r="G56" t="inlineStr">
        <is>
          <t>VALLENTUNA</t>
        </is>
      </c>
      <c r="H56" t="inlineStr">
        <is>
          <t>Kyrkan</t>
        </is>
      </c>
      <c r="I56" t="n">
        <v>5.7</v>
      </c>
      <c r="J56" t="n">
        <v>0</v>
      </c>
      <c r="K56" t="n">
        <v>0</v>
      </c>
      <c r="L56" t="n">
        <v>0</v>
      </c>
      <c r="M56" t="n">
        <v>0</v>
      </c>
      <c r="N56" t="n">
        <v>0</v>
      </c>
      <c r="O56" t="n">
        <v>0</v>
      </c>
      <c r="P56" t="n">
        <v>0</v>
      </c>
      <c r="Q56" t="n">
        <v>0</v>
      </c>
      <c r="R56" t="n">
        <v>0</v>
      </c>
      <c r="S56" t="n">
        <v>0</v>
      </c>
      <c r="T56" t="n">
        <v>0</v>
      </c>
      <c r="U56" s="2" t="inlineStr"/>
    </row>
    <row r="57" ht="15" customHeight="1">
      <c r="A57" t="inlineStr">
        <is>
          <t>A 42624-2021</t>
        </is>
      </c>
      <c r="B57" t="inlineStr">
        <is>
          <t>avverkningsanmälan</t>
        </is>
      </c>
      <c r="C57" t="inlineStr">
        <is>
          <t>Föryngringsavverkning</t>
        </is>
      </c>
      <c r="D57" s="1" t="n">
        <v>44428</v>
      </c>
      <c r="E57" s="1" t="n">
        <v>46219</v>
      </c>
      <c r="F57" t="inlineStr">
        <is>
          <t>STOCKHOLMS LÄN</t>
        </is>
      </c>
      <c r="G57" t="inlineStr">
        <is>
          <t>VALLENTUNA</t>
        </is>
      </c>
      <c r="I57" t="n">
        <v>0.7</v>
      </c>
      <c r="J57" t="n">
        <v>0</v>
      </c>
      <c r="K57" t="n">
        <v>0</v>
      </c>
      <c r="L57" t="n">
        <v>0</v>
      </c>
      <c r="M57" t="n">
        <v>0</v>
      </c>
      <c r="N57" t="n">
        <v>0</v>
      </c>
      <c r="O57" t="n">
        <v>0</v>
      </c>
      <c r="P57" t="n">
        <v>0</v>
      </c>
      <c r="Q57" t="n">
        <v>0</v>
      </c>
      <c r="R57" t="n">
        <v>0</v>
      </c>
      <c r="S57" t="n">
        <v>0</v>
      </c>
      <c r="T57" t="n">
        <v>0</v>
      </c>
      <c r="U57" s="2" t="inlineStr"/>
    </row>
    <row r="58" ht="15" customHeight="1">
      <c r="A58" t="inlineStr">
        <is>
          <t>A 19356-2025</t>
        </is>
      </c>
      <c r="B58" t="inlineStr">
        <is>
          <t>avverkningsanmälan</t>
        </is>
      </c>
      <c r="C58" t="inlineStr">
        <is>
          <t>Föryngringsavverkning</t>
        </is>
      </c>
      <c r="D58" s="1" t="n">
        <v>45769</v>
      </c>
      <c r="E58" s="1" t="n">
        <v>46219</v>
      </c>
      <c r="F58" t="inlineStr">
        <is>
          <t>STOCKHOLMS LÄN</t>
        </is>
      </c>
      <c r="G58" t="inlineStr">
        <is>
          <t>VALLENTUNA</t>
        </is>
      </c>
      <c r="H58" t="inlineStr">
        <is>
          <t>Övriga Aktiebolag</t>
        </is>
      </c>
      <c r="I58" t="n">
        <v>1.6</v>
      </c>
      <c r="J58" t="n">
        <v>0</v>
      </c>
      <c r="K58" t="n">
        <v>0</v>
      </c>
      <c r="L58" t="n">
        <v>0</v>
      </c>
      <c r="M58" t="n">
        <v>0</v>
      </c>
      <c r="N58" t="n">
        <v>0</v>
      </c>
      <c r="O58" t="n">
        <v>0</v>
      </c>
      <c r="P58" t="n">
        <v>0</v>
      </c>
      <c r="Q58" t="n">
        <v>0</v>
      </c>
      <c r="R58" t="n">
        <v>0</v>
      </c>
      <c r="S58" t="n">
        <v>0</v>
      </c>
      <c r="T58" t="n">
        <v>0</v>
      </c>
      <c r="U58" s="2" t="inlineStr"/>
    </row>
    <row r="59" ht="15" customHeight="1">
      <c r="A59" t="inlineStr">
        <is>
          <t>A 12562-2023</t>
        </is>
      </c>
      <c r="B59" t="inlineStr">
        <is>
          <t>avverkningsanmälan</t>
        </is>
      </c>
      <c r="C59" t="inlineStr">
        <is>
          <t>Föryngringsavverkning</t>
        </is>
      </c>
      <c r="D59" s="1" t="n">
        <v>45000</v>
      </c>
      <c r="E59" s="1" t="n">
        <v>46219</v>
      </c>
      <c r="F59" t="inlineStr">
        <is>
          <t>STOCKHOLMS LÄN</t>
        </is>
      </c>
      <c r="G59" t="inlineStr">
        <is>
          <t>VALLENTUNA</t>
        </is>
      </c>
      <c r="I59" t="n">
        <v>2.1</v>
      </c>
      <c r="J59" t="n">
        <v>0</v>
      </c>
      <c r="K59" t="n">
        <v>0</v>
      </c>
      <c r="L59" t="n">
        <v>0</v>
      </c>
      <c r="M59" t="n">
        <v>0</v>
      </c>
      <c r="N59" t="n">
        <v>0</v>
      </c>
      <c r="O59" t="n">
        <v>0</v>
      </c>
      <c r="P59" t="n">
        <v>0</v>
      </c>
      <c r="Q59" t="n">
        <v>0</v>
      </c>
      <c r="R59" t="n">
        <v>0</v>
      </c>
      <c r="S59" t="n">
        <v>0</v>
      </c>
      <c r="T59" t="n">
        <v>0</v>
      </c>
      <c r="U59" s="2" t="inlineStr"/>
    </row>
    <row r="60" ht="15" customHeight="1">
      <c r="A60" t="inlineStr">
        <is>
          <t>A 14725-2022</t>
        </is>
      </c>
      <c r="B60" t="inlineStr">
        <is>
          <t>avverkningsanmälan</t>
        </is>
      </c>
      <c r="C60" t="inlineStr">
        <is>
          <t>Avverkning för annat ändamål</t>
        </is>
      </c>
      <c r="D60" s="1" t="n">
        <v>44655</v>
      </c>
      <c r="E60" s="1" t="n">
        <v>46219</v>
      </c>
      <c r="F60" t="inlineStr">
        <is>
          <t>STOCKHOLMS LÄN</t>
        </is>
      </c>
      <c r="G60" t="inlineStr">
        <is>
          <t>VALLENTUNA</t>
        </is>
      </c>
      <c r="I60" t="n">
        <v>0.6</v>
      </c>
      <c r="J60" t="n">
        <v>0</v>
      </c>
      <c r="K60" t="n">
        <v>0</v>
      </c>
      <c r="L60" t="n">
        <v>0</v>
      </c>
      <c r="M60" t="n">
        <v>0</v>
      </c>
      <c r="N60" t="n">
        <v>0</v>
      </c>
      <c r="O60" t="n">
        <v>0</v>
      </c>
      <c r="P60" t="n">
        <v>0</v>
      </c>
      <c r="Q60" t="n">
        <v>0</v>
      </c>
      <c r="R60" t="n">
        <v>0</v>
      </c>
      <c r="S60" t="n">
        <v>0</v>
      </c>
      <c r="T60" t="n">
        <v>0</v>
      </c>
      <c r="U60" s="2" t="inlineStr"/>
    </row>
    <row r="61" ht="15" customHeight="1">
      <c r="A61" t="inlineStr">
        <is>
          <t>A 8077-2022</t>
        </is>
      </c>
      <c r="B61" t="inlineStr">
        <is>
          <t>avverkningsanmälan</t>
        </is>
      </c>
      <c r="C61" t="inlineStr">
        <is>
          <t>Föryngringsavverkning</t>
        </is>
      </c>
      <c r="D61" s="1" t="n">
        <v>44609</v>
      </c>
      <c r="E61" s="1" t="n">
        <v>46219</v>
      </c>
      <c r="F61" t="inlineStr">
        <is>
          <t>STOCKHOLMS LÄN</t>
        </is>
      </c>
      <c r="G61" t="inlineStr">
        <is>
          <t>VALLENTUNA</t>
        </is>
      </c>
      <c r="I61" t="n">
        <v>1.3</v>
      </c>
      <c r="J61" t="n">
        <v>0</v>
      </c>
      <c r="K61" t="n">
        <v>0</v>
      </c>
      <c r="L61" t="n">
        <v>0</v>
      </c>
      <c r="M61" t="n">
        <v>0</v>
      </c>
      <c r="N61" t="n">
        <v>0</v>
      </c>
      <c r="O61" t="n">
        <v>0</v>
      </c>
      <c r="P61" t="n">
        <v>0</v>
      </c>
      <c r="Q61" t="n">
        <v>0</v>
      </c>
      <c r="R61" t="n">
        <v>0</v>
      </c>
      <c r="S61" t="n">
        <v>0</v>
      </c>
      <c r="T61" t="n">
        <v>0</v>
      </c>
      <c r="U61" s="2" t="inlineStr"/>
    </row>
    <row r="62" ht="15" customHeight="1">
      <c r="A62" t="inlineStr">
        <is>
          <t>A 13836-2022</t>
        </is>
      </c>
      <c r="B62" t="inlineStr">
        <is>
          <t>avverkningsanmälan</t>
        </is>
      </c>
      <c r="C62" t="inlineStr">
        <is>
          <t>Föryngringsavverkning</t>
        </is>
      </c>
      <c r="D62" s="1" t="n">
        <v>44649</v>
      </c>
      <c r="E62" s="1" t="n">
        <v>46219</v>
      </c>
      <c r="F62" t="inlineStr">
        <is>
          <t>STOCKHOLMS LÄN</t>
        </is>
      </c>
      <c r="G62" t="inlineStr">
        <is>
          <t>VALLENTUNA</t>
        </is>
      </c>
      <c r="I62" t="n">
        <v>3.5</v>
      </c>
      <c r="J62" t="n">
        <v>0</v>
      </c>
      <c r="K62" t="n">
        <v>0</v>
      </c>
      <c r="L62" t="n">
        <v>0</v>
      </c>
      <c r="M62" t="n">
        <v>0</v>
      </c>
      <c r="N62" t="n">
        <v>0</v>
      </c>
      <c r="O62" t="n">
        <v>0</v>
      </c>
      <c r="P62" t="n">
        <v>0</v>
      </c>
      <c r="Q62" t="n">
        <v>0</v>
      </c>
      <c r="R62" t="n">
        <v>0</v>
      </c>
      <c r="S62" t="n">
        <v>0</v>
      </c>
      <c r="T62" t="n">
        <v>0</v>
      </c>
      <c r="U62" s="2" t="inlineStr"/>
    </row>
    <row r="63" ht="15" customHeight="1">
      <c r="A63" t="inlineStr">
        <is>
          <t>A 49530-2023</t>
        </is>
      </c>
      <c r="B63" t="inlineStr">
        <is>
          <t>avverkningsanmälan</t>
        </is>
      </c>
      <c r="C63" t="inlineStr">
        <is>
          <t>Föryngringsavverkning</t>
        </is>
      </c>
      <c r="D63" s="1" t="n">
        <v>45205</v>
      </c>
      <c r="E63" s="1" t="n">
        <v>46219</v>
      </c>
      <c r="F63" t="inlineStr">
        <is>
          <t>STOCKHOLMS LÄN</t>
        </is>
      </c>
      <c r="G63" t="inlineStr">
        <is>
          <t>VALLENTUNA</t>
        </is>
      </c>
      <c r="I63" t="n">
        <v>1.2</v>
      </c>
      <c r="J63" t="n">
        <v>0</v>
      </c>
      <c r="K63" t="n">
        <v>0</v>
      </c>
      <c r="L63" t="n">
        <v>0</v>
      </c>
      <c r="M63" t="n">
        <v>0</v>
      </c>
      <c r="N63" t="n">
        <v>0</v>
      </c>
      <c r="O63" t="n">
        <v>0</v>
      </c>
      <c r="P63" t="n">
        <v>0</v>
      </c>
      <c r="Q63" t="n">
        <v>0</v>
      </c>
      <c r="R63" t="n">
        <v>0</v>
      </c>
      <c r="S63" t="n">
        <v>0</v>
      </c>
      <c r="T63" t="n">
        <v>0</v>
      </c>
      <c r="U63" s="2" t="inlineStr"/>
    </row>
    <row r="64" ht="15" customHeight="1">
      <c r="A64" t="inlineStr">
        <is>
          <t>A 52989-2023</t>
        </is>
      </c>
      <c r="B64" t="inlineStr">
        <is>
          <t>avverkningsanmälan</t>
        </is>
      </c>
      <c r="C64" t="inlineStr">
        <is>
          <t>Föryngringsavverkning</t>
        </is>
      </c>
      <c r="D64" s="1" t="n">
        <v>45226</v>
      </c>
      <c r="E64" s="1" t="n">
        <v>46219</v>
      </c>
      <c r="F64" t="inlineStr">
        <is>
          <t>STOCKHOLMS LÄN</t>
        </is>
      </c>
      <c r="G64" t="inlineStr">
        <is>
          <t>VALLENTUNA</t>
        </is>
      </c>
      <c r="I64" t="n">
        <v>1.1</v>
      </c>
      <c r="J64" t="n">
        <v>0</v>
      </c>
      <c r="K64" t="n">
        <v>0</v>
      </c>
      <c r="L64" t="n">
        <v>0</v>
      </c>
      <c r="M64" t="n">
        <v>0</v>
      </c>
      <c r="N64" t="n">
        <v>0</v>
      </c>
      <c r="O64" t="n">
        <v>0</v>
      </c>
      <c r="P64" t="n">
        <v>0</v>
      </c>
      <c r="Q64" t="n">
        <v>0</v>
      </c>
      <c r="R64" t="n">
        <v>0</v>
      </c>
      <c r="S64" t="n">
        <v>0</v>
      </c>
      <c r="T64" t="n">
        <v>0</v>
      </c>
      <c r="U64" s="2" t="inlineStr"/>
    </row>
    <row r="65" ht="15" customHeight="1">
      <c r="A65" t="inlineStr">
        <is>
          <t>A 3078-2023</t>
        </is>
      </c>
      <c r="B65" t="inlineStr">
        <is>
          <t>avverkningsanmälan</t>
        </is>
      </c>
      <c r="C65" t="inlineStr">
        <is>
          <t>Föryngringsavverkning</t>
        </is>
      </c>
      <c r="D65" s="1" t="n">
        <v>44946</v>
      </c>
      <c r="E65" s="1" t="n">
        <v>46219</v>
      </c>
      <c r="F65" t="inlineStr">
        <is>
          <t>STOCKHOLMS LÄN</t>
        </is>
      </c>
      <c r="G65" t="inlineStr">
        <is>
          <t>VALLENTUNA</t>
        </is>
      </c>
      <c r="I65" t="n">
        <v>3.9</v>
      </c>
      <c r="J65" t="n">
        <v>0</v>
      </c>
      <c r="K65" t="n">
        <v>0</v>
      </c>
      <c r="L65" t="n">
        <v>0</v>
      </c>
      <c r="M65" t="n">
        <v>0</v>
      </c>
      <c r="N65" t="n">
        <v>0</v>
      </c>
      <c r="O65" t="n">
        <v>0</v>
      </c>
      <c r="P65" t="n">
        <v>0</v>
      </c>
      <c r="Q65" t="n">
        <v>0</v>
      </c>
      <c r="R65" t="n">
        <v>0</v>
      </c>
      <c r="S65" t="n">
        <v>0</v>
      </c>
      <c r="T65" t="n">
        <v>0</v>
      </c>
      <c r="U65" s="2" t="inlineStr"/>
    </row>
    <row r="66" ht="15" customHeight="1">
      <c r="A66" t="inlineStr">
        <is>
          <t>A 61442-2024</t>
        </is>
      </c>
      <c r="B66" t="inlineStr">
        <is>
          <t>avverkningsanmälan</t>
        </is>
      </c>
      <c r="C66" t="inlineStr">
        <is>
          <t>Föryngringsavverkning</t>
        </is>
      </c>
      <c r="D66" s="1" t="n">
        <v>45646</v>
      </c>
      <c r="E66" s="1" t="n">
        <v>46219</v>
      </c>
      <c r="F66" t="inlineStr">
        <is>
          <t>STOCKHOLMS LÄN</t>
        </is>
      </c>
      <c r="G66" t="inlineStr">
        <is>
          <t>VALLENTUNA</t>
        </is>
      </c>
      <c r="I66" t="n">
        <v>4.6</v>
      </c>
      <c r="J66" t="n">
        <v>0</v>
      </c>
      <c r="K66" t="n">
        <v>0</v>
      </c>
      <c r="L66" t="n">
        <v>0</v>
      </c>
      <c r="M66" t="n">
        <v>0</v>
      </c>
      <c r="N66" t="n">
        <v>0</v>
      </c>
      <c r="O66" t="n">
        <v>0</v>
      </c>
      <c r="P66" t="n">
        <v>0</v>
      </c>
      <c r="Q66" t="n">
        <v>0</v>
      </c>
      <c r="R66" t="n">
        <v>0</v>
      </c>
      <c r="S66" t="n">
        <v>0</v>
      </c>
      <c r="T66" t="n">
        <v>0</v>
      </c>
      <c r="U66" s="2" t="inlineStr"/>
    </row>
    <row r="67" ht="15" customHeight="1">
      <c r="A67" t="inlineStr">
        <is>
          <t>A 29704-2023</t>
        </is>
      </c>
      <c r="B67" t="inlineStr">
        <is>
          <t>avverkningsanmälan</t>
        </is>
      </c>
      <c r="C67" t="inlineStr">
        <is>
          <t>Föryngringsavverkning</t>
        </is>
      </c>
      <c r="D67" s="1" t="n">
        <v>45107</v>
      </c>
      <c r="E67" s="1" t="n">
        <v>46219</v>
      </c>
      <c r="F67" t="inlineStr">
        <is>
          <t>STOCKHOLMS LÄN</t>
        </is>
      </c>
      <c r="G67" t="inlineStr">
        <is>
          <t>VALLENTUNA</t>
        </is>
      </c>
      <c r="I67" t="n">
        <v>3.7</v>
      </c>
      <c r="J67" t="n">
        <v>0</v>
      </c>
      <c r="K67" t="n">
        <v>0</v>
      </c>
      <c r="L67" t="n">
        <v>0</v>
      </c>
      <c r="M67" t="n">
        <v>0</v>
      </c>
      <c r="N67" t="n">
        <v>0</v>
      </c>
      <c r="O67" t="n">
        <v>0</v>
      </c>
      <c r="P67" t="n">
        <v>0</v>
      </c>
      <c r="Q67" t="n">
        <v>0</v>
      </c>
      <c r="R67" t="n">
        <v>0</v>
      </c>
      <c r="S67" t="n">
        <v>0</v>
      </c>
      <c r="T67" t="n">
        <v>0</v>
      </c>
      <c r="U67" s="2" t="inlineStr"/>
    </row>
    <row r="68" ht="15" customHeight="1">
      <c r="A68" t="inlineStr">
        <is>
          <t>A 60795-2023</t>
        </is>
      </c>
      <c r="B68" t="inlineStr">
        <is>
          <t>avverkningsanmälan</t>
        </is>
      </c>
      <c r="C68" t="inlineStr">
        <is>
          <t>Avverkning för annat ändamål</t>
        </is>
      </c>
      <c r="D68" s="1" t="n">
        <v>45260</v>
      </c>
      <c r="E68" s="1" t="n">
        <v>46219</v>
      </c>
      <c r="F68" t="inlineStr">
        <is>
          <t>STOCKHOLMS LÄN</t>
        </is>
      </c>
      <c r="G68" t="inlineStr">
        <is>
          <t>VALLENTUNA</t>
        </is>
      </c>
      <c r="I68" t="n">
        <v>2.2</v>
      </c>
      <c r="J68" t="n">
        <v>0</v>
      </c>
      <c r="K68" t="n">
        <v>0</v>
      </c>
      <c r="L68" t="n">
        <v>0</v>
      </c>
      <c r="M68" t="n">
        <v>0</v>
      </c>
      <c r="N68" t="n">
        <v>0</v>
      </c>
      <c r="O68" t="n">
        <v>0</v>
      </c>
      <c r="P68" t="n">
        <v>0</v>
      </c>
      <c r="Q68" t="n">
        <v>0</v>
      </c>
      <c r="R68" t="n">
        <v>0</v>
      </c>
      <c r="S68" t="n">
        <v>0</v>
      </c>
      <c r="T68" t="n">
        <v>0</v>
      </c>
      <c r="U68" s="2" t="inlineStr"/>
    </row>
    <row r="69" ht="15" customHeight="1">
      <c r="A69" t="inlineStr">
        <is>
          <t>A 21765-2023</t>
        </is>
      </c>
      <c r="B69" t="inlineStr">
        <is>
          <t>avverkningsanmälan</t>
        </is>
      </c>
      <c r="C69" t="inlineStr">
        <is>
          <t>Föryngringsavverkning</t>
        </is>
      </c>
      <c r="D69" s="1" t="n">
        <v>45064</v>
      </c>
      <c r="E69" s="1" t="n">
        <v>46219</v>
      </c>
      <c r="F69" t="inlineStr">
        <is>
          <t>STOCKHOLMS LÄN</t>
        </is>
      </c>
      <c r="G69" t="inlineStr">
        <is>
          <t>VALLENTUNA</t>
        </is>
      </c>
      <c r="I69" t="n">
        <v>1.1</v>
      </c>
      <c r="J69" t="n">
        <v>0</v>
      </c>
      <c r="K69" t="n">
        <v>0</v>
      </c>
      <c r="L69" t="n">
        <v>0</v>
      </c>
      <c r="M69" t="n">
        <v>0</v>
      </c>
      <c r="N69" t="n">
        <v>0</v>
      </c>
      <c r="O69" t="n">
        <v>0</v>
      </c>
      <c r="P69" t="n">
        <v>0</v>
      </c>
      <c r="Q69" t="n">
        <v>0</v>
      </c>
      <c r="R69" t="n">
        <v>0</v>
      </c>
      <c r="S69" t="n">
        <v>0</v>
      </c>
      <c r="T69" t="n">
        <v>0</v>
      </c>
      <c r="U69" s="2" t="inlineStr"/>
    </row>
    <row r="70" ht="15" customHeight="1">
      <c r="A70" t="inlineStr">
        <is>
          <t>A 14480-2024</t>
        </is>
      </c>
      <c r="B70" t="inlineStr">
        <is>
          <t>avverkningsanmälan</t>
        </is>
      </c>
      <c r="C70" t="inlineStr">
        <is>
          <t>Föryngringsavverkning</t>
        </is>
      </c>
      <c r="D70" s="1" t="n">
        <v>45394</v>
      </c>
      <c r="E70" s="1" t="n">
        <v>46219</v>
      </c>
      <c r="F70" t="inlineStr">
        <is>
          <t>STOCKHOLMS LÄN</t>
        </is>
      </c>
      <c r="G70" t="inlineStr">
        <is>
          <t>VALLENTUNA</t>
        </is>
      </c>
      <c r="I70" t="n">
        <v>1.8</v>
      </c>
      <c r="J70" t="n">
        <v>0</v>
      </c>
      <c r="K70" t="n">
        <v>0</v>
      </c>
      <c r="L70" t="n">
        <v>0</v>
      </c>
      <c r="M70" t="n">
        <v>0</v>
      </c>
      <c r="N70" t="n">
        <v>0</v>
      </c>
      <c r="O70" t="n">
        <v>0</v>
      </c>
      <c r="P70" t="n">
        <v>0</v>
      </c>
      <c r="Q70" t="n">
        <v>0</v>
      </c>
      <c r="R70" t="n">
        <v>0</v>
      </c>
      <c r="S70" t="n">
        <v>0</v>
      </c>
      <c r="T70" t="n">
        <v>0</v>
      </c>
      <c r="U70" s="2" t="inlineStr"/>
    </row>
    <row r="71" ht="15" customHeight="1">
      <c r="A71" t="inlineStr">
        <is>
          <t>A 45496-2023</t>
        </is>
      </c>
      <c r="B71" t="inlineStr">
        <is>
          <t>avverkningsanmälan</t>
        </is>
      </c>
      <c r="C71" t="inlineStr">
        <is>
          <t>Föryngringsavverkning</t>
        </is>
      </c>
      <c r="D71" s="1" t="n">
        <v>45194</v>
      </c>
      <c r="E71" s="1" t="n">
        <v>46219</v>
      </c>
      <c r="F71" t="inlineStr">
        <is>
          <t>STOCKHOLMS LÄN</t>
        </is>
      </c>
      <c r="G71" t="inlineStr">
        <is>
          <t>VALLENTUNA</t>
        </is>
      </c>
      <c r="I71" t="n">
        <v>1.2</v>
      </c>
      <c r="J71" t="n">
        <v>0</v>
      </c>
      <c r="K71" t="n">
        <v>0</v>
      </c>
      <c r="L71" t="n">
        <v>0</v>
      </c>
      <c r="M71" t="n">
        <v>0</v>
      </c>
      <c r="N71" t="n">
        <v>0</v>
      </c>
      <c r="O71" t="n">
        <v>0</v>
      </c>
      <c r="P71" t="n">
        <v>0</v>
      </c>
      <c r="Q71" t="n">
        <v>0</v>
      </c>
      <c r="R71" t="n">
        <v>0</v>
      </c>
      <c r="S71" t="n">
        <v>0</v>
      </c>
      <c r="T71" t="n">
        <v>0</v>
      </c>
      <c r="U71" s="2" t="inlineStr"/>
    </row>
    <row r="72" ht="15" customHeight="1">
      <c r="A72" t="inlineStr">
        <is>
          <t>A 45499-2023</t>
        </is>
      </c>
      <c r="B72" t="inlineStr">
        <is>
          <t>avverkningsanmälan</t>
        </is>
      </c>
      <c r="C72" t="inlineStr">
        <is>
          <t>Föryngringsavverkning</t>
        </is>
      </c>
      <c r="D72" s="1" t="n">
        <v>45194</v>
      </c>
      <c r="E72" s="1" t="n">
        <v>46219</v>
      </c>
      <c r="F72" t="inlineStr">
        <is>
          <t>STOCKHOLMS LÄN</t>
        </is>
      </c>
      <c r="G72" t="inlineStr">
        <is>
          <t>VALLENTUNA</t>
        </is>
      </c>
      <c r="I72" t="n">
        <v>2.5</v>
      </c>
      <c r="J72" t="n">
        <v>0</v>
      </c>
      <c r="K72" t="n">
        <v>0</v>
      </c>
      <c r="L72" t="n">
        <v>0</v>
      </c>
      <c r="M72" t="n">
        <v>0</v>
      </c>
      <c r="N72" t="n">
        <v>0</v>
      </c>
      <c r="O72" t="n">
        <v>0</v>
      </c>
      <c r="P72" t="n">
        <v>0</v>
      </c>
      <c r="Q72" t="n">
        <v>0</v>
      </c>
      <c r="R72" t="n">
        <v>0</v>
      </c>
      <c r="S72" t="n">
        <v>0</v>
      </c>
      <c r="T72" t="n">
        <v>0</v>
      </c>
      <c r="U72" s="2" t="inlineStr"/>
    </row>
    <row r="73" ht="15" customHeight="1">
      <c r="A73" t="inlineStr">
        <is>
          <t>A 19503-2023</t>
        </is>
      </c>
      <c r="B73" t="inlineStr">
        <is>
          <t>avverkningsanmälan</t>
        </is>
      </c>
      <c r="C73" t="inlineStr">
        <is>
          <t>Föryngringsavverkning</t>
        </is>
      </c>
      <c r="D73" s="1" t="n">
        <v>45050</v>
      </c>
      <c r="E73" s="1" t="n">
        <v>46219</v>
      </c>
      <c r="F73" t="inlineStr">
        <is>
          <t>STOCKHOLMS LÄN</t>
        </is>
      </c>
      <c r="G73" t="inlineStr">
        <is>
          <t>VALLENTUNA</t>
        </is>
      </c>
      <c r="I73" t="n">
        <v>0.7</v>
      </c>
      <c r="J73" t="n">
        <v>0</v>
      </c>
      <c r="K73" t="n">
        <v>0</v>
      </c>
      <c r="L73" t="n">
        <v>0</v>
      </c>
      <c r="M73" t="n">
        <v>0</v>
      </c>
      <c r="N73" t="n">
        <v>0</v>
      </c>
      <c r="O73" t="n">
        <v>0</v>
      </c>
      <c r="P73" t="n">
        <v>0</v>
      </c>
      <c r="Q73" t="n">
        <v>0</v>
      </c>
      <c r="R73" t="n">
        <v>0</v>
      </c>
      <c r="S73" t="n">
        <v>0</v>
      </c>
      <c r="T73" t="n">
        <v>0</v>
      </c>
      <c r="U73" s="2" t="inlineStr"/>
    </row>
    <row r="74" ht="15" customHeight="1">
      <c r="A74" t="inlineStr">
        <is>
          <t>A 14782-2024</t>
        </is>
      </c>
      <c r="B74" t="inlineStr">
        <is>
          <t>avverkningsanmälan</t>
        </is>
      </c>
      <c r="C74" t="inlineStr">
        <is>
          <t>Avverkning för att bevara och utveckla /försöksver</t>
        </is>
      </c>
      <c r="D74" s="1" t="n">
        <v>45397</v>
      </c>
      <c r="E74" s="1" t="n">
        <v>46219</v>
      </c>
      <c r="F74" t="inlineStr">
        <is>
          <t>STOCKHOLMS LÄN</t>
        </is>
      </c>
      <c r="G74" t="inlineStr">
        <is>
          <t>VALLENTUNA</t>
        </is>
      </c>
      <c r="I74" t="n">
        <v>3.1</v>
      </c>
      <c r="J74" t="n">
        <v>0</v>
      </c>
      <c r="K74" t="n">
        <v>0</v>
      </c>
      <c r="L74" t="n">
        <v>0</v>
      </c>
      <c r="M74" t="n">
        <v>0</v>
      </c>
      <c r="N74" t="n">
        <v>0</v>
      </c>
      <c r="O74" t="n">
        <v>0</v>
      </c>
      <c r="P74" t="n">
        <v>0</v>
      </c>
      <c r="Q74" t="n">
        <v>0</v>
      </c>
      <c r="R74" t="n">
        <v>0</v>
      </c>
      <c r="S74" t="n">
        <v>0</v>
      </c>
      <c r="T74" t="n">
        <v>0</v>
      </c>
      <c r="U74" s="2" t="inlineStr"/>
    </row>
    <row r="75" ht="15" customHeight="1">
      <c r="A75" t="inlineStr">
        <is>
          <t>A 1385-2024</t>
        </is>
      </c>
      <c r="B75" t="inlineStr">
        <is>
          <t>avverkningsanmälan</t>
        </is>
      </c>
      <c r="C75" t="inlineStr">
        <is>
          <t>Föryngringsavverkning</t>
        </is>
      </c>
      <c r="D75" s="1" t="n">
        <v>45303</v>
      </c>
      <c r="E75" s="1" t="n">
        <v>46219</v>
      </c>
      <c r="F75" t="inlineStr">
        <is>
          <t>STOCKHOLMS LÄN</t>
        </is>
      </c>
      <c r="G75" t="inlineStr">
        <is>
          <t>VALLENTUNA</t>
        </is>
      </c>
      <c r="I75" t="n">
        <v>2.6</v>
      </c>
      <c r="J75" t="n">
        <v>0</v>
      </c>
      <c r="K75" t="n">
        <v>0</v>
      </c>
      <c r="L75" t="n">
        <v>0</v>
      </c>
      <c r="M75" t="n">
        <v>0</v>
      </c>
      <c r="N75" t="n">
        <v>0</v>
      </c>
      <c r="O75" t="n">
        <v>0</v>
      </c>
      <c r="P75" t="n">
        <v>0</v>
      </c>
      <c r="Q75" t="n">
        <v>0</v>
      </c>
      <c r="R75" t="n">
        <v>0</v>
      </c>
      <c r="S75" t="n">
        <v>0</v>
      </c>
      <c r="T75" t="n">
        <v>0</v>
      </c>
      <c r="U75" s="2" t="inlineStr"/>
    </row>
    <row r="76" ht="15" customHeight="1">
      <c r="A76" t="inlineStr">
        <is>
          <t>A 14775-2024</t>
        </is>
      </c>
      <c r="B76" t="inlineStr">
        <is>
          <t>avverkningsanmälan</t>
        </is>
      </c>
      <c r="C76" t="inlineStr">
        <is>
          <t>Föryngringsavverkning</t>
        </is>
      </c>
      <c r="D76" s="1" t="n">
        <v>45397</v>
      </c>
      <c r="E76" s="1" t="n">
        <v>46219</v>
      </c>
      <c r="F76" t="inlineStr">
        <is>
          <t>STOCKHOLMS LÄN</t>
        </is>
      </c>
      <c r="G76" t="inlineStr">
        <is>
          <t>VALLENTUNA</t>
        </is>
      </c>
      <c r="I76" t="n">
        <v>1.7</v>
      </c>
      <c r="J76" t="n">
        <v>0</v>
      </c>
      <c r="K76" t="n">
        <v>0</v>
      </c>
      <c r="L76" t="n">
        <v>0</v>
      </c>
      <c r="M76" t="n">
        <v>0</v>
      </c>
      <c r="N76" t="n">
        <v>0</v>
      </c>
      <c r="O76" t="n">
        <v>0</v>
      </c>
      <c r="P76" t="n">
        <v>0</v>
      </c>
      <c r="Q76" t="n">
        <v>0</v>
      </c>
      <c r="R76" t="n">
        <v>0</v>
      </c>
      <c r="S76" t="n">
        <v>0</v>
      </c>
      <c r="T76" t="n">
        <v>0</v>
      </c>
      <c r="U76" s="2" t="inlineStr"/>
    </row>
    <row r="77" ht="15" customHeight="1">
      <c r="A77" t="inlineStr">
        <is>
          <t>A 48014-2025</t>
        </is>
      </c>
      <c r="B77" t="inlineStr">
        <is>
          <t>avverkningsanmälan</t>
        </is>
      </c>
      <c r="C77" t="inlineStr">
        <is>
          <t>Föryngringsavverkning</t>
        </is>
      </c>
      <c r="D77" s="1" t="n">
        <v>45932</v>
      </c>
      <c r="E77" s="1" t="n">
        <v>46219</v>
      </c>
      <c r="F77" t="inlineStr">
        <is>
          <t>STOCKHOLMS LÄN</t>
        </is>
      </c>
      <c r="G77" t="inlineStr">
        <is>
          <t>VALLENTUNA</t>
        </is>
      </c>
      <c r="I77" t="n">
        <v>0.6</v>
      </c>
      <c r="J77" t="n">
        <v>0</v>
      </c>
      <c r="K77" t="n">
        <v>0</v>
      </c>
      <c r="L77" t="n">
        <v>0</v>
      </c>
      <c r="M77" t="n">
        <v>0</v>
      </c>
      <c r="N77" t="n">
        <v>0</v>
      </c>
      <c r="O77" t="n">
        <v>0</v>
      </c>
      <c r="P77" t="n">
        <v>0</v>
      </c>
      <c r="Q77" t="n">
        <v>0</v>
      </c>
      <c r="R77" t="n">
        <v>0</v>
      </c>
      <c r="S77" t="n">
        <v>0</v>
      </c>
      <c r="T77" t="n">
        <v>0</v>
      </c>
      <c r="U77" s="2" t="inlineStr"/>
    </row>
    <row r="78" ht="15" customHeight="1">
      <c r="A78" t="inlineStr">
        <is>
          <t>A 48068-2021</t>
        </is>
      </c>
      <c r="B78" t="inlineStr">
        <is>
          <t>avverkningsanmälan</t>
        </is>
      </c>
      <c r="C78" t="inlineStr">
        <is>
          <t>Föryngringsavverkning</t>
        </is>
      </c>
      <c r="D78" s="1" t="n">
        <v>44449</v>
      </c>
      <c r="E78" s="1" t="n">
        <v>46219</v>
      </c>
      <c r="F78" t="inlineStr">
        <is>
          <t>STOCKHOLMS LÄN</t>
        </is>
      </c>
      <c r="G78" t="inlineStr">
        <is>
          <t>VALLENTUNA</t>
        </is>
      </c>
      <c r="I78" t="n">
        <v>1.3</v>
      </c>
      <c r="J78" t="n">
        <v>0</v>
      </c>
      <c r="K78" t="n">
        <v>0</v>
      </c>
      <c r="L78" t="n">
        <v>0</v>
      </c>
      <c r="M78" t="n">
        <v>0</v>
      </c>
      <c r="N78" t="n">
        <v>0</v>
      </c>
      <c r="O78" t="n">
        <v>0</v>
      </c>
      <c r="P78" t="n">
        <v>0</v>
      </c>
      <c r="Q78" t="n">
        <v>0</v>
      </c>
      <c r="R78" t="n">
        <v>0</v>
      </c>
      <c r="S78" t="n">
        <v>0</v>
      </c>
      <c r="T78" t="n">
        <v>0</v>
      </c>
      <c r="U78" s="2" t="inlineStr"/>
    </row>
    <row r="79" ht="15" customHeight="1">
      <c r="A79" t="inlineStr">
        <is>
          <t>A 48038-2025</t>
        </is>
      </c>
      <c r="B79" t="inlineStr">
        <is>
          <t>avverkningsanmälan</t>
        </is>
      </c>
      <c r="C79" t="inlineStr">
        <is>
          <t>Föryngringsavverkning</t>
        </is>
      </c>
      <c r="D79" s="1" t="n">
        <v>45932</v>
      </c>
      <c r="E79" s="1" t="n">
        <v>46219</v>
      </c>
      <c r="F79" t="inlineStr">
        <is>
          <t>STOCKHOLMS LÄN</t>
        </is>
      </c>
      <c r="G79" t="inlineStr">
        <is>
          <t>VALLENTUNA</t>
        </is>
      </c>
      <c r="I79" t="n">
        <v>0.5</v>
      </c>
      <c r="J79" t="n">
        <v>0</v>
      </c>
      <c r="K79" t="n">
        <v>0</v>
      </c>
      <c r="L79" t="n">
        <v>0</v>
      </c>
      <c r="M79" t="n">
        <v>0</v>
      </c>
      <c r="N79" t="n">
        <v>0</v>
      </c>
      <c r="O79" t="n">
        <v>0</v>
      </c>
      <c r="P79" t="n">
        <v>0</v>
      </c>
      <c r="Q79" t="n">
        <v>0</v>
      </c>
      <c r="R79" t="n">
        <v>0</v>
      </c>
      <c r="S79" t="n">
        <v>0</v>
      </c>
      <c r="T79" t="n">
        <v>0</v>
      </c>
      <c r="U79" s="2" t="inlineStr"/>
    </row>
    <row r="80" ht="15" customHeight="1">
      <c r="A80" t="inlineStr">
        <is>
          <t>A 21445-2023</t>
        </is>
      </c>
      <c r="B80" t="inlineStr">
        <is>
          <t>avverkningsanmälan</t>
        </is>
      </c>
      <c r="C80" t="inlineStr">
        <is>
          <t>Föryngringsavverkning</t>
        </is>
      </c>
      <c r="D80" s="1" t="n">
        <v>45063</v>
      </c>
      <c r="E80" s="1" t="n">
        <v>46219</v>
      </c>
      <c r="F80" t="inlineStr">
        <is>
          <t>STOCKHOLMS LÄN</t>
        </is>
      </c>
      <c r="G80" t="inlineStr">
        <is>
          <t>VALLENTUNA</t>
        </is>
      </c>
      <c r="I80" t="n">
        <v>3.1</v>
      </c>
      <c r="J80" t="n">
        <v>0</v>
      </c>
      <c r="K80" t="n">
        <v>0</v>
      </c>
      <c r="L80" t="n">
        <v>0</v>
      </c>
      <c r="M80" t="n">
        <v>0</v>
      </c>
      <c r="N80" t="n">
        <v>0</v>
      </c>
      <c r="O80" t="n">
        <v>0</v>
      </c>
      <c r="P80" t="n">
        <v>0</v>
      </c>
      <c r="Q80" t="n">
        <v>0</v>
      </c>
      <c r="R80" t="n">
        <v>0</v>
      </c>
      <c r="S80" t="n">
        <v>0</v>
      </c>
      <c r="T80" t="n">
        <v>0</v>
      </c>
      <c r="U80" s="2" t="inlineStr"/>
    </row>
    <row r="81" ht="15" customHeight="1">
      <c r="A81" t="inlineStr">
        <is>
          <t>A 3937-2022</t>
        </is>
      </c>
      <c r="B81" t="inlineStr">
        <is>
          <t>avverkningsanmälan</t>
        </is>
      </c>
      <c r="C81" t="inlineStr">
        <is>
          <t>Föryngringsavverkning</t>
        </is>
      </c>
      <c r="D81" s="1" t="n">
        <v>44587</v>
      </c>
      <c r="E81" s="1" t="n">
        <v>46219</v>
      </c>
      <c r="F81" t="inlineStr">
        <is>
          <t>STOCKHOLMS LÄN</t>
        </is>
      </c>
      <c r="G81" t="inlineStr">
        <is>
          <t>VALLENTUNA</t>
        </is>
      </c>
      <c r="I81" t="n">
        <v>6.6</v>
      </c>
      <c r="J81" t="n">
        <v>0</v>
      </c>
      <c r="K81" t="n">
        <v>0</v>
      </c>
      <c r="L81" t="n">
        <v>0</v>
      </c>
      <c r="M81" t="n">
        <v>0</v>
      </c>
      <c r="N81" t="n">
        <v>0</v>
      </c>
      <c r="O81" t="n">
        <v>0</v>
      </c>
      <c r="P81" t="n">
        <v>0</v>
      </c>
      <c r="Q81" t="n">
        <v>0</v>
      </c>
      <c r="R81" t="n">
        <v>0</v>
      </c>
      <c r="S81" t="n">
        <v>0</v>
      </c>
      <c r="T81" t="n">
        <v>0</v>
      </c>
      <c r="U81" s="2" t="inlineStr"/>
    </row>
    <row r="82" ht="15" customHeight="1">
      <c r="A82" t="inlineStr">
        <is>
          <t>A 22683-2023</t>
        </is>
      </c>
      <c r="B82" t="inlineStr">
        <is>
          <t>avverkningsanmälan</t>
        </is>
      </c>
      <c r="C82" t="inlineStr">
        <is>
          <t>Föryngringsavverkning</t>
        </is>
      </c>
      <c r="D82" s="1" t="n">
        <v>45071</v>
      </c>
      <c r="E82" s="1" t="n">
        <v>46219</v>
      </c>
      <c r="F82" t="inlineStr">
        <is>
          <t>STOCKHOLMS LÄN</t>
        </is>
      </c>
      <c r="G82" t="inlineStr">
        <is>
          <t>VALLENTUNA</t>
        </is>
      </c>
      <c r="I82" t="n">
        <v>1.2</v>
      </c>
      <c r="J82" t="n">
        <v>0</v>
      </c>
      <c r="K82" t="n">
        <v>0</v>
      </c>
      <c r="L82" t="n">
        <v>0</v>
      </c>
      <c r="M82" t="n">
        <v>0</v>
      </c>
      <c r="N82" t="n">
        <v>0</v>
      </c>
      <c r="O82" t="n">
        <v>0</v>
      </c>
      <c r="P82" t="n">
        <v>0</v>
      </c>
      <c r="Q82" t="n">
        <v>0</v>
      </c>
      <c r="R82" t="n">
        <v>0</v>
      </c>
      <c r="S82" t="n">
        <v>0</v>
      </c>
      <c r="T82" t="n">
        <v>0</v>
      </c>
      <c r="U82" s="2" t="inlineStr"/>
    </row>
    <row r="83" ht="15" customHeight="1">
      <c r="A83" t="inlineStr">
        <is>
          <t>A 24943-2024</t>
        </is>
      </c>
      <c r="B83" t="inlineStr">
        <is>
          <t>avverkningsanmälan</t>
        </is>
      </c>
      <c r="C83" t="inlineStr">
        <is>
          <t>Föryngringsavverkning</t>
        </is>
      </c>
      <c r="D83" s="1" t="n">
        <v>45461</v>
      </c>
      <c r="E83" s="1" t="n">
        <v>46219</v>
      </c>
      <c r="F83" t="inlineStr">
        <is>
          <t>STOCKHOLMS LÄN</t>
        </is>
      </c>
      <c r="G83" t="inlineStr">
        <is>
          <t>VALLENTUNA</t>
        </is>
      </c>
      <c r="I83" t="n">
        <v>2</v>
      </c>
      <c r="J83" t="n">
        <v>0</v>
      </c>
      <c r="K83" t="n">
        <v>0</v>
      </c>
      <c r="L83" t="n">
        <v>0</v>
      </c>
      <c r="M83" t="n">
        <v>0</v>
      </c>
      <c r="N83" t="n">
        <v>0</v>
      </c>
      <c r="O83" t="n">
        <v>0</v>
      </c>
      <c r="P83" t="n">
        <v>0</v>
      </c>
      <c r="Q83" t="n">
        <v>0</v>
      </c>
      <c r="R83" t="n">
        <v>0</v>
      </c>
      <c r="S83" t="n">
        <v>0</v>
      </c>
      <c r="T83" t="n">
        <v>0</v>
      </c>
      <c r="U83" s="2" t="inlineStr"/>
    </row>
    <row r="84" ht="15" customHeight="1">
      <c r="A84" t="inlineStr">
        <is>
          <t>A 60818-2023</t>
        </is>
      </c>
      <c r="B84" t="inlineStr">
        <is>
          <t>avverkningsanmälan</t>
        </is>
      </c>
      <c r="C84" t="inlineStr">
        <is>
          <t>Föryngringsavverkning</t>
        </is>
      </c>
      <c r="D84" s="1" t="n">
        <v>45259</v>
      </c>
      <c r="E84" s="1" t="n">
        <v>46219</v>
      </c>
      <c r="F84" t="inlineStr">
        <is>
          <t>STOCKHOLMS LÄN</t>
        </is>
      </c>
      <c r="G84" t="inlineStr">
        <is>
          <t>VALLENTUNA</t>
        </is>
      </c>
      <c r="I84" t="n">
        <v>9.4</v>
      </c>
      <c r="J84" t="n">
        <v>0</v>
      </c>
      <c r="K84" t="n">
        <v>0</v>
      </c>
      <c r="L84" t="n">
        <v>0</v>
      </c>
      <c r="M84" t="n">
        <v>0</v>
      </c>
      <c r="N84" t="n">
        <v>0</v>
      </c>
      <c r="O84" t="n">
        <v>0</v>
      </c>
      <c r="P84" t="n">
        <v>0</v>
      </c>
      <c r="Q84" t="n">
        <v>0</v>
      </c>
      <c r="R84" t="n">
        <v>0</v>
      </c>
      <c r="S84" t="n">
        <v>0</v>
      </c>
      <c r="T84" t="n">
        <v>0</v>
      </c>
      <c r="U84" s="2" t="inlineStr"/>
    </row>
    <row r="85" ht="15" customHeight="1">
      <c r="A85" t="inlineStr">
        <is>
          <t>A 5910-2022</t>
        </is>
      </c>
      <c r="B85" t="inlineStr">
        <is>
          <t>avverkningsanmälan</t>
        </is>
      </c>
      <c r="C85" t="inlineStr">
        <is>
          <t>Föryngringsavverkning</t>
        </is>
      </c>
      <c r="D85" s="1" t="n">
        <v>44597</v>
      </c>
      <c r="E85" s="1" t="n">
        <v>46219</v>
      </c>
      <c r="F85" t="inlineStr">
        <is>
          <t>STOCKHOLMS LÄN</t>
        </is>
      </c>
      <c r="G85" t="inlineStr">
        <is>
          <t>VALLENTUNA</t>
        </is>
      </c>
      <c r="I85" t="n">
        <v>0.6</v>
      </c>
      <c r="J85" t="n">
        <v>0</v>
      </c>
      <c r="K85" t="n">
        <v>0</v>
      </c>
      <c r="L85" t="n">
        <v>0</v>
      </c>
      <c r="M85" t="n">
        <v>0</v>
      </c>
      <c r="N85" t="n">
        <v>0</v>
      </c>
      <c r="O85" t="n">
        <v>0</v>
      </c>
      <c r="P85" t="n">
        <v>0</v>
      </c>
      <c r="Q85" t="n">
        <v>0</v>
      </c>
      <c r="R85" t="n">
        <v>0</v>
      </c>
      <c r="S85" t="n">
        <v>0</v>
      </c>
      <c r="T85" t="n">
        <v>0</v>
      </c>
      <c r="U85" s="2" t="inlineStr"/>
    </row>
    <row r="86" ht="15" customHeight="1">
      <c r="A86" t="inlineStr">
        <is>
          <t>A 26390-2023</t>
        </is>
      </c>
      <c r="B86" t="inlineStr">
        <is>
          <t>avverkningsanmälan</t>
        </is>
      </c>
      <c r="C86" t="inlineStr">
        <is>
          <t>Föryngringsavverkning</t>
        </is>
      </c>
      <c r="D86" s="1" t="n">
        <v>45086</v>
      </c>
      <c r="E86" s="1" t="n">
        <v>46219</v>
      </c>
      <c r="F86" t="inlineStr">
        <is>
          <t>STOCKHOLMS LÄN</t>
        </is>
      </c>
      <c r="G86" t="inlineStr">
        <is>
          <t>VALLENTUNA</t>
        </is>
      </c>
      <c r="I86" t="n">
        <v>1.6</v>
      </c>
      <c r="J86" t="n">
        <v>0</v>
      </c>
      <c r="K86" t="n">
        <v>0</v>
      </c>
      <c r="L86" t="n">
        <v>0</v>
      </c>
      <c r="M86" t="n">
        <v>0</v>
      </c>
      <c r="N86" t="n">
        <v>0</v>
      </c>
      <c r="O86" t="n">
        <v>0</v>
      </c>
      <c r="P86" t="n">
        <v>0</v>
      </c>
      <c r="Q86" t="n">
        <v>0</v>
      </c>
      <c r="R86" t="n">
        <v>0</v>
      </c>
      <c r="S86" t="n">
        <v>0</v>
      </c>
      <c r="T86" t="n">
        <v>0</v>
      </c>
      <c r="U86" s="2" t="inlineStr"/>
    </row>
    <row r="87" ht="15" customHeight="1">
      <c r="A87" t="inlineStr">
        <is>
          <t>A 17411-2023</t>
        </is>
      </c>
      <c r="B87" t="inlineStr">
        <is>
          <t>avverkningsanmälan</t>
        </is>
      </c>
      <c r="C87" t="inlineStr">
        <is>
          <t>Föryngringsavverkning</t>
        </is>
      </c>
      <c r="D87" s="1" t="n">
        <v>45035</v>
      </c>
      <c r="E87" s="1" t="n">
        <v>46219</v>
      </c>
      <c r="F87" t="inlineStr">
        <is>
          <t>STOCKHOLMS LÄN</t>
        </is>
      </c>
      <c r="G87" t="inlineStr">
        <is>
          <t>VALLENTUNA</t>
        </is>
      </c>
      <c r="I87" t="n">
        <v>0.7</v>
      </c>
      <c r="J87" t="n">
        <v>0</v>
      </c>
      <c r="K87" t="n">
        <v>0</v>
      </c>
      <c r="L87" t="n">
        <v>0</v>
      </c>
      <c r="M87" t="n">
        <v>0</v>
      </c>
      <c r="N87" t="n">
        <v>0</v>
      </c>
      <c r="O87" t="n">
        <v>0</v>
      </c>
      <c r="P87" t="n">
        <v>0</v>
      </c>
      <c r="Q87" t="n">
        <v>0</v>
      </c>
      <c r="R87" t="n">
        <v>0</v>
      </c>
      <c r="S87" t="n">
        <v>0</v>
      </c>
      <c r="T87" t="n">
        <v>0</v>
      </c>
      <c r="U87" s="2" t="inlineStr"/>
    </row>
    <row r="88" ht="15" customHeight="1">
      <c r="A88" t="inlineStr">
        <is>
          <t>A 24707-2023</t>
        </is>
      </c>
      <c r="B88" t="inlineStr">
        <is>
          <t>avverkningsanmälan</t>
        </is>
      </c>
      <c r="C88" t="inlineStr">
        <is>
          <t>Föryngringsavverkning</t>
        </is>
      </c>
      <c r="D88" s="1" t="n">
        <v>45084</v>
      </c>
      <c r="E88" s="1" t="n">
        <v>46219</v>
      </c>
      <c r="F88" t="inlineStr">
        <is>
          <t>STOCKHOLMS LÄN</t>
        </is>
      </c>
      <c r="G88" t="inlineStr">
        <is>
          <t>VALLENTUNA</t>
        </is>
      </c>
      <c r="I88" t="n">
        <v>1.1</v>
      </c>
      <c r="J88" t="n">
        <v>0</v>
      </c>
      <c r="K88" t="n">
        <v>0</v>
      </c>
      <c r="L88" t="n">
        <v>0</v>
      </c>
      <c r="M88" t="n">
        <v>0</v>
      </c>
      <c r="N88" t="n">
        <v>0</v>
      </c>
      <c r="O88" t="n">
        <v>0</v>
      </c>
      <c r="P88" t="n">
        <v>0</v>
      </c>
      <c r="Q88" t="n">
        <v>0</v>
      </c>
      <c r="R88" t="n">
        <v>0</v>
      </c>
      <c r="S88" t="n">
        <v>0</v>
      </c>
      <c r="T88" t="n">
        <v>0</v>
      </c>
      <c r="U88" s="2" t="inlineStr"/>
    </row>
    <row r="89" ht="15" customHeight="1">
      <c r="A89" t="inlineStr">
        <is>
          <t>A 12609-2024</t>
        </is>
      </c>
      <c r="B89" t="inlineStr">
        <is>
          <t>avverkningsanmälan</t>
        </is>
      </c>
      <c r="C89" t="inlineStr">
        <is>
          <t>Avverkning för annat ändamål</t>
        </is>
      </c>
      <c r="D89" s="1" t="n">
        <v>45382</v>
      </c>
      <c r="E89" s="1" t="n">
        <v>46219</v>
      </c>
      <c r="F89" t="inlineStr">
        <is>
          <t>STOCKHOLMS LÄN</t>
        </is>
      </c>
      <c r="G89" t="inlineStr">
        <is>
          <t>VALLENTUNA</t>
        </is>
      </c>
      <c r="I89" t="n">
        <v>0.9</v>
      </c>
      <c r="J89" t="n">
        <v>0</v>
      </c>
      <c r="K89" t="n">
        <v>0</v>
      </c>
      <c r="L89" t="n">
        <v>0</v>
      </c>
      <c r="M89" t="n">
        <v>0</v>
      </c>
      <c r="N89" t="n">
        <v>0</v>
      </c>
      <c r="O89" t="n">
        <v>0</v>
      </c>
      <c r="P89" t="n">
        <v>0</v>
      </c>
      <c r="Q89" t="n">
        <v>0</v>
      </c>
      <c r="R89" t="n">
        <v>0</v>
      </c>
      <c r="S89" t="n">
        <v>0</v>
      </c>
      <c r="T89" t="n">
        <v>0</v>
      </c>
      <c r="U89" s="2" t="inlineStr"/>
    </row>
    <row r="90" ht="15" customHeight="1">
      <c r="A90" t="inlineStr">
        <is>
          <t>A 24740-2026</t>
        </is>
      </c>
      <c r="B90" t="inlineStr">
        <is>
          <t>avverkningsanmälan</t>
        </is>
      </c>
      <c r="C90" t="inlineStr">
        <is>
          <t>Föryngringsavverkning</t>
        </is>
      </c>
      <c r="D90" s="1" t="n">
        <v>46171</v>
      </c>
      <c r="E90" s="1" t="n">
        <v>46219</v>
      </c>
      <c r="F90" t="inlineStr">
        <is>
          <t>STOCKHOLMS LÄN</t>
        </is>
      </c>
      <c r="G90" t="inlineStr">
        <is>
          <t>VALLENTUNA</t>
        </is>
      </c>
      <c r="H90" t="inlineStr">
        <is>
          <t>Övriga Aktiebolag</t>
        </is>
      </c>
      <c r="I90" t="n">
        <v>5.7</v>
      </c>
      <c r="J90" t="n">
        <v>0</v>
      </c>
      <c r="K90" t="n">
        <v>0</v>
      </c>
      <c r="L90" t="n">
        <v>0</v>
      </c>
      <c r="M90" t="n">
        <v>0</v>
      </c>
      <c r="N90" t="n">
        <v>0</v>
      </c>
      <c r="O90" t="n">
        <v>0</v>
      </c>
      <c r="P90" t="n">
        <v>0</v>
      </c>
      <c r="Q90" t="n">
        <v>0</v>
      </c>
      <c r="R90" t="n">
        <v>0</v>
      </c>
      <c r="S90" t="n">
        <v>0</v>
      </c>
      <c r="T90" t="n">
        <v>0</v>
      </c>
      <c r="U90" s="2" t="inlineStr"/>
    </row>
    <row r="91" ht="15" customHeight="1">
      <c r="A91" t="inlineStr">
        <is>
          <t>A 47140-2024</t>
        </is>
      </c>
      <c r="B91" t="inlineStr">
        <is>
          <t>avverkningsanmälan</t>
        </is>
      </c>
      <c r="C91" t="inlineStr">
        <is>
          <t>Föryngringsavverkning</t>
        </is>
      </c>
      <c r="D91" s="1" t="n">
        <v>45586</v>
      </c>
      <c r="E91" s="1" t="n">
        <v>46219</v>
      </c>
      <c r="F91" t="inlineStr">
        <is>
          <t>STOCKHOLMS LÄN</t>
        </is>
      </c>
      <c r="G91" t="inlineStr">
        <is>
          <t>VALLENTUNA</t>
        </is>
      </c>
      <c r="I91" t="n">
        <v>1</v>
      </c>
      <c r="J91" t="n">
        <v>0</v>
      </c>
      <c r="K91" t="n">
        <v>0</v>
      </c>
      <c r="L91" t="n">
        <v>0</v>
      </c>
      <c r="M91" t="n">
        <v>0</v>
      </c>
      <c r="N91" t="n">
        <v>0</v>
      </c>
      <c r="O91" t="n">
        <v>0</v>
      </c>
      <c r="P91" t="n">
        <v>0</v>
      </c>
      <c r="Q91" t="n">
        <v>0</v>
      </c>
      <c r="R91" t="n">
        <v>0</v>
      </c>
      <c r="S91" t="n">
        <v>0</v>
      </c>
      <c r="T91" t="n">
        <v>0</v>
      </c>
      <c r="U91" s="2" t="inlineStr"/>
    </row>
    <row r="92" ht="15" customHeight="1">
      <c r="A92" t="inlineStr">
        <is>
          <t>A 61646-2025</t>
        </is>
      </c>
      <c r="B92" t="inlineStr">
        <is>
          <t>avverkningsanmälan</t>
        </is>
      </c>
      <c r="C92" t="inlineStr">
        <is>
          <t>Föryngringsavverkning</t>
        </is>
      </c>
      <c r="D92" s="1" t="n">
        <v>46002</v>
      </c>
      <c r="E92" s="1" t="n">
        <v>46219</v>
      </c>
      <c r="F92" t="inlineStr">
        <is>
          <t>STOCKHOLMS LÄN</t>
        </is>
      </c>
      <c r="G92" t="inlineStr">
        <is>
          <t>VALLENTUNA</t>
        </is>
      </c>
      <c r="I92" t="n">
        <v>3.7</v>
      </c>
      <c r="J92" t="n">
        <v>0</v>
      </c>
      <c r="K92" t="n">
        <v>0</v>
      </c>
      <c r="L92" t="n">
        <v>0</v>
      </c>
      <c r="M92" t="n">
        <v>0</v>
      </c>
      <c r="N92" t="n">
        <v>0</v>
      </c>
      <c r="O92" t="n">
        <v>0</v>
      </c>
      <c r="P92" t="n">
        <v>0</v>
      </c>
      <c r="Q92" t="n">
        <v>0</v>
      </c>
      <c r="R92" t="n">
        <v>0</v>
      </c>
      <c r="S92" t="n">
        <v>0</v>
      </c>
      <c r="T92" t="n">
        <v>0</v>
      </c>
      <c r="U92" s="2" t="inlineStr"/>
    </row>
    <row r="93" ht="15" customHeight="1">
      <c r="A93" t="inlineStr">
        <is>
          <t>A 9063-2024</t>
        </is>
      </c>
      <c r="B93" t="inlineStr">
        <is>
          <t>avverkningsanmälan</t>
        </is>
      </c>
      <c r="C93" t="inlineStr">
        <is>
          <t>Föryngringsavverkning</t>
        </is>
      </c>
      <c r="D93" s="1" t="n">
        <v>45357</v>
      </c>
      <c r="E93" s="1" t="n">
        <v>46219</v>
      </c>
      <c r="F93" t="inlineStr">
        <is>
          <t>STOCKHOLMS LÄN</t>
        </is>
      </c>
      <c r="G93" t="inlineStr">
        <is>
          <t>VALLENTUNA</t>
        </is>
      </c>
      <c r="I93" t="n">
        <v>4.1</v>
      </c>
      <c r="J93" t="n">
        <v>0</v>
      </c>
      <c r="K93" t="n">
        <v>0</v>
      </c>
      <c r="L93" t="n">
        <v>0</v>
      </c>
      <c r="M93" t="n">
        <v>0</v>
      </c>
      <c r="N93" t="n">
        <v>0</v>
      </c>
      <c r="O93" t="n">
        <v>0</v>
      </c>
      <c r="P93" t="n">
        <v>0</v>
      </c>
      <c r="Q93" t="n">
        <v>0</v>
      </c>
      <c r="R93" t="n">
        <v>0</v>
      </c>
      <c r="S93" t="n">
        <v>0</v>
      </c>
      <c r="T93" t="n">
        <v>0</v>
      </c>
      <c r="U93" s="2" t="inlineStr"/>
    </row>
    <row r="94" ht="15" customHeight="1">
      <c r="A94" t="inlineStr">
        <is>
          <t>A 38102-2024</t>
        </is>
      </c>
      <c r="B94" t="inlineStr">
        <is>
          <t>avverkningsanmälan</t>
        </is>
      </c>
      <c r="C94" t="inlineStr">
        <is>
          <t>Föryngringsavverkning</t>
        </is>
      </c>
      <c r="D94" s="1" t="n">
        <v>45545</v>
      </c>
      <c r="E94" s="1" t="n">
        <v>46219</v>
      </c>
      <c r="F94" t="inlineStr">
        <is>
          <t>STOCKHOLMS LÄN</t>
        </is>
      </c>
      <c r="G94" t="inlineStr">
        <is>
          <t>VALLENTUNA</t>
        </is>
      </c>
      <c r="I94" t="n">
        <v>3.2</v>
      </c>
      <c r="J94" t="n">
        <v>0</v>
      </c>
      <c r="K94" t="n">
        <v>0</v>
      </c>
      <c r="L94" t="n">
        <v>0</v>
      </c>
      <c r="M94" t="n">
        <v>0</v>
      </c>
      <c r="N94" t="n">
        <v>0</v>
      </c>
      <c r="O94" t="n">
        <v>0</v>
      </c>
      <c r="P94" t="n">
        <v>0</v>
      </c>
      <c r="Q94" t="n">
        <v>0</v>
      </c>
      <c r="R94" t="n">
        <v>0</v>
      </c>
      <c r="S94" t="n">
        <v>0</v>
      </c>
      <c r="T94" t="n">
        <v>0</v>
      </c>
      <c r="U94" s="2" t="inlineStr"/>
    </row>
    <row r="95" ht="15" customHeight="1">
      <c r="A95" t="inlineStr">
        <is>
          <t>A 4803-2024</t>
        </is>
      </c>
      <c r="B95" t="inlineStr">
        <is>
          <t>avverkningsanmälan</t>
        </is>
      </c>
      <c r="C95" t="inlineStr">
        <is>
          <t>Avverkning för annat ändamål</t>
        </is>
      </c>
      <c r="D95" s="1" t="n">
        <v>45328</v>
      </c>
      <c r="E95" s="1" t="n">
        <v>46219</v>
      </c>
      <c r="F95" t="inlineStr">
        <is>
          <t>STOCKHOLMS LÄN</t>
        </is>
      </c>
      <c r="G95" t="inlineStr">
        <is>
          <t>VALLENTUNA</t>
        </is>
      </c>
      <c r="I95" t="n">
        <v>4.6</v>
      </c>
      <c r="J95" t="n">
        <v>0</v>
      </c>
      <c r="K95" t="n">
        <v>0</v>
      </c>
      <c r="L95" t="n">
        <v>0</v>
      </c>
      <c r="M95" t="n">
        <v>0</v>
      </c>
      <c r="N95" t="n">
        <v>0</v>
      </c>
      <c r="O95" t="n">
        <v>0</v>
      </c>
      <c r="P95" t="n">
        <v>0</v>
      </c>
      <c r="Q95" t="n">
        <v>0</v>
      </c>
      <c r="R95" t="n">
        <v>0</v>
      </c>
      <c r="S95" t="n">
        <v>0</v>
      </c>
      <c r="T95" t="n">
        <v>0</v>
      </c>
      <c r="U95" s="2" t="inlineStr"/>
    </row>
    <row r="96" ht="15" customHeight="1">
      <c r="A96" t="inlineStr">
        <is>
          <t>A 17340-2025</t>
        </is>
      </c>
      <c r="B96" t="inlineStr">
        <is>
          <t>avverkningsanmälan</t>
        </is>
      </c>
      <c r="C96" t="inlineStr">
        <is>
          <t>Föryngringsavverkning</t>
        </is>
      </c>
      <c r="D96" s="1" t="n">
        <v>45756</v>
      </c>
      <c r="E96" s="1" t="n">
        <v>46219</v>
      </c>
      <c r="F96" t="inlineStr">
        <is>
          <t>STOCKHOLMS LÄN</t>
        </is>
      </c>
      <c r="G96" t="inlineStr">
        <is>
          <t>VALLENTUNA</t>
        </is>
      </c>
      <c r="H96" t="inlineStr">
        <is>
          <t>Övriga Aktiebolag</t>
        </is>
      </c>
      <c r="I96" t="n">
        <v>2.6</v>
      </c>
      <c r="J96" t="n">
        <v>0</v>
      </c>
      <c r="K96" t="n">
        <v>0</v>
      </c>
      <c r="L96" t="n">
        <v>0</v>
      </c>
      <c r="M96" t="n">
        <v>0</v>
      </c>
      <c r="N96" t="n">
        <v>0</v>
      </c>
      <c r="O96" t="n">
        <v>0</v>
      </c>
      <c r="P96" t="n">
        <v>0</v>
      </c>
      <c r="Q96" t="n">
        <v>0</v>
      </c>
      <c r="R96" t="n">
        <v>0</v>
      </c>
      <c r="S96" t="n">
        <v>0</v>
      </c>
      <c r="T96" t="n">
        <v>0</v>
      </c>
      <c r="U96" s="2" t="inlineStr"/>
    </row>
    <row r="97" ht="15" customHeight="1">
      <c r="A97" t="inlineStr">
        <is>
          <t>A 414-2026</t>
        </is>
      </c>
      <c r="B97" t="inlineStr">
        <is>
          <t>avverkningsanmälan</t>
        </is>
      </c>
      <c r="C97" t="inlineStr">
        <is>
          <t>Föryngringsavverkning</t>
        </is>
      </c>
      <c r="D97" s="1" t="n">
        <v>46028</v>
      </c>
      <c r="E97" s="1" t="n">
        <v>46219</v>
      </c>
      <c r="F97" t="inlineStr">
        <is>
          <t>STOCKHOLMS LÄN</t>
        </is>
      </c>
      <c r="G97" t="inlineStr">
        <is>
          <t>VALLENTUNA</t>
        </is>
      </c>
      <c r="I97" t="n">
        <v>2.6</v>
      </c>
      <c r="J97" t="n">
        <v>0</v>
      </c>
      <c r="K97" t="n">
        <v>0</v>
      </c>
      <c r="L97" t="n">
        <v>0</v>
      </c>
      <c r="M97" t="n">
        <v>0</v>
      </c>
      <c r="N97" t="n">
        <v>0</v>
      </c>
      <c r="O97" t="n">
        <v>0</v>
      </c>
      <c r="P97" t="n">
        <v>0</v>
      </c>
      <c r="Q97" t="n">
        <v>0</v>
      </c>
      <c r="R97" t="n">
        <v>0</v>
      </c>
      <c r="S97" t="n">
        <v>0</v>
      </c>
      <c r="T97" t="n">
        <v>0</v>
      </c>
      <c r="U97" s="2" t="inlineStr"/>
    </row>
    <row r="98" ht="15" customHeight="1">
      <c r="A98" t="inlineStr">
        <is>
          <t>A 52542-2023</t>
        </is>
      </c>
      <c r="B98" t="inlineStr">
        <is>
          <t>avverkningsanmälan</t>
        </is>
      </c>
      <c r="C98" t="inlineStr">
        <is>
          <t>Föryngringsavverkning</t>
        </is>
      </c>
      <c r="D98" s="1" t="n">
        <v>45225</v>
      </c>
      <c r="E98" s="1" t="n">
        <v>46219</v>
      </c>
      <c r="F98" t="inlineStr">
        <is>
          <t>STOCKHOLMS LÄN</t>
        </is>
      </c>
      <c r="G98" t="inlineStr">
        <is>
          <t>VALLENTUNA</t>
        </is>
      </c>
      <c r="I98" t="n">
        <v>3.8</v>
      </c>
      <c r="J98" t="n">
        <v>0</v>
      </c>
      <c r="K98" t="n">
        <v>0</v>
      </c>
      <c r="L98" t="n">
        <v>0</v>
      </c>
      <c r="M98" t="n">
        <v>0</v>
      </c>
      <c r="N98" t="n">
        <v>0</v>
      </c>
      <c r="O98" t="n">
        <v>0</v>
      </c>
      <c r="P98" t="n">
        <v>0</v>
      </c>
      <c r="Q98" t="n">
        <v>0</v>
      </c>
      <c r="R98" t="n">
        <v>0</v>
      </c>
      <c r="S98" t="n">
        <v>0</v>
      </c>
      <c r="T98" t="n">
        <v>0</v>
      </c>
      <c r="U98" s="2" t="inlineStr"/>
    </row>
    <row r="99" ht="15" customHeight="1">
      <c r="A99" t="inlineStr">
        <is>
          <t>A 10073-2024</t>
        </is>
      </c>
      <c r="B99" t="inlineStr">
        <is>
          <t>avverkningsanmälan</t>
        </is>
      </c>
      <c r="C99" t="inlineStr">
        <is>
          <t>Föryngringsavverkning</t>
        </is>
      </c>
      <c r="D99" s="1" t="n">
        <v>45364</v>
      </c>
      <c r="E99" s="1" t="n">
        <v>46219</v>
      </c>
      <c r="F99" t="inlineStr">
        <is>
          <t>STOCKHOLMS LÄN</t>
        </is>
      </c>
      <c r="G99" t="inlineStr">
        <is>
          <t>VALLENTUNA</t>
        </is>
      </c>
      <c r="I99" t="n">
        <v>1.1</v>
      </c>
      <c r="J99" t="n">
        <v>0</v>
      </c>
      <c r="K99" t="n">
        <v>0</v>
      </c>
      <c r="L99" t="n">
        <v>0</v>
      </c>
      <c r="M99" t="n">
        <v>0</v>
      </c>
      <c r="N99" t="n">
        <v>0</v>
      </c>
      <c r="O99" t="n">
        <v>0</v>
      </c>
      <c r="P99" t="n">
        <v>0</v>
      </c>
      <c r="Q99" t="n">
        <v>0</v>
      </c>
      <c r="R99" t="n">
        <v>0</v>
      </c>
      <c r="S99" t="n">
        <v>0</v>
      </c>
      <c r="T99" t="n">
        <v>0</v>
      </c>
      <c r="U99" s="2" t="inlineStr"/>
    </row>
    <row r="100" ht="15" customHeight="1">
      <c r="A100" t="inlineStr">
        <is>
          <t>A 12621-2024</t>
        </is>
      </c>
      <c r="B100" t="inlineStr">
        <is>
          <t>avverkningsanmälan</t>
        </is>
      </c>
      <c r="C100" t="inlineStr">
        <is>
          <t>Föryngringsavverkning</t>
        </is>
      </c>
      <c r="D100" s="1" t="n">
        <v>45383</v>
      </c>
      <c r="E100" s="1" t="n">
        <v>46219</v>
      </c>
      <c r="F100" t="inlineStr">
        <is>
          <t>STOCKHOLMS LÄN</t>
        </is>
      </c>
      <c r="G100" t="inlineStr">
        <is>
          <t>VALLENTUNA</t>
        </is>
      </c>
      <c r="I100" t="n">
        <v>4.4</v>
      </c>
      <c r="J100" t="n">
        <v>0</v>
      </c>
      <c r="K100" t="n">
        <v>0</v>
      </c>
      <c r="L100" t="n">
        <v>0</v>
      </c>
      <c r="M100" t="n">
        <v>0</v>
      </c>
      <c r="N100" t="n">
        <v>0</v>
      </c>
      <c r="O100" t="n">
        <v>0</v>
      </c>
      <c r="P100" t="n">
        <v>0</v>
      </c>
      <c r="Q100" t="n">
        <v>0</v>
      </c>
      <c r="R100" t="n">
        <v>0</v>
      </c>
      <c r="S100" t="n">
        <v>0</v>
      </c>
      <c r="T100" t="n">
        <v>0</v>
      </c>
      <c r="U100" s="2" t="inlineStr"/>
    </row>
    <row r="101" ht="15" customHeight="1">
      <c r="A101" t="inlineStr">
        <is>
          <t>A 46381-2023</t>
        </is>
      </c>
      <c r="B101" t="inlineStr">
        <is>
          <t>avverkningsanmälan</t>
        </is>
      </c>
      <c r="C101" t="inlineStr">
        <is>
          <t>Föryngringsavverkning</t>
        </is>
      </c>
      <c r="D101" s="1" t="n">
        <v>45193</v>
      </c>
      <c r="E101" s="1" t="n">
        <v>46219</v>
      </c>
      <c r="F101" t="inlineStr">
        <is>
          <t>STOCKHOLMS LÄN</t>
        </is>
      </c>
      <c r="G101" t="inlineStr">
        <is>
          <t>VALLENTUNA</t>
        </is>
      </c>
      <c r="I101" t="n">
        <v>2.9</v>
      </c>
      <c r="J101" t="n">
        <v>0</v>
      </c>
      <c r="K101" t="n">
        <v>0</v>
      </c>
      <c r="L101" t="n">
        <v>0</v>
      </c>
      <c r="M101" t="n">
        <v>0</v>
      </c>
      <c r="N101" t="n">
        <v>0</v>
      </c>
      <c r="O101" t="n">
        <v>0</v>
      </c>
      <c r="P101" t="n">
        <v>0</v>
      </c>
      <c r="Q101" t="n">
        <v>0</v>
      </c>
      <c r="R101" t="n">
        <v>0</v>
      </c>
      <c r="S101" t="n">
        <v>0</v>
      </c>
      <c r="T101" t="n">
        <v>0</v>
      </c>
      <c r="U101" s="2" t="inlineStr"/>
    </row>
    <row r="102" ht="15" customHeight="1">
      <c r="A102" t="inlineStr">
        <is>
          <t>A 11950-2025</t>
        </is>
      </c>
      <c r="B102" t="inlineStr">
        <is>
          <t>avverkningsanmälan</t>
        </is>
      </c>
      <c r="C102" t="inlineStr">
        <is>
          <t>Föryngringsavverkning</t>
        </is>
      </c>
      <c r="D102" s="1" t="n">
        <v>45728</v>
      </c>
      <c r="E102" s="1" t="n">
        <v>46219</v>
      </c>
      <c r="F102" t="inlineStr">
        <is>
          <t>STOCKHOLMS LÄN</t>
        </is>
      </c>
      <c r="G102" t="inlineStr">
        <is>
          <t>VALLENTUNA</t>
        </is>
      </c>
      <c r="I102" t="n">
        <v>1.4</v>
      </c>
      <c r="J102" t="n">
        <v>0</v>
      </c>
      <c r="K102" t="n">
        <v>0</v>
      </c>
      <c r="L102" t="n">
        <v>0</v>
      </c>
      <c r="M102" t="n">
        <v>0</v>
      </c>
      <c r="N102" t="n">
        <v>0</v>
      </c>
      <c r="O102" t="n">
        <v>0</v>
      </c>
      <c r="P102" t="n">
        <v>0</v>
      </c>
      <c r="Q102" t="n">
        <v>0</v>
      </c>
      <c r="R102" t="n">
        <v>0</v>
      </c>
      <c r="S102" t="n">
        <v>0</v>
      </c>
      <c r="T102" t="n">
        <v>0</v>
      </c>
      <c r="U102" s="2" t="inlineStr"/>
    </row>
    <row r="103" ht="15" customHeight="1">
      <c r="A103" t="inlineStr">
        <is>
          <t>A 61027-2023</t>
        </is>
      </c>
      <c r="B103" t="inlineStr">
        <is>
          <t>avverkningsanmälan</t>
        </is>
      </c>
      <c r="C103" t="inlineStr">
        <is>
          <t>Föryngringsavverkning</t>
        </is>
      </c>
      <c r="D103" s="1" t="n">
        <v>45261</v>
      </c>
      <c r="E103" s="1" t="n">
        <v>46219</v>
      </c>
      <c r="F103" t="inlineStr">
        <is>
          <t>STOCKHOLMS LÄN</t>
        </is>
      </c>
      <c r="G103" t="inlineStr">
        <is>
          <t>VALLENTUNA</t>
        </is>
      </c>
      <c r="I103" t="n">
        <v>7.1</v>
      </c>
      <c r="J103" t="n">
        <v>0</v>
      </c>
      <c r="K103" t="n">
        <v>0</v>
      </c>
      <c r="L103" t="n">
        <v>0</v>
      </c>
      <c r="M103" t="n">
        <v>0</v>
      </c>
      <c r="N103" t="n">
        <v>0</v>
      </c>
      <c r="O103" t="n">
        <v>0</v>
      </c>
      <c r="P103" t="n">
        <v>0</v>
      </c>
      <c r="Q103" t="n">
        <v>0</v>
      </c>
      <c r="R103" t="n">
        <v>0</v>
      </c>
      <c r="S103" t="n">
        <v>0</v>
      </c>
      <c r="T103" t="n">
        <v>0</v>
      </c>
      <c r="U103" s="2" t="inlineStr"/>
    </row>
    <row r="104" ht="15" customHeight="1">
      <c r="A104" t="inlineStr">
        <is>
          <t>A 6298-2026</t>
        </is>
      </c>
      <c r="B104" t="inlineStr">
        <is>
          <t>avverkningsanmälan</t>
        </is>
      </c>
      <c r="C104" t="inlineStr">
        <is>
          <t>Föryngringsavverkning</t>
        </is>
      </c>
      <c r="D104" s="1" t="n">
        <v>46055</v>
      </c>
      <c r="E104" s="1" t="n">
        <v>46219</v>
      </c>
      <c r="F104" t="inlineStr">
        <is>
          <t>STOCKHOLMS LÄN</t>
        </is>
      </c>
      <c r="G104" t="inlineStr">
        <is>
          <t>VALLENTUNA</t>
        </is>
      </c>
      <c r="I104" t="n">
        <v>3.3</v>
      </c>
      <c r="J104" t="n">
        <v>0</v>
      </c>
      <c r="K104" t="n">
        <v>0</v>
      </c>
      <c r="L104" t="n">
        <v>0</v>
      </c>
      <c r="M104" t="n">
        <v>0</v>
      </c>
      <c r="N104" t="n">
        <v>0</v>
      </c>
      <c r="O104" t="n">
        <v>0</v>
      </c>
      <c r="P104" t="n">
        <v>0</v>
      </c>
      <c r="Q104" t="n">
        <v>0</v>
      </c>
      <c r="R104" t="n">
        <v>0</v>
      </c>
      <c r="S104" t="n">
        <v>0</v>
      </c>
      <c r="T104" t="n">
        <v>0</v>
      </c>
      <c r="U104" s="2" t="inlineStr"/>
    </row>
    <row r="105" ht="15" customHeight="1">
      <c r="A105" t="inlineStr">
        <is>
          <t>A 14489-2024</t>
        </is>
      </c>
      <c r="B105" t="inlineStr">
        <is>
          <t>avverkningsanmälan</t>
        </is>
      </c>
      <c r="C105" t="inlineStr">
        <is>
          <t>Föryngringsavverkning</t>
        </is>
      </c>
      <c r="D105" s="1" t="n">
        <v>45394</v>
      </c>
      <c r="E105" s="1" t="n">
        <v>46219</v>
      </c>
      <c r="F105" t="inlineStr">
        <is>
          <t>STOCKHOLMS LÄN</t>
        </is>
      </c>
      <c r="G105" t="inlineStr">
        <is>
          <t>VALLENTUNA</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52562-2023</t>
        </is>
      </c>
      <c r="B106" t="inlineStr">
        <is>
          <t>avverkningsanmälan</t>
        </is>
      </c>
      <c r="C106" t="inlineStr">
        <is>
          <t>Föryngringsavverkning</t>
        </is>
      </c>
      <c r="D106" s="1" t="n">
        <v>45225</v>
      </c>
      <c r="E106" s="1" t="n">
        <v>46219</v>
      </c>
      <c r="F106" t="inlineStr">
        <is>
          <t>STOCKHOLMS LÄN</t>
        </is>
      </c>
      <c r="G106" t="inlineStr">
        <is>
          <t>VALLENTUNA</t>
        </is>
      </c>
      <c r="I106" t="n">
        <v>3.4</v>
      </c>
      <c r="J106" t="n">
        <v>0</v>
      </c>
      <c r="K106" t="n">
        <v>0</v>
      </c>
      <c r="L106" t="n">
        <v>0</v>
      </c>
      <c r="M106" t="n">
        <v>0</v>
      </c>
      <c r="N106" t="n">
        <v>0</v>
      </c>
      <c r="O106" t="n">
        <v>0</v>
      </c>
      <c r="P106" t="n">
        <v>0</v>
      </c>
      <c r="Q106" t="n">
        <v>0</v>
      </c>
      <c r="R106" t="n">
        <v>0</v>
      </c>
      <c r="S106" t="n">
        <v>0</v>
      </c>
      <c r="T106" t="n">
        <v>0</v>
      </c>
      <c r="U106" s="2" t="inlineStr"/>
    </row>
    <row r="107" ht="15" customHeight="1">
      <c r="A107" t="inlineStr">
        <is>
          <t>A 12400-2026</t>
        </is>
      </c>
      <c r="B107" t="inlineStr">
        <is>
          <t>avverkningsanmälan</t>
        </is>
      </c>
      <c r="C107" t="inlineStr">
        <is>
          <t>Föryngringsavverkning</t>
        </is>
      </c>
      <c r="D107" s="1" t="n">
        <v>46090</v>
      </c>
      <c r="E107" s="1" t="n">
        <v>46219</v>
      </c>
      <c r="F107" t="inlineStr">
        <is>
          <t>STOCKHOLMS LÄN</t>
        </is>
      </c>
      <c r="G107" t="inlineStr">
        <is>
          <t>VALLENTUNA</t>
        </is>
      </c>
      <c r="I107" t="n">
        <v>1.9</v>
      </c>
      <c r="J107" t="n">
        <v>0</v>
      </c>
      <c r="K107" t="n">
        <v>0</v>
      </c>
      <c r="L107" t="n">
        <v>0</v>
      </c>
      <c r="M107" t="n">
        <v>0</v>
      </c>
      <c r="N107" t="n">
        <v>0</v>
      </c>
      <c r="O107" t="n">
        <v>0</v>
      </c>
      <c r="P107" t="n">
        <v>0</v>
      </c>
      <c r="Q107" t="n">
        <v>0</v>
      </c>
      <c r="R107" t="n">
        <v>0</v>
      </c>
      <c r="S107" t="n">
        <v>0</v>
      </c>
      <c r="T107" t="n">
        <v>0</v>
      </c>
      <c r="U107" s="2" t="inlineStr"/>
    </row>
    <row r="108" ht="15" customHeight="1">
      <c r="A108" t="inlineStr">
        <is>
          <t>A 12819-2026</t>
        </is>
      </c>
      <c r="B108" t="inlineStr">
        <is>
          <t>avverkningsanmälan</t>
        </is>
      </c>
      <c r="C108" t="inlineStr">
        <is>
          <t>Föryngringsavverkning</t>
        </is>
      </c>
      <c r="D108" s="1" t="n">
        <v>46092</v>
      </c>
      <c r="E108" s="1" t="n">
        <v>46219</v>
      </c>
      <c r="F108" t="inlineStr">
        <is>
          <t>STOCKHOLMS LÄN</t>
        </is>
      </c>
      <c r="G108" t="inlineStr">
        <is>
          <t>VALLENTUNA</t>
        </is>
      </c>
      <c r="I108" t="n">
        <v>3.5</v>
      </c>
      <c r="J108" t="n">
        <v>0</v>
      </c>
      <c r="K108" t="n">
        <v>0</v>
      </c>
      <c r="L108" t="n">
        <v>0</v>
      </c>
      <c r="M108" t="n">
        <v>0</v>
      </c>
      <c r="N108" t="n">
        <v>0</v>
      </c>
      <c r="O108" t="n">
        <v>0</v>
      </c>
      <c r="P108" t="n">
        <v>0</v>
      </c>
      <c r="Q108" t="n">
        <v>0</v>
      </c>
      <c r="R108" t="n">
        <v>0</v>
      </c>
      <c r="S108" t="n">
        <v>0</v>
      </c>
      <c r="T108" t="n">
        <v>0</v>
      </c>
      <c r="U108" s="2" t="inlineStr"/>
    </row>
    <row r="109" ht="15" customHeight="1">
      <c r="A109" t="inlineStr">
        <is>
          <t>A 12830-2026</t>
        </is>
      </c>
      <c r="B109" t="inlineStr">
        <is>
          <t>avverkningsanmälan</t>
        </is>
      </c>
      <c r="C109" t="inlineStr">
        <is>
          <t>Föryngringsavverkning</t>
        </is>
      </c>
      <c r="D109" s="1" t="n">
        <v>46092</v>
      </c>
      <c r="E109" s="1" t="n">
        <v>46219</v>
      </c>
      <c r="F109" t="inlineStr">
        <is>
          <t>STOCKHOLMS LÄN</t>
        </is>
      </c>
      <c r="G109" t="inlineStr">
        <is>
          <t>VALLENTUNA</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12822-2026</t>
        </is>
      </c>
      <c r="B110" t="inlineStr">
        <is>
          <t>avverkningsanmälan</t>
        </is>
      </c>
      <c r="C110" t="inlineStr">
        <is>
          <t>Föryngringsavverkning</t>
        </is>
      </c>
      <c r="D110" s="1" t="n">
        <v>46092</v>
      </c>
      <c r="E110" s="1" t="n">
        <v>46219</v>
      </c>
      <c r="F110" t="inlineStr">
        <is>
          <t>STOCKHOLMS LÄN</t>
        </is>
      </c>
      <c r="G110" t="inlineStr">
        <is>
          <t>VALLENTUNA</t>
        </is>
      </c>
      <c r="I110" t="n">
        <v>2.7</v>
      </c>
      <c r="J110" t="n">
        <v>0</v>
      </c>
      <c r="K110" t="n">
        <v>0</v>
      </c>
      <c r="L110" t="n">
        <v>0</v>
      </c>
      <c r="M110" t="n">
        <v>0</v>
      </c>
      <c r="N110" t="n">
        <v>0</v>
      </c>
      <c r="O110" t="n">
        <v>0</v>
      </c>
      <c r="P110" t="n">
        <v>0</v>
      </c>
      <c r="Q110" t="n">
        <v>0</v>
      </c>
      <c r="R110" t="n">
        <v>0</v>
      </c>
      <c r="S110" t="n">
        <v>0</v>
      </c>
      <c r="T110" t="n">
        <v>0</v>
      </c>
      <c r="U110" s="2" t="inlineStr"/>
    </row>
    <row r="111" ht="15" customHeight="1">
      <c r="A111" t="inlineStr">
        <is>
          <t>A 23013-2024</t>
        </is>
      </c>
      <c r="B111" t="inlineStr">
        <is>
          <t>avverkningsanmälan</t>
        </is>
      </c>
      <c r="C111" t="inlineStr">
        <is>
          <t>Föryngringsavverkning</t>
        </is>
      </c>
      <c r="D111" s="1" t="n">
        <v>45450</v>
      </c>
      <c r="E111" s="1" t="n">
        <v>46219</v>
      </c>
      <c r="F111" t="inlineStr">
        <is>
          <t>STOCKHOLMS LÄN</t>
        </is>
      </c>
      <c r="G111" t="inlineStr">
        <is>
          <t>VALLENTUNA</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12828-2026</t>
        </is>
      </c>
      <c r="B112" t="inlineStr">
        <is>
          <t>avverkningsanmälan</t>
        </is>
      </c>
      <c r="C112" t="inlineStr">
        <is>
          <t>Föryngringsavverkning</t>
        </is>
      </c>
      <c r="D112" s="1" t="n">
        <v>46092</v>
      </c>
      <c r="E112" s="1" t="n">
        <v>46219</v>
      </c>
      <c r="F112" t="inlineStr">
        <is>
          <t>STOCKHOLMS LÄN</t>
        </is>
      </c>
      <c r="G112" t="inlineStr">
        <is>
          <t>VALLENTUNA</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2318-2024</t>
        </is>
      </c>
      <c r="B113" t="inlineStr">
        <is>
          <t>avverkningsanmälan</t>
        </is>
      </c>
      <c r="C113" t="inlineStr">
        <is>
          <t>Föryngringsavverkning</t>
        </is>
      </c>
      <c r="D113" s="1" t="n">
        <v>45310</v>
      </c>
      <c r="E113" s="1" t="n">
        <v>46219</v>
      </c>
      <c r="F113" t="inlineStr">
        <is>
          <t>STOCKHOLMS LÄN</t>
        </is>
      </c>
      <c r="G113" t="inlineStr">
        <is>
          <t>VALLENTUNA</t>
        </is>
      </c>
      <c r="I113" t="n">
        <v>2.2</v>
      </c>
      <c r="J113" t="n">
        <v>0</v>
      </c>
      <c r="K113" t="n">
        <v>0</v>
      </c>
      <c r="L113" t="n">
        <v>0</v>
      </c>
      <c r="M113" t="n">
        <v>0</v>
      </c>
      <c r="N113" t="n">
        <v>0</v>
      </c>
      <c r="O113" t="n">
        <v>0</v>
      </c>
      <c r="P113" t="n">
        <v>0</v>
      </c>
      <c r="Q113" t="n">
        <v>0</v>
      </c>
      <c r="R113" t="n">
        <v>0</v>
      </c>
      <c r="S113" t="n">
        <v>0</v>
      </c>
      <c r="T113" t="n">
        <v>0</v>
      </c>
      <c r="U113" s="2" t="inlineStr"/>
    </row>
    <row r="114" ht="15" customHeight="1">
      <c r="A114" t="inlineStr">
        <is>
          <t>A 14799-2026</t>
        </is>
      </c>
      <c r="B114" t="inlineStr">
        <is>
          <t>avverkningsanmälan</t>
        </is>
      </c>
      <c r="C114" t="inlineStr">
        <is>
          <t>Föryngringsavverkning</t>
        </is>
      </c>
      <c r="D114" s="1" t="n">
        <v>46102</v>
      </c>
      <c r="E114" s="1" t="n">
        <v>46219</v>
      </c>
      <c r="F114" t="inlineStr">
        <is>
          <t>STOCKHOLMS LÄN</t>
        </is>
      </c>
      <c r="G114" t="inlineStr">
        <is>
          <t>VALLENTUNA</t>
        </is>
      </c>
      <c r="I114" t="n">
        <v>1.2</v>
      </c>
      <c r="J114" t="n">
        <v>0</v>
      </c>
      <c r="K114" t="n">
        <v>0</v>
      </c>
      <c r="L114" t="n">
        <v>0</v>
      </c>
      <c r="M114" t="n">
        <v>0</v>
      </c>
      <c r="N114" t="n">
        <v>0</v>
      </c>
      <c r="O114" t="n">
        <v>0</v>
      </c>
      <c r="P114" t="n">
        <v>0</v>
      </c>
      <c r="Q114" t="n">
        <v>0</v>
      </c>
      <c r="R114" t="n">
        <v>0</v>
      </c>
      <c r="S114" t="n">
        <v>0</v>
      </c>
      <c r="T114" t="n">
        <v>0</v>
      </c>
      <c r="U114" s="2" t="inlineStr"/>
    </row>
    <row r="115" ht="15" customHeight="1">
      <c r="A115" t="inlineStr">
        <is>
          <t>A 61742-2022</t>
        </is>
      </c>
      <c r="B115" t="inlineStr">
        <is>
          <t>avverkningsanmälan</t>
        </is>
      </c>
      <c r="C115" t="inlineStr">
        <is>
          <t>Avverkning för annat ändamål</t>
        </is>
      </c>
      <c r="D115" s="1" t="n">
        <v>44917</v>
      </c>
      <c r="E115" s="1" t="n">
        <v>46219</v>
      </c>
      <c r="F115" t="inlineStr">
        <is>
          <t>STOCKHOLMS LÄN</t>
        </is>
      </c>
      <c r="G115" t="inlineStr">
        <is>
          <t>VALLENTUNA</t>
        </is>
      </c>
      <c r="I115" t="n">
        <v>0.5</v>
      </c>
      <c r="J115" t="n">
        <v>0</v>
      </c>
      <c r="K115" t="n">
        <v>0</v>
      </c>
      <c r="L115" t="n">
        <v>0</v>
      </c>
      <c r="M115" t="n">
        <v>0</v>
      </c>
      <c r="N115" t="n">
        <v>0</v>
      </c>
      <c r="O115" t="n">
        <v>0</v>
      </c>
      <c r="P115" t="n">
        <v>0</v>
      </c>
      <c r="Q115" t="n">
        <v>0</v>
      </c>
      <c r="R115" t="n">
        <v>0</v>
      </c>
      <c r="S115" t="n">
        <v>0</v>
      </c>
      <c r="T115" t="n">
        <v>0</v>
      </c>
      <c r="U115" s="2" t="inlineStr"/>
    </row>
    <row r="116" ht="15" customHeight="1">
      <c r="A116" t="inlineStr">
        <is>
          <t>A 17389-2026</t>
        </is>
      </c>
      <c r="B116" t="inlineStr">
        <is>
          <t>avverkningsanmälan</t>
        </is>
      </c>
      <c r="C116" t="inlineStr">
        <is>
          <t>Föryngringsavverkning</t>
        </is>
      </c>
      <c r="D116" s="1" t="n">
        <v>46119</v>
      </c>
      <c r="E116" s="1" t="n">
        <v>46219</v>
      </c>
      <c r="F116" t="inlineStr">
        <is>
          <t>STOCKHOLMS LÄN</t>
        </is>
      </c>
      <c r="G116" t="inlineStr">
        <is>
          <t>VALLENTUNA</t>
        </is>
      </c>
      <c r="I116" t="n">
        <v>1.1</v>
      </c>
      <c r="J116" t="n">
        <v>0</v>
      </c>
      <c r="K116" t="n">
        <v>0</v>
      </c>
      <c r="L116" t="n">
        <v>0</v>
      </c>
      <c r="M116" t="n">
        <v>0</v>
      </c>
      <c r="N116" t="n">
        <v>0</v>
      </c>
      <c r="O116" t="n">
        <v>0</v>
      </c>
      <c r="P116" t="n">
        <v>0</v>
      </c>
      <c r="Q116" t="n">
        <v>0</v>
      </c>
      <c r="R116" t="n">
        <v>0</v>
      </c>
      <c r="S116" t="n">
        <v>0</v>
      </c>
      <c r="T116" t="n">
        <v>0</v>
      </c>
      <c r="U116" s="2" t="inlineStr"/>
    </row>
    <row r="117" ht="15" customHeight="1">
      <c r="A117" t="inlineStr">
        <is>
          <t>A 17387-2026</t>
        </is>
      </c>
      <c r="B117" t="inlineStr">
        <is>
          <t>avverkningsanmälan</t>
        </is>
      </c>
      <c r="C117" t="inlineStr">
        <is>
          <t>Föryngringsavverkning</t>
        </is>
      </c>
      <c r="D117" s="1" t="n">
        <v>46119</v>
      </c>
      <c r="E117" s="1" t="n">
        <v>46219</v>
      </c>
      <c r="F117" t="inlineStr">
        <is>
          <t>STOCKHOLMS LÄN</t>
        </is>
      </c>
      <c r="G117" t="inlineStr">
        <is>
          <t>VALLENTUNA</t>
        </is>
      </c>
      <c r="I117" t="n">
        <v>1.2</v>
      </c>
      <c r="J117" t="n">
        <v>0</v>
      </c>
      <c r="K117" t="n">
        <v>0</v>
      </c>
      <c r="L117" t="n">
        <v>0</v>
      </c>
      <c r="M117" t="n">
        <v>0</v>
      </c>
      <c r="N117" t="n">
        <v>0</v>
      </c>
      <c r="O117" t="n">
        <v>0</v>
      </c>
      <c r="P117" t="n">
        <v>0</v>
      </c>
      <c r="Q117" t="n">
        <v>0</v>
      </c>
      <c r="R117" t="n">
        <v>0</v>
      </c>
      <c r="S117" t="n">
        <v>0</v>
      </c>
      <c r="T117" t="n">
        <v>0</v>
      </c>
      <c r="U117" s="2" t="inlineStr"/>
    </row>
    <row r="118" ht="15" customHeight="1">
      <c r="A118" t="inlineStr">
        <is>
          <t>A 3698-2022</t>
        </is>
      </c>
      <c r="B118" t="inlineStr">
        <is>
          <t>avverkningsanmälan</t>
        </is>
      </c>
      <c r="C118" t="inlineStr">
        <is>
          <t>Föryngringsavverkning</t>
        </is>
      </c>
      <c r="D118" s="1" t="n">
        <v>44586</v>
      </c>
      <c r="E118" s="1" t="n">
        <v>46219</v>
      </c>
      <c r="F118" t="inlineStr">
        <is>
          <t>STOCKHOLMS LÄN</t>
        </is>
      </c>
      <c r="G118" t="inlineStr">
        <is>
          <t>VALLENTUNA</t>
        </is>
      </c>
      <c r="I118" t="n">
        <v>2.9</v>
      </c>
      <c r="J118" t="n">
        <v>0</v>
      </c>
      <c r="K118" t="n">
        <v>0</v>
      </c>
      <c r="L118" t="n">
        <v>0</v>
      </c>
      <c r="M118" t="n">
        <v>0</v>
      </c>
      <c r="N118" t="n">
        <v>0</v>
      </c>
      <c r="O118" t="n">
        <v>0</v>
      </c>
      <c r="P118" t="n">
        <v>0</v>
      </c>
      <c r="Q118" t="n">
        <v>0</v>
      </c>
      <c r="R118" t="n">
        <v>0</v>
      </c>
      <c r="S118" t="n">
        <v>0</v>
      </c>
      <c r="T118" t="n">
        <v>0</v>
      </c>
      <c r="U118" s="2" t="inlineStr"/>
    </row>
    <row r="119" ht="15" customHeight="1">
      <c r="A119" t="inlineStr">
        <is>
          <t>A 12234-2022</t>
        </is>
      </c>
      <c r="B119" t="inlineStr">
        <is>
          <t>avverkningsanmälan</t>
        </is>
      </c>
      <c r="C119" t="inlineStr">
        <is>
          <t>Föryngringsavverkning</t>
        </is>
      </c>
      <c r="D119" s="1" t="n">
        <v>44637</v>
      </c>
      <c r="E119" s="1" t="n">
        <v>46219</v>
      </c>
      <c r="F119" t="inlineStr">
        <is>
          <t>STOCKHOLMS LÄN</t>
        </is>
      </c>
      <c r="G119" t="inlineStr">
        <is>
          <t>VALLENTUNA</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4804-2024</t>
        </is>
      </c>
      <c r="B120" t="inlineStr">
        <is>
          <t>avverkningsanmälan</t>
        </is>
      </c>
      <c r="C120" t="inlineStr">
        <is>
          <t>Avverkning för annat ändamål</t>
        </is>
      </c>
      <c r="D120" s="1" t="n">
        <v>45328</v>
      </c>
      <c r="E120" s="1" t="n">
        <v>46219</v>
      </c>
      <c r="F120" t="inlineStr">
        <is>
          <t>STOCKHOLMS LÄN</t>
        </is>
      </c>
      <c r="G120" t="inlineStr">
        <is>
          <t>VALLENTUNA</t>
        </is>
      </c>
      <c r="I120" t="n">
        <v>3</v>
      </c>
      <c r="J120" t="n">
        <v>0</v>
      </c>
      <c r="K120" t="n">
        <v>0</v>
      </c>
      <c r="L120" t="n">
        <v>0</v>
      </c>
      <c r="M120" t="n">
        <v>0</v>
      </c>
      <c r="N120" t="n">
        <v>0</v>
      </c>
      <c r="O120" t="n">
        <v>0</v>
      </c>
      <c r="P120" t="n">
        <v>0</v>
      </c>
      <c r="Q120" t="n">
        <v>0</v>
      </c>
      <c r="R120" t="n">
        <v>0</v>
      </c>
      <c r="S120" t="n">
        <v>0</v>
      </c>
      <c r="T120" t="n">
        <v>0</v>
      </c>
      <c r="U120" s="2" t="inlineStr"/>
    </row>
    <row r="121" ht="15" customHeight="1">
      <c r="A121" t="inlineStr">
        <is>
          <t>A 21614-2022</t>
        </is>
      </c>
      <c r="B121" t="inlineStr">
        <is>
          <t>avverkningsanmälan</t>
        </is>
      </c>
      <c r="C121" t="inlineStr">
        <is>
          <t>Föryngringsavverkning</t>
        </is>
      </c>
      <c r="D121" s="1" t="n">
        <v>44706</v>
      </c>
      <c r="E121" s="1" t="n">
        <v>46219</v>
      </c>
      <c r="F121" t="inlineStr">
        <is>
          <t>STOCKHOLMS LÄN</t>
        </is>
      </c>
      <c r="G121" t="inlineStr">
        <is>
          <t>VALLENTUNA</t>
        </is>
      </c>
      <c r="I121" t="n">
        <v>4</v>
      </c>
      <c r="J121" t="n">
        <v>0</v>
      </c>
      <c r="K121" t="n">
        <v>0</v>
      </c>
      <c r="L121" t="n">
        <v>0</v>
      </c>
      <c r="M121" t="n">
        <v>0</v>
      </c>
      <c r="N121" t="n">
        <v>0</v>
      </c>
      <c r="O121" t="n">
        <v>0</v>
      </c>
      <c r="P121" t="n">
        <v>0</v>
      </c>
      <c r="Q121" t="n">
        <v>0</v>
      </c>
      <c r="R121" t="n">
        <v>0</v>
      </c>
      <c r="S121" t="n">
        <v>0</v>
      </c>
      <c r="T121" t="n">
        <v>0</v>
      </c>
      <c r="U121" s="2" t="inlineStr"/>
    </row>
    <row r="122" ht="15" customHeight="1">
      <c r="A122" t="inlineStr">
        <is>
          <t>A 25740-2026</t>
        </is>
      </c>
      <c r="B122" t="inlineStr">
        <is>
          <t>avverkningsanmälan</t>
        </is>
      </c>
      <c r="C122" t="inlineStr">
        <is>
          <t>Föryngringsavverkning</t>
        </is>
      </c>
      <c r="D122" s="1" t="n">
        <v>46178</v>
      </c>
      <c r="E122" s="1" t="n">
        <v>46219</v>
      </c>
      <c r="F122" t="inlineStr">
        <is>
          <t>STOCKHOLMS LÄN</t>
        </is>
      </c>
      <c r="G122" t="inlineStr">
        <is>
          <t>VALLENTUNA</t>
        </is>
      </c>
      <c r="I122" t="n">
        <v>2.2</v>
      </c>
      <c r="J122" t="n">
        <v>0</v>
      </c>
      <c r="K122" t="n">
        <v>0</v>
      </c>
      <c r="L122" t="n">
        <v>0</v>
      </c>
      <c r="M122" t="n">
        <v>0</v>
      </c>
      <c r="N122" t="n">
        <v>0</v>
      </c>
      <c r="O122" t="n">
        <v>0</v>
      </c>
      <c r="P122" t="n">
        <v>0</v>
      </c>
      <c r="Q122" t="n">
        <v>0</v>
      </c>
      <c r="R122" t="n">
        <v>0</v>
      </c>
      <c r="S122" t="n">
        <v>0</v>
      </c>
      <c r="T122" t="n">
        <v>0</v>
      </c>
      <c r="U122" s="2" t="inlineStr"/>
    </row>
    <row r="123" ht="15" customHeight="1">
      <c r="A123" t="inlineStr">
        <is>
          <t>A 25752-2026</t>
        </is>
      </c>
      <c r="B123" t="inlineStr">
        <is>
          <t>avverkningsanmälan</t>
        </is>
      </c>
      <c r="C123" t="inlineStr">
        <is>
          <t>Föryngringsavverkning</t>
        </is>
      </c>
      <c r="D123" s="1" t="n">
        <v>46178</v>
      </c>
      <c r="E123" s="1" t="n">
        <v>46219</v>
      </c>
      <c r="F123" t="inlineStr">
        <is>
          <t>STOCKHOLMS LÄN</t>
        </is>
      </c>
      <c r="G123" t="inlineStr">
        <is>
          <t>VALLENTUNA</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12585-2023</t>
        </is>
      </c>
      <c r="B124" t="inlineStr">
        <is>
          <t>avverkningsanmälan</t>
        </is>
      </c>
      <c r="C124" t="inlineStr">
        <is>
          <t>Föryngringsavverkning</t>
        </is>
      </c>
      <c r="D124" s="1" t="n">
        <v>45000</v>
      </c>
      <c r="E124" s="1" t="n">
        <v>46219</v>
      </c>
      <c r="F124" t="inlineStr">
        <is>
          <t>STOCKHOLMS LÄN</t>
        </is>
      </c>
      <c r="G124" t="inlineStr">
        <is>
          <t>VALLENTUNA</t>
        </is>
      </c>
      <c r="I124" t="n">
        <v>3.7</v>
      </c>
      <c r="J124" t="n">
        <v>0</v>
      </c>
      <c r="K124" t="n">
        <v>0</v>
      </c>
      <c r="L124" t="n">
        <v>0</v>
      </c>
      <c r="M124" t="n">
        <v>0</v>
      </c>
      <c r="N124" t="n">
        <v>0</v>
      </c>
      <c r="O124" t="n">
        <v>0</v>
      </c>
      <c r="P124" t="n">
        <v>0</v>
      </c>
      <c r="Q124" t="n">
        <v>0</v>
      </c>
      <c r="R124" t="n">
        <v>0</v>
      </c>
      <c r="S124" t="n">
        <v>0</v>
      </c>
      <c r="T124" t="n">
        <v>0</v>
      </c>
      <c r="U124" s="2" t="inlineStr"/>
    </row>
    <row r="125" ht="15" customHeight="1">
      <c r="A125" t="inlineStr">
        <is>
          <t>A 8787-2024</t>
        </is>
      </c>
      <c r="B125" t="inlineStr">
        <is>
          <t>avverkningsanmälan</t>
        </is>
      </c>
      <c r="C125" t="inlineStr">
        <is>
          <t>Avverkning för annat ändamål</t>
        </is>
      </c>
      <c r="D125" s="1" t="n">
        <v>45356</v>
      </c>
      <c r="E125" s="1" t="n">
        <v>46219</v>
      </c>
      <c r="F125" t="inlineStr">
        <is>
          <t>STOCKHOLMS LÄN</t>
        </is>
      </c>
      <c r="G125" t="inlineStr">
        <is>
          <t>VALLENTUNA</t>
        </is>
      </c>
      <c r="I125" t="n">
        <v>1.2</v>
      </c>
      <c r="J125" t="n">
        <v>0</v>
      </c>
      <c r="K125" t="n">
        <v>0</v>
      </c>
      <c r="L125" t="n">
        <v>0</v>
      </c>
      <c r="M125" t="n">
        <v>0</v>
      </c>
      <c r="N125" t="n">
        <v>0</v>
      </c>
      <c r="O125" t="n">
        <v>0</v>
      </c>
      <c r="P125" t="n">
        <v>0</v>
      </c>
      <c r="Q125" t="n">
        <v>0</v>
      </c>
      <c r="R125" t="n">
        <v>0</v>
      </c>
      <c r="S125" t="n">
        <v>0</v>
      </c>
      <c r="T125" t="n">
        <v>0</v>
      </c>
      <c r="U125" s="2" t="inlineStr"/>
    </row>
    <row r="126" ht="15" customHeight="1">
      <c r="A126" t="inlineStr">
        <is>
          <t>A 30902-2025</t>
        </is>
      </c>
      <c r="B126" t="inlineStr">
        <is>
          <t>avverkningsanmälan</t>
        </is>
      </c>
      <c r="C126" t="inlineStr">
        <is>
          <t>Föryngringsavverkning</t>
        </is>
      </c>
      <c r="D126" s="1" t="n">
        <v>45832</v>
      </c>
      <c r="E126" s="1" t="n">
        <v>46219</v>
      </c>
      <c r="F126" t="inlineStr">
        <is>
          <t>STOCKHOLMS LÄN</t>
        </is>
      </c>
      <c r="G126" t="inlineStr">
        <is>
          <t>VALLENTUNA</t>
        </is>
      </c>
      <c r="I126" t="n">
        <v>8.199999999999999</v>
      </c>
      <c r="J126" t="n">
        <v>0</v>
      </c>
      <c r="K126" t="n">
        <v>0</v>
      </c>
      <c r="L126" t="n">
        <v>0</v>
      </c>
      <c r="M126" t="n">
        <v>0</v>
      </c>
      <c r="N126" t="n">
        <v>0</v>
      </c>
      <c r="O126" t="n">
        <v>0</v>
      </c>
      <c r="P126" t="n">
        <v>0</v>
      </c>
      <c r="Q126" t="n">
        <v>0</v>
      </c>
      <c r="R126" t="n">
        <v>0</v>
      </c>
      <c r="S126" t="n">
        <v>0</v>
      </c>
      <c r="T126" t="n">
        <v>0</v>
      </c>
      <c r="U126" s="2" t="inlineStr"/>
    </row>
    <row r="127" ht="15" customHeight="1">
      <c r="A127" t="inlineStr">
        <is>
          <t>A 28431-2025</t>
        </is>
      </c>
      <c r="B127" t="inlineStr">
        <is>
          <t>avverkningsanmälan</t>
        </is>
      </c>
      <c r="C127" t="inlineStr">
        <is>
          <t>Föryngringsavverkning</t>
        </is>
      </c>
      <c r="D127" s="1" t="n">
        <v>45819</v>
      </c>
      <c r="E127" s="1" t="n">
        <v>46219</v>
      </c>
      <c r="F127" t="inlineStr">
        <is>
          <t>STOCKHOLMS LÄN</t>
        </is>
      </c>
      <c r="G127" t="inlineStr">
        <is>
          <t>VALLENTUNA</t>
        </is>
      </c>
      <c r="I127" t="n">
        <v>1.5</v>
      </c>
      <c r="J127" t="n">
        <v>0</v>
      </c>
      <c r="K127" t="n">
        <v>0</v>
      </c>
      <c r="L127" t="n">
        <v>0</v>
      </c>
      <c r="M127" t="n">
        <v>0</v>
      </c>
      <c r="N127" t="n">
        <v>0</v>
      </c>
      <c r="O127" t="n">
        <v>0</v>
      </c>
      <c r="P127" t="n">
        <v>0</v>
      </c>
      <c r="Q127" t="n">
        <v>0</v>
      </c>
      <c r="R127" t="n">
        <v>0</v>
      </c>
      <c r="S127" t="n">
        <v>0</v>
      </c>
      <c r="T127" t="n">
        <v>0</v>
      </c>
      <c r="U127" s="2" t="inlineStr"/>
    </row>
    <row r="128" ht="15" customHeight="1">
      <c r="A128" t="inlineStr">
        <is>
          <t>A 44346-2021</t>
        </is>
      </c>
      <c r="B128" t="inlineStr">
        <is>
          <t>avverkningsanmälan</t>
        </is>
      </c>
      <c r="C128" t="inlineStr">
        <is>
          <t>Föryngringsavverkning</t>
        </is>
      </c>
      <c r="D128" s="1" t="n">
        <v>44434</v>
      </c>
      <c r="E128" s="1" t="n">
        <v>46219</v>
      </c>
      <c r="F128" t="inlineStr">
        <is>
          <t>STOCKHOLMS LÄN</t>
        </is>
      </c>
      <c r="G128" t="inlineStr">
        <is>
          <t>VALLENTUNA</t>
        </is>
      </c>
      <c r="I128" t="n">
        <v>3</v>
      </c>
      <c r="J128" t="n">
        <v>0</v>
      </c>
      <c r="K128" t="n">
        <v>0</v>
      </c>
      <c r="L128" t="n">
        <v>0</v>
      </c>
      <c r="M128" t="n">
        <v>0</v>
      </c>
      <c r="N128" t="n">
        <v>0</v>
      </c>
      <c r="O128" t="n">
        <v>0</v>
      </c>
      <c r="P128" t="n">
        <v>0</v>
      </c>
      <c r="Q128" t="n">
        <v>0</v>
      </c>
      <c r="R128" t="n">
        <v>0</v>
      </c>
      <c r="S128" t="n">
        <v>0</v>
      </c>
      <c r="T128" t="n">
        <v>0</v>
      </c>
      <c r="U128" s="2" t="inlineStr"/>
    </row>
    <row r="129" ht="15" customHeight="1">
      <c r="A129" t="inlineStr">
        <is>
          <t>S 6321-2022</t>
        </is>
      </c>
      <c r="B129" t="inlineStr">
        <is>
          <t>samrådsanmälan</t>
        </is>
      </c>
      <c r="C129" t="inlineStr">
        <is>
          <t>Annan skogsbruksåtgärd</t>
        </is>
      </c>
      <c r="D129" s="1" t="n">
        <v>44872</v>
      </c>
      <c r="E129" s="1" t="n">
        <v>46219</v>
      </c>
      <c r="F129" t="inlineStr">
        <is>
          <t>STOCKHOLMS LÄN</t>
        </is>
      </c>
      <c r="G129" t="inlineStr">
        <is>
          <t>VALLENTUNA</t>
        </is>
      </c>
      <c r="I129" t="n">
        <v>0.1</v>
      </c>
      <c r="J129" t="n">
        <v>0</v>
      </c>
      <c r="K129" t="n">
        <v>0</v>
      </c>
      <c r="L129" t="n">
        <v>0</v>
      </c>
      <c r="M129" t="n">
        <v>0</v>
      </c>
      <c r="N129" t="n">
        <v>0</v>
      </c>
      <c r="O129" t="n">
        <v>0</v>
      </c>
      <c r="P129" t="n">
        <v>0</v>
      </c>
      <c r="Q129" t="n">
        <v>0</v>
      </c>
      <c r="R129" t="n">
        <v>0</v>
      </c>
      <c r="S129" t="n">
        <v>0</v>
      </c>
      <c r="T129" t="n">
        <v>0</v>
      </c>
      <c r="U129" s="2" t="inlineStr"/>
    </row>
    <row r="130">
      <c r="A130" t="inlineStr">
        <is>
          <t>S 2547-2025</t>
        </is>
      </c>
      <c r="B130" t="inlineStr">
        <is>
          <t>samrådsanmälan</t>
        </is>
      </c>
      <c r="C130" t="inlineStr">
        <is>
          <t>Annan skogsbruksåtgärd</t>
        </is>
      </c>
      <c r="D130" s="1" t="n">
        <v>45911</v>
      </c>
      <c r="E130" s="1" t="n">
        <v>46219</v>
      </c>
      <c r="F130" t="inlineStr">
        <is>
          <t>STOCKHOLMS LÄN</t>
        </is>
      </c>
      <c r="G130" t="inlineStr">
        <is>
          <t>VALLENTUNA</t>
        </is>
      </c>
      <c r="I130" t="n">
        <v>1.9</v>
      </c>
      <c r="J130" t="n">
        <v>0</v>
      </c>
      <c r="K130" t="n">
        <v>0</v>
      </c>
      <c r="L130" t="n">
        <v>0</v>
      </c>
      <c r="M130" t="n">
        <v>0</v>
      </c>
      <c r="N130" t="n">
        <v>0</v>
      </c>
      <c r="O130" t="n">
        <v>0</v>
      </c>
      <c r="P130" t="n">
        <v>0</v>
      </c>
      <c r="Q130" t="n">
        <v>0</v>
      </c>
      <c r="R130" t="n">
        <v>0</v>
      </c>
      <c r="S130" t="n">
        <v>0</v>
      </c>
      <c r="T130" t="n">
        <v>0</v>
      </c>
      <c r="U1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2026-07-16T01:26:35Z</dcterms:created>
  <dcterms:modified xmlns:dcterms="http://purl.org/dc/terms/" xmlns:xsi="http://www.w3.org/2001/XMLSchema-instance" xsi:type="dcterms:W3CDTF">2026-07-16T01:26:35Z</dcterms:modified>
</cp:coreProperties>
</file>