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46312</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46312</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46312</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46312</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46312</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46312</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46312</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A 39168-2026</t>
        </is>
      </c>
      <c r="B15" t="inlineStr">
        <is>
          <t>avverkningsanmälan</t>
        </is>
      </c>
      <c r="C15" t="inlineStr">
        <is>
          <t>Föryngringsavverkning</t>
        </is>
      </c>
      <c r="D15" s="1" t="n">
        <v>46287</v>
      </c>
      <c r="E15" s="1" t="n">
        <v>46312</v>
      </c>
      <c r="F15" t="inlineStr">
        <is>
          <t>STOCKHOLMS LÄN</t>
        </is>
      </c>
      <c r="G15" t="inlineStr">
        <is>
          <t>VALLENTUNA</t>
        </is>
      </c>
      <c r="I15" t="n">
        <v>6.8</v>
      </c>
      <c r="J15" t="n">
        <v>2</v>
      </c>
      <c r="K15" t="n">
        <v>2</v>
      </c>
      <c r="L15" t="n">
        <v>2</v>
      </c>
      <c r="M15" t="n">
        <v>1</v>
      </c>
      <c r="N15" t="n">
        <v>0</v>
      </c>
      <c r="O15" t="n">
        <v>0</v>
      </c>
      <c r="P15" t="n">
        <v>0</v>
      </c>
      <c r="Q15" t="n">
        <v>3</v>
      </c>
      <c r="R15" t="n">
        <v>1</v>
      </c>
      <c r="S15" t="n">
        <v>6</v>
      </c>
      <c r="T15" t="n">
        <v>7</v>
      </c>
      <c r="U15" t="n">
        <v>5</v>
      </c>
      <c r="V15" s="2" t="inlineStr">
        <is>
          <t>Knärot
Motaggsvamp
Ullticka
Bollvitmossa
Mindre märgborre
Spillkråka</t>
        </is>
      </c>
      <c r="W15">
        <f>HYPERLINK("https://klasma.github.io/Logging_0115/artfynd/A 39168-2026 artfynd.xlsx", "A 39168-2026")</f>
        <v/>
      </c>
      <c r="X15">
        <f>HYPERLINK("https://klasma.github.io/Logging_0115/kartor/A 39168-2026 karta.png", "A 39168-2026")</f>
        <v/>
      </c>
      <c r="Y15">
        <f>HYPERLINK("https://klasma.github.io/Logging_0115/kartor_geotiff/A 39168-2026 georefererad karta.tif", "A 39168-2026")</f>
        <v/>
      </c>
      <c r="Z15">
        <f>HYPERLINK("https://klasma.github.io/Logging_0115/knärot/A 39168-2026 karta knärot.png", "A 39168-2026")</f>
        <v/>
      </c>
      <c r="AA15">
        <f>HYPERLINK("https://klasma.github.io/Logging_0115/klagomål/A 39168-2026 FSC-klagomål.docx", "A 39168-2026")</f>
        <v/>
      </c>
      <c r="AB15">
        <f>HYPERLINK("https://klasma.github.io/Logging_0115/klagomålsmail/A 39168-2026 FSC-klagomål mail.docx", "A 39168-2026")</f>
        <v/>
      </c>
      <c r="AC15">
        <f>HYPERLINK("https://klasma.github.io/Logging_0115/tillsyn/A 39168-2026 tillsynsbegäran.docx", "A 39168-2026")</f>
        <v/>
      </c>
      <c r="AD15">
        <f>HYPERLINK("https://klasma.github.io/Logging_0115/tillsynsmail/A 39168-2026 tillsynsbegäran mail.docx", "A 39168-2026")</f>
        <v/>
      </c>
      <c r="AE15">
        <f>HYPERLINK("https://klasma.github.io/Logging_0115/fåglar/A 39168-2026 prioriterade fågelarter.docx", "A 39168-2026")</f>
        <v/>
      </c>
    </row>
    <row r="16" ht="15" customHeight="1">
      <c r="A16" t="inlineStr">
        <is>
          <t>S 3063-2024</t>
        </is>
      </c>
      <c r="B16" t="inlineStr">
        <is>
          <t>samrådsanmälan</t>
        </is>
      </c>
      <c r="C16" t="inlineStr">
        <is>
          <t>Annan skogsbruksåtgärd</t>
        </is>
      </c>
      <c r="D16" s="1" t="n">
        <v>45517</v>
      </c>
      <c r="E16" s="1" t="n">
        <v>46312</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46312</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10</v>
      </c>
      <c r="U17" t="n">
        <v>5</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9745-2022</t>
        </is>
      </c>
      <c r="B18" t="inlineStr">
        <is>
          <t>avverkningsanmälan</t>
        </is>
      </c>
      <c r="C18" t="inlineStr">
        <is>
          <t>Föryngringsavverkning</t>
        </is>
      </c>
      <c r="D18" s="1" t="n">
        <v>44618</v>
      </c>
      <c r="E18" s="1" t="n">
        <v>46312</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46312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46312</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46312</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46312</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14508-2024</t>
        </is>
      </c>
      <c r="B23" t="inlineStr">
        <is>
          <t>avverkningsanmälan</t>
        </is>
      </c>
      <c r="C23" t="inlineStr">
        <is>
          <t>Föryngringsavverkning</t>
        </is>
      </c>
      <c r="D23" s="1" t="n">
        <v>45394</v>
      </c>
      <c r="E23" s="1" t="n">
        <v>46312</v>
      </c>
      <c r="F23" t="inlineStr">
        <is>
          <t>STOCKHOLMS LÄN</t>
        </is>
      </c>
      <c r="G23" t="inlineStr">
        <is>
          <t>VALLENTUNA</t>
        </is>
      </c>
      <c r="I23" t="n">
        <v>1.7</v>
      </c>
      <c r="J23" t="n">
        <v>2</v>
      </c>
      <c r="K23" t="n">
        <v>0</v>
      </c>
      <c r="L23" t="n">
        <v>2</v>
      </c>
      <c r="M23" t="n">
        <v>1</v>
      </c>
      <c r="N23" t="n">
        <v>0</v>
      </c>
      <c r="O23" t="n">
        <v>0</v>
      </c>
      <c r="P23" t="n">
        <v>0</v>
      </c>
      <c r="Q23" t="n">
        <v>3</v>
      </c>
      <c r="R23" t="n">
        <v>1</v>
      </c>
      <c r="S23" t="n">
        <v>3</v>
      </c>
      <c r="T23" t="n">
        <v>3</v>
      </c>
      <c r="U23" t="n">
        <v>2</v>
      </c>
      <c r="V23" s="2" t="inlineStr">
        <is>
          <t>Hussvala
Berggräsfjäril
Mindre hackspett</t>
        </is>
      </c>
      <c r="W23">
        <f>HYPERLINK("https://klasma.github.io/Logging_0115/artfynd/A 14508-2024 artfynd.xlsx", "A 14508-2024")</f>
        <v/>
      </c>
      <c r="X23">
        <f>HYPERLINK("https://klasma.github.io/Logging_0115/kartor/A 14508-2024 karta.png", "A 14508-2024")</f>
        <v/>
      </c>
      <c r="Y23">
        <f>HYPERLINK("https://klasma.github.io/Logging_0115/kartor_geotiff/A 14508-2024 georefererad karta.tif", "A 14508-2024")</f>
        <v/>
      </c>
      <c r="AA23">
        <f>HYPERLINK("https://klasma.github.io/Logging_0115/klagomål/A 14508-2024 FSC-klagomål.docx", "A 14508-2024")</f>
        <v/>
      </c>
      <c r="AB23">
        <f>HYPERLINK("https://klasma.github.io/Logging_0115/klagomålsmail/A 14508-2024 FSC-klagomål mail.docx", "A 14508-2024")</f>
        <v/>
      </c>
      <c r="AC23">
        <f>HYPERLINK("https://klasma.github.io/Logging_0115/tillsyn/A 14508-2024 tillsynsbegäran.docx", "A 14508-2024")</f>
        <v/>
      </c>
      <c r="AD23">
        <f>HYPERLINK("https://klasma.github.io/Logging_0115/tillsynsmail/A 14508-2024 tillsynsbegäran mail.docx", "A 14508-2024")</f>
        <v/>
      </c>
      <c r="AE23">
        <f>HYPERLINK("https://klasma.github.io/Logging_0115/fåglar/A 14508-2024 prioriterade fågelarter.docx", "A 14508-2024")</f>
        <v/>
      </c>
    </row>
    <row r="24" ht="15" customHeight="1">
      <c r="A24" t="inlineStr">
        <is>
          <t>A 60-2022</t>
        </is>
      </c>
      <c r="B24" t="inlineStr">
        <is>
          <t>avverkningsanmälan</t>
        </is>
      </c>
      <c r="C24" t="inlineStr">
        <is>
          <t>Föryngringsavverkning</t>
        </is>
      </c>
      <c r="D24" s="1" t="n">
        <v>44560</v>
      </c>
      <c r="E24" s="1" t="n">
        <v>46312</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46312</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41021-2023</t>
        </is>
      </c>
      <c r="B26" t="inlineStr">
        <is>
          <t>avverkningsanmälan</t>
        </is>
      </c>
      <c r="C26" t="inlineStr">
        <is>
          <t>Föryngringsavverkning</t>
        </is>
      </c>
      <c r="D26" s="1" t="n">
        <v>45173</v>
      </c>
      <c r="E26" s="1" t="n">
        <v>46312</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46312</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63539-2025</t>
        </is>
      </c>
      <c r="B28" t="inlineStr">
        <is>
          <t>avverkningsanmälan</t>
        </is>
      </c>
      <c r="C28" t="inlineStr">
        <is>
          <t>Föryngringsavverkning</t>
        </is>
      </c>
      <c r="D28" s="1" t="n">
        <v>46013</v>
      </c>
      <c r="E28" s="1" t="n">
        <v>46312</v>
      </c>
      <c r="F28" t="inlineStr">
        <is>
          <t>STOCKHOLMS LÄN</t>
        </is>
      </c>
      <c r="G28" t="inlineStr">
        <is>
          <t>VALLENTUNA</t>
        </is>
      </c>
      <c r="I28" t="n">
        <v>1.1</v>
      </c>
      <c r="J28" t="n">
        <v>0</v>
      </c>
      <c r="K28" t="n">
        <v>0</v>
      </c>
      <c r="L28" t="n">
        <v>2</v>
      </c>
      <c r="M28" t="n">
        <v>0</v>
      </c>
      <c r="N28" t="n">
        <v>0</v>
      </c>
      <c r="O28" t="n">
        <v>0</v>
      </c>
      <c r="P28" t="n">
        <v>0</v>
      </c>
      <c r="Q28" t="n">
        <v>2</v>
      </c>
      <c r="R28" t="n">
        <v>0</v>
      </c>
      <c r="S28" t="n">
        <v>2</v>
      </c>
      <c r="T28" t="n">
        <v>2</v>
      </c>
      <c r="U28" t="n">
        <v>0</v>
      </c>
      <c r="V28" s="2" t="inlineStr">
        <is>
          <t>Tallticka
Vårärt</t>
        </is>
      </c>
      <c r="W28">
        <f>HYPERLINK("https://klasma.github.io/Logging_0115/artfynd/A 63539-2025 artfynd.xlsx", "A 63539-2025")</f>
        <v/>
      </c>
      <c r="X28">
        <f>HYPERLINK("https://klasma.github.io/Logging_0115/kartor/A 63539-2025 karta.png", "A 63539-2025")</f>
        <v/>
      </c>
      <c r="Y28">
        <f>HYPERLINK("https://klasma.github.io/Logging_0115/kartor_geotiff/A 63539-2025 georefererad karta.tif", "A 63539-2025")</f>
        <v/>
      </c>
      <c r="AA28">
        <f>HYPERLINK("https://klasma.github.io/Logging_0115/klagomål/A 63539-2025 FSC-klagomål.docx", "A 63539-2025")</f>
        <v/>
      </c>
      <c r="AB28">
        <f>HYPERLINK("https://klasma.github.io/Logging_0115/klagomålsmail/A 63539-2025 FSC-klagomål mail.docx", "A 63539-2025")</f>
        <v/>
      </c>
      <c r="AC28">
        <f>HYPERLINK("https://klasma.github.io/Logging_0115/tillsyn/A 63539-2025 tillsynsbegäran.docx", "A 63539-2025")</f>
        <v/>
      </c>
      <c r="AD28">
        <f>HYPERLINK("https://klasma.github.io/Logging_0115/tillsynsmail/A 63539-2025 tillsynsbegäran mail.docx", "A 63539-2025")</f>
        <v/>
      </c>
    </row>
    <row r="29" ht="15" customHeight="1">
      <c r="A29" t="inlineStr">
        <is>
          <t>A 27935-2026</t>
        </is>
      </c>
      <c r="B29" t="inlineStr">
        <is>
          <t>avverkningsanmälan</t>
        </is>
      </c>
      <c r="C29" t="inlineStr">
        <is>
          <t>Avverkning för annat ändamål</t>
        </is>
      </c>
      <c r="D29" s="1" t="n">
        <v>46191</v>
      </c>
      <c r="E29" s="1" t="n">
        <v>46312</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7890-2023</t>
        </is>
      </c>
      <c r="B30" t="inlineStr">
        <is>
          <t>avverkningsanmälan</t>
        </is>
      </c>
      <c r="C30" t="inlineStr">
        <is>
          <t>Föryngringsavverkning</t>
        </is>
      </c>
      <c r="D30" s="1" t="n">
        <v>44973</v>
      </c>
      <c r="E30" s="1" t="n">
        <v>46312</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46312</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20910-2026</t>
        </is>
      </c>
      <c r="B32" t="inlineStr">
        <is>
          <t>avverkningsanmälan</t>
        </is>
      </c>
      <c r="C32" t="inlineStr">
        <is>
          <t>Föryngringsavverkning</t>
        </is>
      </c>
      <c r="D32" s="1" t="n">
        <v>46142</v>
      </c>
      <c r="E32" s="1" t="n">
        <v>46312</v>
      </c>
      <c r="F32" t="inlineStr">
        <is>
          <t>STOCKHOLMS LÄN</t>
        </is>
      </c>
      <c r="G32" t="inlineStr">
        <is>
          <t>VALLENTUNA</t>
        </is>
      </c>
      <c r="I32" t="n">
        <v>1.8</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HYPERLINK("https://klasma.github.io/Logging_0115/artfynd/A 20910-2026 artfynd.xlsx", "A 20910-2026")</f>
        <v/>
      </c>
      <c r="X32">
        <f>HYPERLINK("https://klasma.github.io/Logging_0115/kartor/A 20910-2026 karta.png", "A 20910-2026")</f>
        <v/>
      </c>
      <c r="Y32">
        <f>HYPERLINK("https://klasma.github.io/Logging_0115/kartor_geotiff/A 20910-2026 georefererad karta.tif", "A 20910-2026")</f>
        <v/>
      </c>
      <c r="AA32">
        <f>HYPERLINK("https://klasma.github.io/Logging_0115/klagomål/A 20910-2026 FSC-klagomål.docx", "A 20910-2026")</f>
        <v/>
      </c>
      <c r="AB32">
        <f>HYPERLINK("https://klasma.github.io/Logging_0115/klagomålsmail/A 20910-2026 FSC-klagomål mail.docx", "A 20910-2026")</f>
        <v/>
      </c>
      <c r="AC32">
        <f>HYPERLINK("https://klasma.github.io/Logging_0115/tillsyn/A 20910-2026 tillsynsbegäran.docx", "A 20910-2026")</f>
        <v/>
      </c>
      <c r="AD32">
        <f>HYPERLINK("https://klasma.github.io/Logging_0115/tillsynsmail/A 20910-2026 tillsynsbegäran mail.docx", "A 20910-2026")</f>
        <v/>
      </c>
    </row>
    <row r="33" ht="15" customHeight="1">
      <c r="A33" t="inlineStr">
        <is>
          <t>A 54460-2025</t>
        </is>
      </c>
      <c r="B33" t="inlineStr">
        <is>
          <t>avverkningsanmälan</t>
        </is>
      </c>
      <c r="C33" t="inlineStr">
        <is>
          <t>Föryngringsavverkning</t>
        </is>
      </c>
      <c r="D33" s="1" t="n">
        <v>45965</v>
      </c>
      <c r="E33" s="1" t="n">
        <v>46312</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46312</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17348-2025</t>
        </is>
      </c>
      <c r="B35" t="inlineStr">
        <is>
          <t>avverkningsanmälan</t>
        </is>
      </c>
      <c r="C35" t="inlineStr">
        <is>
          <t>Föryngringsavverkning</t>
        </is>
      </c>
      <c r="D35" s="1" t="n">
        <v>45756</v>
      </c>
      <c r="E35" s="1" t="n">
        <v>46312</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20914-2026</t>
        </is>
      </c>
      <c r="B36" t="inlineStr">
        <is>
          <t>avverkningsanmälan</t>
        </is>
      </c>
      <c r="C36" t="inlineStr">
        <is>
          <t>Avverkning för att bevara och utveckla /försöksver</t>
        </is>
      </c>
      <c r="D36" s="1" t="n">
        <v>46142</v>
      </c>
      <c r="E36" s="1" t="n">
        <v>46312</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12396-2026</t>
        </is>
      </c>
      <c r="B37" t="inlineStr">
        <is>
          <t>avverkningsanmälan</t>
        </is>
      </c>
      <c r="C37" t="inlineStr">
        <is>
          <t>Föryngringsavverkning</t>
        </is>
      </c>
      <c r="D37" s="1" t="n">
        <v>46090</v>
      </c>
      <c r="E37" s="1" t="n">
        <v>46312</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34458-2023</t>
        </is>
      </c>
      <c r="B38" t="inlineStr">
        <is>
          <t>avverkningsanmälan</t>
        </is>
      </c>
      <c r="C38" t="inlineStr">
        <is>
          <t>Föryngringsavverkning</t>
        </is>
      </c>
      <c r="D38" s="1" t="n">
        <v>45139</v>
      </c>
      <c r="E38" s="1" t="n">
        <v>46312</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46312</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46312</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46312</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46312</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46312</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46312</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46312</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46312</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46312</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46312</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46312</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46312</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46312</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46312</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46312</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12562-2023</t>
        </is>
      </c>
      <c r="B54" t="inlineStr">
        <is>
          <t>avverkningsanmälan</t>
        </is>
      </c>
      <c r="C54" t="inlineStr">
        <is>
          <t>Föryngringsavverkning</t>
        </is>
      </c>
      <c r="D54" s="1" t="n">
        <v>45000</v>
      </c>
      <c r="E54" s="1" t="n">
        <v>46312</v>
      </c>
      <c r="F54" t="inlineStr">
        <is>
          <t>STOCKHOLMS LÄN</t>
        </is>
      </c>
      <c r="G54" t="inlineStr">
        <is>
          <t>VALLENTUNA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17340-2025</t>
        </is>
      </c>
      <c r="B55" t="inlineStr">
        <is>
          <t>avverkningsanmälan</t>
        </is>
      </c>
      <c r="C55" t="inlineStr">
        <is>
          <t>Föryngringsavverkning</t>
        </is>
      </c>
      <c r="D55" s="1" t="n">
        <v>45756</v>
      </c>
      <c r="E55" s="1" t="n">
        <v>46312</v>
      </c>
      <c r="F55" t="inlineStr">
        <is>
          <t>STOCKHOLMS LÄN</t>
        </is>
      </c>
      <c r="G55" t="inlineStr">
        <is>
          <t>VALLENTUNA</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46312</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29704-2023</t>
        </is>
      </c>
      <c r="B57" t="inlineStr">
        <is>
          <t>avverkningsanmälan</t>
        </is>
      </c>
      <c r="C57" t="inlineStr">
        <is>
          <t>Föryngringsavverkning</t>
        </is>
      </c>
      <c r="D57" s="1" t="n">
        <v>45107</v>
      </c>
      <c r="E57" s="1" t="n">
        <v>46312</v>
      </c>
      <c r="F57" t="inlineStr">
        <is>
          <t>STOCKHOLMS LÄN</t>
        </is>
      </c>
      <c r="G57" t="inlineStr">
        <is>
          <t>VALLENTUNA</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45496-2023</t>
        </is>
      </c>
      <c r="B58" t="inlineStr">
        <is>
          <t>avverkningsanmälan</t>
        </is>
      </c>
      <c r="C58" t="inlineStr">
        <is>
          <t>Föryngringsavverkning</t>
        </is>
      </c>
      <c r="D58" s="1" t="n">
        <v>45194</v>
      </c>
      <c r="E58" s="1" t="n">
        <v>46312</v>
      </c>
      <c r="F58" t="inlineStr">
        <is>
          <t>STOCKHOLMS LÄN</t>
        </is>
      </c>
      <c r="G58" t="inlineStr">
        <is>
          <t>VALLENTUNA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12609-2024</t>
        </is>
      </c>
      <c r="B59" t="inlineStr">
        <is>
          <t>avverkningsanmälan</t>
        </is>
      </c>
      <c r="C59" t="inlineStr">
        <is>
          <t>Avverkning för annat ändamål</t>
        </is>
      </c>
      <c r="D59" s="1" t="n">
        <v>45382</v>
      </c>
      <c r="E59" s="1" t="n">
        <v>46312</v>
      </c>
      <c r="F59" t="inlineStr">
        <is>
          <t>STOCKHOLMS LÄN</t>
        </is>
      </c>
      <c r="G59" t="inlineStr">
        <is>
          <t>VALLENTUNA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13836-2022</t>
        </is>
      </c>
      <c r="B60" t="inlineStr">
        <is>
          <t>avverkningsanmälan</t>
        </is>
      </c>
      <c r="C60" t="inlineStr">
        <is>
          <t>Föryngringsavverkning</t>
        </is>
      </c>
      <c r="D60" s="1" t="n">
        <v>44649</v>
      </c>
      <c r="E60" s="1" t="n">
        <v>46312</v>
      </c>
      <c r="F60" t="inlineStr">
        <is>
          <t>STOCKHOLMS LÄN</t>
        </is>
      </c>
      <c r="G60" t="inlineStr">
        <is>
          <t>VALLENTUNA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4804-2024</t>
        </is>
      </c>
      <c r="B61" t="inlineStr">
        <is>
          <t>avverkningsanmälan</t>
        </is>
      </c>
      <c r="C61" t="inlineStr">
        <is>
          <t>Avverkning för annat ändamål</t>
        </is>
      </c>
      <c r="D61" s="1" t="n">
        <v>45328</v>
      </c>
      <c r="E61" s="1" t="n">
        <v>46312</v>
      </c>
      <c r="F61" t="inlineStr">
        <is>
          <t>STOCKHOLMS LÄN</t>
        </is>
      </c>
      <c r="G61" t="inlineStr">
        <is>
          <t>VALLENTUNA</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24707-2023</t>
        </is>
      </c>
      <c r="B62" t="inlineStr">
        <is>
          <t>avverkningsanmälan</t>
        </is>
      </c>
      <c r="C62" t="inlineStr">
        <is>
          <t>Föryngringsavverkning</t>
        </is>
      </c>
      <c r="D62" s="1" t="n">
        <v>45084</v>
      </c>
      <c r="E62" s="1" t="n">
        <v>46312</v>
      </c>
      <c r="F62" t="inlineStr">
        <is>
          <t>STOCKHOLMS LÄN</t>
        </is>
      </c>
      <c r="G62" t="inlineStr">
        <is>
          <t>VALLENTUNA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5910-2022</t>
        </is>
      </c>
      <c r="B63" t="inlineStr">
        <is>
          <t>avverkningsanmälan</t>
        </is>
      </c>
      <c r="C63" t="inlineStr">
        <is>
          <t>Föryngringsavverkning</t>
        </is>
      </c>
      <c r="D63" s="1" t="n">
        <v>44597</v>
      </c>
      <c r="E63" s="1" t="n">
        <v>46312</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46312</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46312</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60795-2023</t>
        </is>
      </c>
      <c r="B66" t="inlineStr">
        <is>
          <t>avverkningsanmälan</t>
        </is>
      </c>
      <c r="C66" t="inlineStr">
        <is>
          <t>Avverkning för annat ändamål</t>
        </is>
      </c>
      <c r="D66" s="1" t="n">
        <v>45260</v>
      </c>
      <c r="E66" s="1" t="n">
        <v>46312</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14775-2024</t>
        </is>
      </c>
      <c r="B67" t="inlineStr">
        <is>
          <t>avverkningsanmälan</t>
        </is>
      </c>
      <c r="C67" t="inlineStr">
        <is>
          <t>Föryngringsavverkning</t>
        </is>
      </c>
      <c r="D67" s="1" t="n">
        <v>45397</v>
      </c>
      <c r="E67" s="1" t="n">
        <v>46312</v>
      </c>
      <c r="F67" t="inlineStr">
        <is>
          <t>STOCKHOLMS LÄN</t>
        </is>
      </c>
      <c r="G67" t="inlineStr">
        <is>
          <t>VALLENTUNA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8787-2024</t>
        </is>
      </c>
      <c r="B68" t="inlineStr">
        <is>
          <t>avverkningsanmälan</t>
        </is>
      </c>
      <c r="C68" t="inlineStr">
        <is>
          <t>Avverkning för annat ändamål</t>
        </is>
      </c>
      <c r="D68" s="1" t="n">
        <v>45356</v>
      </c>
      <c r="E68" s="1" t="n">
        <v>46312</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14782-2024</t>
        </is>
      </c>
      <c r="B69" t="inlineStr">
        <is>
          <t>avverkningsanmälan</t>
        </is>
      </c>
      <c r="C69" t="inlineStr">
        <is>
          <t>Avverkning för att bevara och utveckla /försöksver</t>
        </is>
      </c>
      <c r="D69" s="1" t="n">
        <v>45397</v>
      </c>
      <c r="E69" s="1" t="n">
        <v>46312</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52562-2023</t>
        </is>
      </c>
      <c r="B70" t="inlineStr">
        <is>
          <t>avverkningsanmälan</t>
        </is>
      </c>
      <c r="C70" t="inlineStr">
        <is>
          <t>Föryngringsavverkning</t>
        </is>
      </c>
      <c r="D70" s="1" t="n">
        <v>45225</v>
      </c>
      <c r="E70" s="1" t="n">
        <v>46312</v>
      </c>
      <c r="F70" t="inlineStr">
        <is>
          <t>STOCKHOLMS LÄN</t>
        </is>
      </c>
      <c r="G70" t="inlineStr">
        <is>
          <t>VALLENTUNA</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49530-2023</t>
        </is>
      </c>
      <c r="B71" t="inlineStr">
        <is>
          <t>avverkningsanmälan</t>
        </is>
      </c>
      <c r="C71" t="inlineStr">
        <is>
          <t>Föryngringsavverkning</t>
        </is>
      </c>
      <c r="D71" s="1" t="n">
        <v>45205</v>
      </c>
      <c r="E71" s="1" t="n">
        <v>46312</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52542-2023</t>
        </is>
      </c>
      <c r="B72" t="inlineStr">
        <is>
          <t>avverkningsanmälan</t>
        </is>
      </c>
      <c r="C72" t="inlineStr">
        <is>
          <t>Föryngringsavverkning</t>
        </is>
      </c>
      <c r="D72" s="1" t="n">
        <v>45225</v>
      </c>
      <c r="E72" s="1" t="n">
        <v>46312</v>
      </c>
      <c r="F72" t="inlineStr">
        <is>
          <t>STOCKHOLMS LÄN</t>
        </is>
      </c>
      <c r="G72" t="inlineStr">
        <is>
          <t>VALLENTUNA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2318-2024</t>
        </is>
      </c>
      <c r="B73" t="inlineStr">
        <is>
          <t>avverkningsanmälan</t>
        </is>
      </c>
      <c r="C73" t="inlineStr">
        <is>
          <t>Föryngringsavverkning</t>
        </is>
      </c>
      <c r="D73" s="1" t="n">
        <v>45310</v>
      </c>
      <c r="E73" s="1" t="n">
        <v>46312</v>
      </c>
      <c r="F73" t="inlineStr">
        <is>
          <t>STOCKHOLMS LÄN</t>
        </is>
      </c>
      <c r="G73" t="inlineStr">
        <is>
          <t>VALLENTUNA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21445-2023</t>
        </is>
      </c>
      <c r="B74" t="inlineStr">
        <is>
          <t>avverkningsanmälan</t>
        </is>
      </c>
      <c r="C74" t="inlineStr">
        <is>
          <t>Föryngringsavverkning</t>
        </is>
      </c>
      <c r="D74" s="1" t="n">
        <v>45063</v>
      </c>
      <c r="E74" s="1" t="n">
        <v>46312</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34441-2023</t>
        </is>
      </c>
      <c r="B75" t="inlineStr">
        <is>
          <t>avverkningsanmälan</t>
        </is>
      </c>
      <c r="C75" t="inlineStr">
        <is>
          <t>Föryngringsavverkning</t>
        </is>
      </c>
      <c r="D75" s="1" t="n">
        <v>45139</v>
      </c>
      <c r="E75" s="1" t="n">
        <v>46312</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34445-2023</t>
        </is>
      </c>
      <c r="B76" t="inlineStr">
        <is>
          <t>avverkningsanmälan</t>
        </is>
      </c>
      <c r="C76" t="inlineStr">
        <is>
          <t>Föryngringsavverkning</t>
        </is>
      </c>
      <c r="D76" s="1" t="n">
        <v>45139</v>
      </c>
      <c r="E76" s="1" t="n">
        <v>46312</v>
      </c>
      <c r="F76" t="inlineStr">
        <is>
          <t>STOCKHOLMS LÄN</t>
        </is>
      </c>
      <c r="G76" t="inlineStr">
        <is>
          <t>VALLENTUNA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12585-2023</t>
        </is>
      </c>
      <c r="B77" t="inlineStr">
        <is>
          <t>avverkningsanmälan</t>
        </is>
      </c>
      <c r="C77" t="inlineStr">
        <is>
          <t>Föryngringsavverkning</t>
        </is>
      </c>
      <c r="D77" s="1" t="n">
        <v>45000</v>
      </c>
      <c r="E77" s="1" t="n">
        <v>46312</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61646-2025</t>
        </is>
      </c>
      <c r="B78" t="inlineStr">
        <is>
          <t>avverkningsanmälan</t>
        </is>
      </c>
      <c r="C78" t="inlineStr">
        <is>
          <t>Föryngringsavverkning</t>
        </is>
      </c>
      <c r="D78" s="1" t="n">
        <v>46002</v>
      </c>
      <c r="E78" s="1" t="n">
        <v>46312</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8077-2022</t>
        </is>
      </c>
      <c r="B79" t="inlineStr">
        <is>
          <t>avverkningsanmälan</t>
        </is>
      </c>
      <c r="C79" t="inlineStr">
        <is>
          <t>Föryngringsavverkning</t>
        </is>
      </c>
      <c r="D79" s="1" t="n">
        <v>44609</v>
      </c>
      <c r="E79" s="1" t="n">
        <v>46312</v>
      </c>
      <c r="F79" t="inlineStr">
        <is>
          <t>STOCKHOLMS LÄN</t>
        </is>
      </c>
      <c r="G79" t="inlineStr">
        <is>
          <t>VALLENTUNA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46312</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46312</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25740-2026</t>
        </is>
      </c>
      <c r="B82" t="inlineStr">
        <is>
          <t>avverkningsanmälan</t>
        </is>
      </c>
      <c r="C82" t="inlineStr">
        <is>
          <t>Föryngringsavverkning</t>
        </is>
      </c>
      <c r="D82" s="1" t="n">
        <v>46178</v>
      </c>
      <c r="E82" s="1" t="n">
        <v>46312</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25752-2026</t>
        </is>
      </c>
      <c r="B83" t="inlineStr">
        <is>
          <t>avverkningsanmälan</t>
        </is>
      </c>
      <c r="C83" t="inlineStr">
        <is>
          <t>Föryngringsavverkning</t>
        </is>
      </c>
      <c r="D83" s="1" t="n">
        <v>46178</v>
      </c>
      <c r="E83" s="1" t="n">
        <v>46312</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6298-2026</t>
        </is>
      </c>
      <c r="B84" t="inlineStr">
        <is>
          <t>avverkningsanmälan</t>
        </is>
      </c>
      <c r="C84" t="inlineStr">
        <is>
          <t>Föryngringsavverkning</t>
        </is>
      </c>
      <c r="D84" s="1" t="n">
        <v>46055</v>
      </c>
      <c r="E84" s="1" t="n">
        <v>46312</v>
      </c>
      <c r="F84" t="inlineStr">
        <is>
          <t>STOCKHOLMS LÄN</t>
        </is>
      </c>
      <c r="G84" t="inlineStr">
        <is>
          <t>VALLENTUNA</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21765-2023</t>
        </is>
      </c>
      <c r="B85" t="inlineStr">
        <is>
          <t>avverkningsanmälan</t>
        </is>
      </c>
      <c r="C85" t="inlineStr">
        <is>
          <t>Föryngringsavverkning</t>
        </is>
      </c>
      <c r="D85" s="1" t="n">
        <v>45064</v>
      </c>
      <c r="E85" s="1" t="n">
        <v>46312</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21614-2022</t>
        </is>
      </c>
      <c r="B86" t="inlineStr">
        <is>
          <t>avverkningsanmälan</t>
        </is>
      </c>
      <c r="C86" t="inlineStr">
        <is>
          <t>Föryngringsavverkning</t>
        </is>
      </c>
      <c r="D86" s="1" t="n">
        <v>44706</v>
      </c>
      <c r="E86" s="1" t="n">
        <v>46312</v>
      </c>
      <c r="F86" t="inlineStr">
        <is>
          <t>STOCKHOLMS LÄN</t>
        </is>
      </c>
      <c r="G86" t="inlineStr">
        <is>
          <t>VALLENTUNA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23986-2023</t>
        </is>
      </c>
      <c r="B87" t="inlineStr">
        <is>
          <t>avverkningsanmälan</t>
        </is>
      </c>
      <c r="C87" t="inlineStr">
        <is>
          <t>Föryngringsavverkning</t>
        </is>
      </c>
      <c r="D87" s="1" t="n">
        <v>45078</v>
      </c>
      <c r="E87" s="1" t="n">
        <v>46312</v>
      </c>
      <c r="F87" t="inlineStr">
        <is>
          <t>STOCKHOLMS LÄN</t>
        </is>
      </c>
      <c r="G87" t="inlineStr">
        <is>
          <t>VALLENTUNA</t>
        </is>
      </c>
      <c r="H87" t="inlineStr">
        <is>
          <t>Kyrkan</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46312</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14799-2026</t>
        </is>
      </c>
      <c r="B89" t="inlineStr">
        <is>
          <t>avverkningsanmälan</t>
        </is>
      </c>
      <c r="C89" t="inlineStr">
        <is>
          <t>Föryngringsavverkning</t>
        </is>
      </c>
      <c r="D89" s="1" t="n">
        <v>46102</v>
      </c>
      <c r="E89" s="1" t="n">
        <v>46312</v>
      </c>
      <c r="F89" t="inlineStr">
        <is>
          <t>STOCKHOLMS LÄN</t>
        </is>
      </c>
      <c r="G89" t="inlineStr">
        <is>
          <t>VALLENTUNA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46312</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46312</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46312</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19503-2023</t>
        </is>
      </c>
      <c r="B93" t="inlineStr">
        <is>
          <t>avverkningsanmälan</t>
        </is>
      </c>
      <c r="C93" t="inlineStr">
        <is>
          <t>Föryngringsavverkning</t>
        </is>
      </c>
      <c r="D93" s="1" t="n">
        <v>45050</v>
      </c>
      <c r="E93" s="1" t="n">
        <v>46312</v>
      </c>
      <c r="F93" t="inlineStr">
        <is>
          <t>STOCKHOLMS LÄN</t>
        </is>
      </c>
      <c r="G93" t="inlineStr">
        <is>
          <t>VALLENTUNA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46312</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3698-2022</t>
        </is>
      </c>
      <c r="B95" t="inlineStr">
        <is>
          <t>avverkningsanmälan</t>
        </is>
      </c>
      <c r="C95" t="inlineStr">
        <is>
          <t>Föryngringsavverkning</t>
        </is>
      </c>
      <c r="D95" s="1" t="n">
        <v>44586</v>
      </c>
      <c r="E95" s="1" t="n">
        <v>46312</v>
      </c>
      <c r="F95" t="inlineStr">
        <is>
          <t>STOCKHOLMS LÄN</t>
        </is>
      </c>
      <c r="G95" t="inlineStr">
        <is>
          <t>VALLENTUNA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38102-2024</t>
        </is>
      </c>
      <c r="B96" t="inlineStr">
        <is>
          <t>avverkningsanmälan</t>
        </is>
      </c>
      <c r="C96" t="inlineStr">
        <is>
          <t>Föryngringsavverkning</t>
        </is>
      </c>
      <c r="D96" s="1" t="n">
        <v>45545</v>
      </c>
      <c r="E96" s="1" t="n">
        <v>46312</v>
      </c>
      <c r="F96" t="inlineStr">
        <is>
          <t>STOCKHOLMS LÄN</t>
        </is>
      </c>
      <c r="G96" t="inlineStr">
        <is>
          <t>VALLENTUNA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12234-2022</t>
        </is>
      </c>
      <c r="B97" t="inlineStr">
        <is>
          <t>avverkningsanmälan</t>
        </is>
      </c>
      <c r="C97" t="inlineStr">
        <is>
          <t>Föryngringsavverkning</t>
        </is>
      </c>
      <c r="D97" s="1" t="n">
        <v>44637</v>
      </c>
      <c r="E97" s="1" t="n">
        <v>46312</v>
      </c>
      <c r="F97" t="inlineStr">
        <is>
          <t>STOCKHOLMS LÄN</t>
        </is>
      </c>
      <c r="G97" t="inlineStr">
        <is>
          <t>VALLENTUNA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24943-2024</t>
        </is>
      </c>
      <c r="B98" t="inlineStr">
        <is>
          <t>avverkningsanmälan</t>
        </is>
      </c>
      <c r="C98" t="inlineStr">
        <is>
          <t>Föryngringsavverkning</t>
        </is>
      </c>
      <c r="D98" s="1" t="n">
        <v>45461</v>
      </c>
      <c r="E98" s="1" t="n">
        <v>46312</v>
      </c>
      <c r="F98" t="inlineStr">
        <is>
          <t>STOCKHOLMS LÄN</t>
        </is>
      </c>
      <c r="G98" t="inlineStr">
        <is>
          <t>VALLENTUNA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22683-2023</t>
        </is>
      </c>
      <c r="B99" t="inlineStr">
        <is>
          <t>avverkningsanmälan</t>
        </is>
      </c>
      <c r="C99" t="inlineStr">
        <is>
          <t>Föryngringsavverkning</t>
        </is>
      </c>
      <c r="D99" s="1" t="n">
        <v>45071</v>
      </c>
      <c r="E99" s="1" t="n">
        <v>46312</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39163-2026</t>
        </is>
      </c>
      <c r="B100" t="inlineStr">
        <is>
          <t>avverkningsanmälan</t>
        </is>
      </c>
      <c r="C100" t="inlineStr">
        <is>
          <t>Föryngringsavverkning</t>
        </is>
      </c>
      <c r="D100" s="1" t="n">
        <v>46287</v>
      </c>
      <c r="E100" s="1" t="n">
        <v>46312</v>
      </c>
      <c r="F100" t="inlineStr">
        <is>
          <t>STOCKHOLMS LÄN</t>
        </is>
      </c>
      <c r="G100" t="inlineStr">
        <is>
          <t>VALLENTUNA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17411-2023</t>
        </is>
      </c>
      <c r="B101" t="inlineStr">
        <is>
          <t>avverkningsanmälan</t>
        </is>
      </c>
      <c r="C101" t="inlineStr">
        <is>
          <t>Föryngringsavverkning</t>
        </is>
      </c>
      <c r="D101" s="1" t="n">
        <v>45035</v>
      </c>
      <c r="E101" s="1" t="n">
        <v>46312</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46312</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60818-2023</t>
        </is>
      </c>
      <c r="B103" t="inlineStr">
        <is>
          <t>avverkningsanmälan</t>
        </is>
      </c>
      <c r="C103" t="inlineStr">
        <is>
          <t>Föryngringsavverkning</t>
        </is>
      </c>
      <c r="D103" s="1" t="n">
        <v>45259</v>
      </c>
      <c r="E103" s="1" t="n">
        <v>46312</v>
      </c>
      <c r="F103" t="inlineStr">
        <is>
          <t>STOCKHOLMS LÄN</t>
        </is>
      </c>
      <c r="G103" t="inlineStr">
        <is>
          <t>VALLENTUNA</t>
        </is>
      </c>
      <c r="I103" t="n">
        <v>9.4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7264-2022</t>
        </is>
      </c>
      <c r="B104" t="inlineStr">
        <is>
          <t>avverkningsanmälan</t>
        </is>
      </c>
      <c r="C104" t="inlineStr">
        <is>
          <t>Föryngringsavverkning</t>
        </is>
      </c>
      <c r="D104" s="1" t="n">
        <v>44606</v>
      </c>
      <c r="E104" s="1" t="n">
        <v>46312</v>
      </c>
      <c r="F104" t="inlineStr">
        <is>
          <t>STOCKHOLMS LÄN</t>
        </is>
      </c>
      <c r="G104" t="inlineStr">
        <is>
          <t>VALLENTUNA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40566-2026</t>
        </is>
      </c>
      <c r="B105" t="inlineStr">
        <is>
          <t>avverkningsanmälan</t>
        </is>
      </c>
      <c r="C105" t="inlineStr">
        <is>
          <t>Föryngringsavverkning</t>
        </is>
      </c>
      <c r="D105" s="1" t="n">
        <v>46295</v>
      </c>
      <c r="E105" s="1" t="n">
        <v>46312</v>
      </c>
      <c r="F105" t="inlineStr">
        <is>
          <t>STOCKHOLMS LÄN</t>
        </is>
      </c>
      <c r="G105" t="inlineStr">
        <is>
          <t>VALLENTUNA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19356-2025</t>
        </is>
      </c>
      <c r="B106" t="inlineStr">
        <is>
          <t>avverkningsanmälan</t>
        </is>
      </c>
      <c r="C106" t="inlineStr">
        <is>
          <t>Föryngringsavverkning</t>
        </is>
      </c>
      <c r="D106" s="1" t="n">
        <v>45769</v>
      </c>
      <c r="E106" s="1" t="n">
        <v>46312</v>
      </c>
      <c r="F106" t="inlineStr">
        <is>
          <t>STOCKHOLMS LÄN</t>
        </is>
      </c>
      <c r="G106" t="inlineStr">
        <is>
          <t>VALLENTUNA</t>
        </is>
      </c>
      <c r="H106" t="inlineStr">
        <is>
          <t>Övriga Aktiebolag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11950-2025</t>
        </is>
      </c>
      <c r="B107" t="inlineStr">
        <is>
          <t>avverkningsanmälan</t>
        </is>
      </c>
      <c r="C107" t="inlineStr">
        <is>
          <t>Föryngringsavverkning</t>
        </is>
      </c>
      <c r="D107" s="1" t="n">
        <v>45728</v>
      </c>
      <c r="E107" s="1" t="n">
        <v>46312</v>
      </c>
      <c r="F107" t="inlineStr">
        <is>
          <t>STOCKHOLMS LÄN</t>
        </is>
      </c>
      <c r="G107" t="inlineStr">
        <is>
          <t>VALLENTUNA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14489-2024</t>
        </is>
      </c>
      <c r="B108" t="inlineStr">
        <is>
          <t>avverkningsanmälan</t>
        </is>
      </c>
      <c r="C108" t="inlineStr">
        <is>
          <t>Föryngringsavverkning</t>
        </is>
      </c>
      <c r="D108" s="1" t="n">
        <v>45394</v>
      </c>
      <c r="E108" s="1" t="n">
        <v>46312</v>
      </c>
      <c r="F108" t="inlineStr">
        <is>
          <t>STOCKHOLMS LÄN</t>
        </is>
      </c>
      <c r="G108" t="inlineStr">
        <is>
          <t>VALLENTUNA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34750-2026</t>
        </is>
      </c>
      <c r="B109" t="inlineStr">
        <is>
          <t>avverkningsanmälan</t>
        </is>
      </c>
      <c r="C109" t="inlineStr">
        <is>
          <t>Föryngringsavverkning</t>
        </is>
      </c>
      <c r="D109" s="1" t="n">
        <v>46258</v>
      </c>
      <c r="E109" s="1" t="n">
        <v>46312</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46312</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46312</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46312</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34736-2026</t>
        </is>
      </c>
      <c r="B113" t="inlineStr">
        <is>
          <t>avverkningsanmälan</t>
        </is>
      </c>
      <c r="C113" t="inlineStr">
        <is>
          <t>Föryngringsavverkning</t>
        </is>
      </c>
      <c r="D113" s="1" t="n">
        <v>46258</v>
      </c>
      <c r="E113" s="1" t="n">
        <v>46312</v>
      </c>
      <c r="F113" t="inlineStr">
        <is>
          <t>STOCKHOLMS LÄN</t>
        </is>
      </c>
      <c r="G113" t="inlineStr">
        <is>
          <t>VALLENTUNA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34720-2026</t>
        </is>
      </c>
      <c r="B114" t="inlineStr">
        <is>
          <t>avverkningsanmälan</t>
        </is>
      </c>
      <c r="C114" t="inlineStr">
        <is>
          <t>Föryngringsavverkning</t>
        </is>
      </c>
      <c r="D114" s="1" t="n">
        <v>46258</v>
      </c>
      <c r="E114" s="1" t="n">
        <v>46312</v>
      </c>
      <c r="F114" t="inlineStr">
        <is>
          <t>STOCKHOLMS LÄN</t>
        </is>
      </c>
      <c r="G114" t="inlineStr">
        <is>
          <t>VALLENTUNA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41582-2026</t>
        </is>
      </c>
      <c r="B115" t="inlineStr">
        <is>
          <t>avverkningsanmälan</t>
        </is>
      </c>
      <c r="C115" t="inlineStr">
        <is>
          <t>Föryngringsavverkning</t>
        </is>
      </c>
      <c r="D115" s="1" t="n">
        <v>46301</v>
      </c>
      <c r="E115" s="1" t="n">
        <v>46312</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46312</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46312</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46312</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46312</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46312</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46312</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46312</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2026-10-17T02:06:16Z</dcterms:created>
  <dcterms:modified xmlns:dcterms="http://purl.org/dc/terms/" xmlns:xsi="http://www.w3.org/2001/XMLSchema-instance" xsi:type="dcterms:W3CDTF">2026-10-17T02:06:16Z</dcterms:modified>
</cp:coreProperties>
</file>