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45358</v>
      </c>
      <c r="D2" t="inlineStr">
        <is>
          <t>STOCKHOLMS LÄN</t>
        </is>
      </c>
      <c r="E2" t="inlineStr">
        <is>
          <t>VALLENTUNA</t>
        </is>
      </c>
      <c r="G2" t="n">
        <v>4.6</v>
      </c>
      <c r="H2" t="n">
        <v>7</v>
      </c>
      <c r="I2" t="n">
        <v>11</v>
      </c>
      <c r="J2" t="n">
        <v>13</v>
      </c>
      <c r="K2" t="n">
        <v>3</v>
      </c>
      <c r="L2" t="n">
        <v>0</v>
      </c>
      <c r="M2" t="n">
        <v>0</v>
      </c>
      <c r="N2" t="n">
        <v>0</v>
      </c>
      <c r="O2" t="n">
        <v>16</v>
      </c>
      <c r="P2" t="n">
        <v>3</v>
      </c>
      <c r="Q2" t="n">
        <v>30</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Kopparödla
Lopplummer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45358</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50718-2023</t>
        </is>
      </c>
      <c r="B4" s="1" t="n">
        <v>45217</v>
      </c>
      <c r="C4" s="1" t="n">
        <v>45358</v>
      </c>
      <c r="D4" t="inlineStr">
        <is>
          <t>STOCKHOLMS LÄN</t>
        </is>
      </c>
      <c r="E4" t="inlineStr">
        <is>
          <t>VALLENTUNA</t>
        </is>
      </c>
      <c r="G4" t="n">
        <v>3.6</v>
      </c>
      <c r="H4" t="n">
        <v>3</v>
      </c>
      <c r="I4" t="n">
        <v>9</v>
      </c>
      <c r="J4" t="n">
        <v>6</v>
      </c>
      <c r="K4" t="n">
        <v>0</v>
      </c>
      <c r="L4" t="n">
        <v>0</v>
      </c>
      <c r="M4" t="n">
        <v>0</v>
      </c>
      <c r="N4" t="n">
        <v>0</v>
      </c>
      <c r="O4" t="n">
        <v>6</v>
      </c>
      <c r="P4" t="n">
        <v>0</v>
      </c>
      <c r="Q4" t="n">
        <v>16</v>
      </c>
      <c r="R4" s="2" t="inlineStr">
        <is>
          <t>Granticka
Rosenticka
Spillkråka
Tallticka
Ullticka
Vedtrappmossa
Brandticka
Bronshjon
Grovticka
Grön sköldmossa
Grönpyrola
Gulnål
Rödgul trumpetsvamp
Trådticka
Vedticka
Blåsippa</t>
        </is>
      </c>
      <c r="S4">
        <f>HYPERLINK("https://klasma.github.io/Logging_0115/artfynd/A 50718-2023 artfynd.xlsx", "A 50718-2023")</f>
        <v/>
      </c>
      <c r="T4">
        <f>HYPERLINK("https://klasma.github.io/Logging_0115/kartor/A 50718-2023 karta.png", "A 50718-2023")</f>
        <v/>
      </c>
      <c r="V4">
        <f>HYPERLINK("https://klasma.github.io/Logging_0115/klagomål/A 50718-2023 FSC-klagomål.docx", "A 50718-2023")</f>
        <v/>
      </c>
      <c r="W4">
        <f>HYPERLINK("https://klasma.github.io/Logging_0115/klagomålsmail/A 50718-2023 FSC-klagomål mail.docx", "A 50718-2023")</f>
        <v/>
      </c>
      <c r="X4">
        <f>HYPERLINK("https://klasma.github.io/Logging_0115/tillsyn/A 50718-2023 tillsynsbegäran.docx", "A 50718-2023")</f>
        <v/>
      </c>
      <c r="Y4">
        <f>HYPERLINK("https://klasma.github.io/Logging_0115/tillsynsmail/A 50718-2023 tillsynsbegäran mail.docx", "A 50718-2023")</f>
        <v/>
      </c>
      <c r="Z4">
        <f>HYPERLINK("https://klasma.github.io/Logging_0115/fåglar/A 50718-2023 prioriterade fågelarter.docx", "A 50718-2023")</f>
        <v/>
      </c>
    </row>
    <row r="5" ht="15" customHeight="1">
      <c r="A5" t="inlineStr">
        <is>
          <t>A 55761-2023</t>
        </is>
      </c>
      <c r="B5" s="1" t="n">
        <v>45239</v>
      </c>
      <c r="C5" s="1" t="n">
        <v>45358</v>
      </c>
      <c r="D5" t="inlineStr">
        <is>
          <t>STOCKHOLMS LÄN</t>
        </is>
      </c>
      <c r="E5" t="inlineStr">
        <is>
          <t>VALLENTUNA</t>
        </is>
      </c>
      <c r="G5" t="n">
        <v>11.7</v>
      </c>
      <c r="H5" t="n">
        <v>3</v>
      </c>
      <c r="I5" t="n">
        <v>5</v>
      </c>
      <c r="J5" t="n">
        <v>10</v>
      </c>
      <c r="K5" t="n">
        <v>0</v>
      </c>
      <c r="L5" t="n">
        <v>0</v>
      </c>
      <c r="M5" t="n">
        <v>0</v>
      </c>
      <c r="N5" t="n">
        <v>0</v>
      </c>
      <c r="O5" t="n">
        <v>10</v>
      </c>
      <c r="P5" t="n">
        <v>0</v>
      </c>
      <c r="Q5" t="n">
        <v>16</v>
      </c>
      <c r="R5" s="2" t="inlineStr">
        <is>
          <t>Dvärgbägarlav
Garnlav
Motaggsvamp
Orange taggsvamp
Spillkråka
Svartvit taggsvamp
Tallticka
Talltita
Vedskivlav
Vintertagging
Björksplintborre
Blodticka
Blåmossa
Bronshjon
Granbarkgnagare
Tjäder</t>
        </is>
      </c>
      <c r="S5">
        <f>HYPERLINK("https://klasma.github.io/Logging_0115/artfynd/A 55761-2023 artfynd.xlsx", "A 55761-2023")</f>
        <v/>
      </c>
      <c r="T5">
        <f>HYPERLINK("https://klasma.github.io/Logging_0115/kartor/A 55761-2023 karta.png", "A 55761-2023")</f>
        <v/>
      </c>
      <c r="U5">
        <f>HYPERLINK("https://klasma.github.io/Logging_0115/knärot/A 55761-2023 karta knärot.png", "A 55761-2023")</f>
        <v/>
      </c>
      <c r="V5">
        <f>HYPERLINK("https://klasma.github.io/Logging_0115/klagomål/A 55761-2023 FSC-klagomål.docx", "A 55761-2023")</f>
        <v/>
      </c>
      <c r="W5">
        <f>HYPERLINK("https://klasma.github.io/Logging_0115/klagomålsmail/A 55761-2023 FSC-klagomål mail.docx", "A 55761-2023")</f>
        <v/>
      </c>
      <c r="X5">
        <f>HYPERLINK("https://klasma.github.io/Logging_0115/tillsyn/A 55761-2023 tillsynsbegäran.docx", "A 55761-2023")</f>
        <v/>
      </c>
      <c r="Y5">
        <f>HYPERLINK("https://klasma.github.io/Logging_0115/tillsynsmail/A 55761-2023 tillsynsbegäran mail.docx", "A 55761-2023")</f>
        <v/>
      </c>
      <c r="Z5">
        <f>HYPERLINK("https://klasma.github.io/Logging_0115/fåglar/A 55761-2023 prioriterade fågelarter.docx", "A 55761-2023")</f>
        <v/>
      </c>
    </row>
    <row r="6" ht="15" customHeight="1">
      <c r="A6" t="inlineStr">
        <is>
          <t>A 42742-2023</t>
        </is>
      </c>
      <c r="B6" s="1" t="n">
        <v>45181</v>
      </c>
      <c r="C6" s="1" t="n">
        <v>45358</v>
      </c>
      <c r="D6" t="inlineStr">
        <is>
          <t>STOCKHOLMS LÄN</t>
        </is>
      </c>
      <c r="E6" t="inlineStr">
        <is>
          <t>VALLENTUNA</t>
        </is>
      </c>
      <c r="G6" t="n">
        <v>10.4</v>
      </c>
      <c r="H6" t="n">
        <v>1</v>
      </c>
      <c r="I6" t="n">
        <v>5</v>
      </c>
      <c r="J6" t="n">
        <v>7</v>
      </c>
      <c r="K6" t="n">
        <v>1</v>
      </c>
      <c r="L6" t="n">
        <v>0</v>
      </c>
      <c r="M6" t="n">
        <v>0</v>
      </c>
      <c r="N6" t="n">
        <v>0</v>
      </c>
      <c r="O6" t="n">
        <v>8</v>
      </c>
      <c r="P6" t="n">
        <v>1</v>
      </c>
      <c r="Q6" t="n">
        <v>14</v>
      </c>
      <c r="R6" s="2" t="inlineStr">
        <is>
          <t>Blackticka
Granticka
Koralltaggsvamp
Orange taggsvamp
Rosenticka
Ullticka
Veckticka
Vedtrappmossa
Blomkålssvamp
Brandticka
Fjällig taggsvamp s.str.
Grönpyrola
Rödgul trumpetsvamp
Blåsippa</t>
        </is>
      </c>
      <c r="S6">
        <f>HYPERLINK("https://klasma.github.io/Logging_0115/artfynd/A 42742-2023 artfynd.xlsx", "A 42742-2023")</f>
        <v/>
      </c>
      <c r="T6">
        <f>HYPERLINK("https://klasma.github.io/Logging_0115/kartor/A 42742-2023 karta.png", "A 42742-2023")</f>
        <v/>
      </c>
      <c r="V6">
        <f>HYPERLINK("https://klasma.github.io/Logging_0115/klagomål/A 42742-2023 FSC-klagomål.docx", "A 42742-2023")</f>
        <v/>
      </c>
      <c r="W6">
        <f>HYPERLINK("https://klasma.github.io/Logging_0115/klagomålsmail/A 42742-2023 FSC-klagomål mail.docx", "A 42742-2023")</f>
        <v/>
      </c>
      <c r="X6">
        <f>HYPERLINK("https://klasma.github.io/Logging_0115/tillsyn/A 42742-2023 tillsynsbegäran.docx", "A 42742-2023")</f>
        <v/>
      </c>
      <c r="Y6">
        <f>HYPERLINK("https://klasma.github.io/Logging_0115/tillsynsmail/A 42742-2023 tillsynsbegäran mail.docx", "A 42742-2023")</f>
        <v/>
      </c>
    </row>
    <row r="7" ht="15" customHeight="1">
      <c r="A7" t="inlineStr">
        <is>
          <t>A 68153-2019</t>
        </is>
      </c>
      <c r="B7" s="1" t="n">
        <v>43817</v>
      </c>
      <c r="C7" s="1" t="n">
        <v>45358</v>
      </c>
      <c r="D7" t="inlineStr">
        <is>
          <t>STOCKHOLMS LÄN</t>
        </is>
      </c>
      <c r="E7" t="inlineStr">
        <is>
          <t>VALLENTUNA</t>
        </is>
      </c>
      <c r="G7" t="n">
        <v>21.8</v>
      </c>
      <c r="H7" t="n">
        <v>1</v>
      </c>
      <c r="I7" t="n">
        <v>9</v>
      </c>
      <c r="J7" t="n">
        <v>3</v>
      </c>
      <c r="K7" t="n">
        <v>0</v>
      </c>
      <c r="L7" t="n">
        <v>0</v>
      </c>
      <c r="M7" t="n">
        <v>0</v>
      </c>
      <c r="N7" t="n">
        <v>0</v>
      </c>
      <c r="O7" t="n">
        <v>3</v>
      </c>
      <c r="P7" t="n">
        <v>0</v>
      </c>
      <c r="Q7" t="n">
        <v>12</v>
      </c>
      <c r="R7" s="2" t="inlineStr">
        <is>
          <t>Dofttaggsvamp
Granticka
Mörk kolflarnlav
Blåmossa
Bollvitmossa
Grön sköldmossa
Kattfotslav
Mindre märgborre
Rödgul trumpetsvamp
Skarp dropptaggsvamp
Skuggblåslav
Vedticka</t>
        </is>
      </c>
      <c r="S7">
        <f>HYPERLINK("https://klasma.github.io/Logging_0115/artfynd/A 68153-2019 artfynd.xlsx", "A 68153-2019")</f>
        <v/>
      </c>
      <c r="T7">
        <f>HYPERLINK("https://klasma.github.io/Logging_0115/kartor/A 68153-2019 karta.png", "A 68153-2019")</f>
        <v/>
      </c>
      <c r="V7">
        <f>HYPERLINK("https://klasma.github.io/Logging_0115/klagomål/A 68153-2019 FSC-klagomål.docx", "A 68153-2019")</f>
        <v/>
      </c>
      <c r="W7">
        <f>HYPERLINK("https://klasma.github.io/Logging_0115/klagomålsmail/A 68153-2019 FSC-klagomål mail.docx", "A 68153-2019")</f>
        <v/>
      </c>
      <c r="X7">
        <f>HYPERLINK("https://klasma.github.io/Logging_0115/tillsyn/A 68153-2019 tillsynsbegäran.docx", "A 68153-2019")</f>
        <v/>
      </c>
      <c r="Y7">
        <f>HYPERLINK("https://klasma.github.io/Logging_0115/tillsynsmail/A 68153-2019 tillsynsbegäran mail.docx", "A 68153-2019")</f>
        <v/>
      </c>
    </row>
    <row r="8" ht="15" customHeight="1">
      <c r="A8" t="inlineStr">
        <is>
          <t>A 22060-2022</t>
        </is>
      </c>
      <c r="B8" s="1" t="n">
        <v>44711</v>
      </c>
      <c r="C8" s="1" t="n">
        <v>45358</v>
      </c>
      <c r="D8" t="inlineStr">
        <is>
          <t>STOCKHOLMS LÄN</t>
        </is>
      </c>
      <c r="E8" t="inlineStr">
        <is>
          <t>VALLENTUNA</t>
        </is>
      </c>
      <c r="G8" t="n">
        <v>5.4</v>
      </c>
      <c r="H8" t="n">
        <v>3</v>
      </c>
      <c r="I8" t="n">
        <v>7</v>
      </c>
      <c r="J8" t="n">
        <v>2</v>
      </c>
      <c r="K8" t="n">
        <v>0</v>
      </c>
      <c r="L8" t="n">
        <v>0</v>
      </c>
      <c r="M8" t="n">
        <v>0</v>
      </c>
      <c r="N8" t="n">
        <v>0</v>
      </c>
      <c r="O8" t="n">
        <v>2</v>
      </c>
      <c r="P8" t="n">
        <v>0</v>
      </c>
      <c r="Q8" t="n">
        <v>11</v>
      </c>
      <c r="R8" s="2" t="inlineStr">
        <is>
          <t>Grönhjon
Ullticka
Bronshjon
Granbarkgnagare
Grönpyrola
Korallrot
Stubbspretmossa
Vågbandad barkbock
Ögonpyrola
Fläcknycklar
Blåsippa</t>
        </is>
      </c>
      <c r="S8">
        <f>HYPERLINK("https://klasma.github.io/Logging_0115/artfynd/A 22060-2022 artfynd.xlsx", "A 22060-2022")</f>
        <v/>
      </c>
      <c r="T8">
        <f>HYPERLINK("https://klasma.github.io/Logging_0115/kartor/A 22060-2022 karta.png", "A 22060-2022")</f>
        <v/>
      </c>
      <c r="V8">
        <f>HYPERLINK("https://klasma.github.io/Logging_0115/klagomål/A 22060-2022 FSC-klagomål.docx", "A 22060-2022")</f>
        <v/>
      </c>
      <c r="W8">
        <f>HYPERLINK("https://klasma.github.io/Logging_0115/klagomålsmail/A 22060-2022 FSC-klagomål mail.docx", "A 22060-2022")</f>
        <v/>
      </c>
      <c r="X8">
        <f>HYPERLINK("https://klasma.github.io/Logging_0115/tillsyn/A 22060-2022 tillsynsbegäran.docx", "A 22060-2022")</f>
        <v/>
      </c>
      <c r="Y8">
        <f>HYPERLINK("https://klasma.github.io/Logging_0115/tillsynsmail/A 22060-2022 tillsynsbegäran mail.docx", "A 22060-2022")</f>
        <v/>
      </c>
    </row>
    <row r="9" ht="15" customHeight="1">
      <c r="A9" t="inlineStr">
        <is>
          <t>A 15265-2023</t>
        </is>
      </c>
      <c r="B9" s="1" t="n">
        <v>45019</v>
      </c>
      <c r="C9" s="1" t="n">
        <v>45358</v>
      </c>
      <c r="D9" t="inlineStr">
        <is>
          <t>STOCKHOLMS LÄN</t>
        </is>
      </c>
      <c r="E9" t="inlineStr">
        <is>
          <t>VALLENTUNA</t>
        </is>
      </c>
      <c r="G9" t="n">
        <v>4.2</v>
      </c>
      <c r="H9" t="n">
        <v>3</v>
      </c>
      <c r="I9" t="n">
        <v>5</v>
      </c>
      <c r="J9" t="n">
        <v>4</v>
      </c>
      <c r="K9" t="n">
        <v>0</v>
      </c>
      <c r="L9" t="n">
        <v>0</v>
      </c>
      <c r="M9" t="n">
        <v>0</v>
      </c>
      <c r="N9" t="n">
        <v>0</v>
      </c>
      <c r="O9" t="n">
        <v>4</v>
      </c>
      <c r="P9" t="n">
        <v>0</v>
      </c>
      <c r="Q9" t="n">
        <v>10</v>
      </c>
      <c r="R9" s="2" t="inlineStr">
        <is>
          <t>Asppraktbagge
Gullklöver
Mindre bastardsvärmare
Spillkråka
Ljus vedstrit
Skogsknipprot
Spindelbock
Stekelbock
Tibast
Skogsödla</t>
        </is>
      </c>
      <c r="S9">
        <f>HYPERLINK("https://klasma.github.io/Logging_0115/artfynd/A 15265-2023 artfynd.xlsx", "A 15265-2023")</f>
        <v/>
      </c>
      <c r="T9">
        <f>HYPERLINK("https://klasma.github.io/Logging_0115/kartor/A 15265-2023 karta.png", "A 15265-2023")</f>
        <v/>
      </c>
      <c r="V9">
        <f>HYPERLINK("https://klasma.github.io/Logging_0115/klagomål/A 15265-2023 FSC-klagomål.docx", "A 15265-2023")</f>
        <v/>
      </c>
      <c r="W9">
        <f>HYPERLINK("https://klasma.github.io/Logging_0115/klagomålsmail/A 15265-2023 FSC-klagomål mail.docx", "A 15265-2023")</f>
        <v/>
      </c>
      <c r="X9">
        <f>HYPERLINK("https://klasma.github.io/Logging_0115/tillsyn/A 15265-2023 tillsynsbegäran.docx", "A 15265-2023")</f>
        <v/>
      </c>
      <c r="Y9">
        <f>HYPERLINK("https://klasma.github.io/Logging_0115/tillsynsmail/A 15265-2023 tillsynsbegäran mail.docx", "A 15265-2023")</f>
        <v/>
      </c>
      <c r="Z9">
        <f>HYPERLINK("https://klasma.github.io/Logging_0115/fåglar/A 15265-2023 prioriterade fågelarter.docx", "A 15265-2023")</f>
        <v/>
      </c>
    </row>
    <row r="10" ht="15" customHeight="1">
      <c r="A10" t="inlineStr">
        <is>
          <t>A 22064-2022</t>
        </is>
      </c>
      <c r="B10" s="1" t="n">
        <v>44711</v>
      </c>
      <c r="C10" s="1" t="n">
        <v>45358</v>
      </c>
      <c r="D10" t="inlineStr">
        <is>
          <t>STOCKHOLMS LÄN</t>
        </is>
      </c>
      <c r="E10" t="inlineStr">
        <is>
          <t>VALLENTUNA</t>
        </is>
      </c>
      <c r="G10" t="n">
        <v>4.3</v>
      </c>
      <c r="H10" t="n">
        <v>2</v>
      </c>
      <c r="I10" t="n">
        <v>7</v>
      </c>
      <c r="J10" t="n">
        <v>1</v>
      </c>
      <c r="K10" t="n">
        <v>0</v>
      </c>
      <c r="L10" t="n">
        <v>0</v>
      </c>
      <c r="M10" t="n">
        <v>0</v>
      </c>
      <c r="N10" t="n">
        <v>0</v>
      </c>
      <c r="O10" t="n">
        <v>1</v>
      </c>
      <c r="P10" t="n">
        <v>0</v>
      </c>
      <c r="Q10" t="n">
        <v>9</v>
      </c>
      <c r="R10" s="2" t="inlineStr">
        <is>
          <t>Spillkråka
Björksplintborre
Blåmossa
Bronshjon
Fjällig taggsvamp s.str.
Granbarkgnagare
Stubbspretmossa
Vågbandad barkbock
Blåsippa</t>
        </is>
      </c>
      <c r="S10">
        <f>HYPERLINK("https://klasma.github.io/Logging_0115/artfynd/A 22064-2022 artfynd.xlsx", "A 22064-2022")</f>
        <v/>
      </c>
      <c r="T10">
        <f>HYPERLINK("https://klasma.github.io/Logging_0115/kartor/A 22064-2022 karta.png", "A 22064-2022")</f>
        <v/>
      </c>
      <c r="V10">
        <f>HYPERLINK("https://klasma.github.io/Logging_0115/klagomål/A 22064-2022 FSC-klagomål.docx", "A 22064-2022")</f>
        <v/>
      </c>
      <c r="W10">
        <f>HYPERLINK("https://klasma.github.io/Logging_0115/klagomålsmail/A 22064-2022 FSC-klagomål mail.docx", "A 22064-2022")</f>
        <v/>
      </c>
      <c r="X10">
        <f>HYPERLINK("https://klasma.github.io/Logging_0115/tillsyn/A 22064-2022 tillsynsbegäran.docx", "A 22064-2022")</f>
        <v/>
      </c>
      <c r="Y10">
        <f>HYPERLINK("https://klasma.github.io/Logging_0115/tillsynsmail/A 22064-2022 tillsynsbegäran mail.docx", "A 22064-2022")</f>
        <v/>
      </c>
      <c r="Z10">
        <f>HYPERLINK("https://klasma.github.io/Logging_0115/fåglar/A 22064-2022 prioriterade fågelarter.docx", "A 22064-2022")</f>
        <v/>
      </c>
    </row>
    <row r="11" ht="15" customHeight="1">
      <c r="A11" t="inlineStr">
        <is>
          <t>A 22061-2022</t>
        </is>
      </c>
      <c r="B11" s="1" t="n">
        <v>44711</v>
      </c>
      <c r="C11" s="1" t="n">
        <v>45358</v>
      </c>
      <c r="D11" t="inlineStr">
        <is>
          <t>STOCKHOLMS LÄN</t>
        </is>
      </c>
      <c r="E11" t="inlineStr">
        <is>
          <t>VALLENTUNA</t>
        </is>
      </c>
      <c r="G11" t="n">
        <v>6.2</v>
      </c>
      <c r="H11" t="n">
        <v>2</v>
      </c>
      <c r="I11" t="n">
        <v>4</v>
      </c>
      <c r="J11" t="n">
        <v>2</v>
      </c>
      <c r="K11" t="n">
        <v>1</v>
      </c>
      <c r="L11" t="n">
        <v>0</v>
      </c>
      <c r="M11" t="n">
        <v>0</v>
      </c>
      <c r="N11" t="n">
        <v>0</v>
      </c>
      <c r="O11" t="n">
        <v>3</v>
      </c>
      <c r="P11" t="n">
        <v>1</v>
      </c>
      <c r="Q11" t="n">
        <v>8</v>
      </c>
      <c r="R11" s="2" t="inlineStr">
        <is>
          <t>Knärot
Orange taggsvamp
Ullticka
Fjällig taggsvamp s.str.
Grönpyrola
Rostfläck
Stubbspretmossa
Blåsippa</t>
        </is>
      </c>
      <c r="S11">
        <f>HYPERLINK("https://klasma.github.io/Logging_0115/artfynd/A 22061-2022 artfynd.xlsx", "A 22061-2022")</f>
        <v/>
      </c>
      <c r="T11">
        <f>HYPERLINK("https://klasma.github.io/Logging_0115/kartor/A 22061-2022 karta.png", "A 22061-2022")</f>
        <v/>
      </c>
      <c r="U11">
        <f>HYPERLINK("https://klasma.github.io/Logging_0115/knärot/A 22061-2022 karta knärot.png", "A 22061-2022")</f>
        <v/>
      </c>
      <c r="V11">
        <f>HYPERLINK("https://klasma.github.io/Logging_0115/klagomål/A 22061-2022 FSC-klagomål.docx", "A 22061-2022")</f>
        <v/>
      </c>
      <c r="W11">
        <f>HYPERLINK("https://klasma.github.io/Logging_0115/klagomålsmail/A 22061-2022 FSC-klagomål mail.docx", "A 22061-2022")</f>
        <v/>
      </c>
      <c r="X11">
        <f>HYPERLINK("https://klasma.github.io/Logging_0115/tillsyn/A 22061-2022 tillsynsbegäran.docx", "A 22061-2022")</f>
        <v/>
      </c>
      <c r="Y11">
        <f>HYPERLINK("https://klasma.github.io/Logging_0115/tillsynsmail/A 22061-2022 tillsynsbegäran mail.docx", "A 22061-2022")</f>
        <v/>
      </c>
    </row>
    <row r="12" ht="15" customHeight="1">
      <c r="A12" t="inlineStr">
        <is>
          <t>A 25512-2022</t>
        </is>
      </c>
      <c r="B12" s="1" t="n">
        <v>44732</v>
      </c>
      <c r="C12" s="1" t="n">
        <v>45358</v>
      </c>
      <c r="D12" t="inlineStr">
        <is>
          <t>STOCKHOLMS LÄN</t>
        </is>
      </c>
      <c r="E12" t="inlineStr">
        <is>
          <t>VALLENTUNA</t>
        </is>
      </c>
      <c r="G12" t="n">
        <v>13.8</v>
      </c>
      <c r="H12" t="n">
        <v>0</v>
      </c>
      <c r="I12" t="n">
        <v>5</v>
      </c>
      <c r="J12" t="n">
        <v>3</v>
      </c>
      <c r="K12" t="n">
        <v>0</v>
      </c>
      <c r="L12" t="n">
        <v>0</v>
      </c>
      <c r="M12" t="n">
        <v>0</v>
      </c>
      <c r="N12" t="n">
        <v>0</v>
      </c>
      <c r="O12" t="n">
        <v>3</v>
      </c>
      <c r="P12" t="n">
        <v>0</v>
      </c>
      <c r="Q12" t="n">
        <v>8</v>
      </c>
      <c r="R12" s="2" t="inlineStr">
        <is>
          <t>Granticka
Gränsticka
Orange taggsvamp
Fjällig taggsvamp s.str.
Gullgröppa
Rödgul trumpetsvamp
Skarp dropptaggsvamp
Vedticka</t>
        </is>
      </c>
      <c r="S12">
        <f>HYPERLINK("https://klasma.github.io/Logging_0115/artfynd/A 25512-2022 artfynd.xlsx", "A 25512-2022")</f>
        <v/>
      </c>
      <c r="T12">
        <f>HYPERLINK("https://klasma.github.io/Logging_0115/kartor/A 25512-2022 karta.png", "A 25512-2022")</f>
        <v/>
      </c>
      <c r="V12">
        <f>HYPERLINK("https://klasma.github.io/Logging_0115/klagomål/A 25512-2022 FSC-klagomål.docx", "A 25512-2022")</f>
        <v/>
      </c>
      <c r="W12">
        <f>HYPERLINK("https://klasma.github.io/Logging_0115/klagomålsmail/A 25512-2022 FSC-klagomål mail.docx", "A 25512-2022")</f>
        <v/>
      </c>
      <c r="X12">
        <f>HYPERLINK("https://klasma.github.io/Logging_0115/tillsyn/A 25512-2022 tillsynsbegäran.docx", "A 25512-2022")</f>
        <v/>
      </c>
      <c r="Y12">
        <f>HYPERLINK("https://klasma.github.io/Logging_0115/tillsynsmail/A 25512-2022 tillsynsbegäran mail.docx", "A 25512-2022")</f>
        <v/>
      </c>
    </row>
    <row r="13" ht="15" customHeight="1">
      <c r="A13" t="inlineStr">
        <is>
          <t>A 42922-2023</t>
        </is>
      </c>
      <c r="B13" s="1" t="n">
        <v>45182</v>
      </c>
      <c r="C13" s="1" t="n">
        <v>45358</v>
      </c>
      <c r="D13" t="inlineStr">
        <is>
          <t>STOCKHOLMS LÄN</t>
        </is>
      </c>
      <c r="E13" t="inlineStr">
        <is>
          <t>VALLENTUNA</t>
        </is>
      </c>
      <c r="G13" t="n">
        <v>4.2</v>
      </c>
      <c r="H13" t="n">
        <v>1</v>
      </c>
      <c r="I13" t="n">
        <v>4</v>
      </c>
      <c r="J13" t="n">
        <v>3</v>
      </c>
      <c r="K13" t="n">
        <v>0</v>
      </c>
      <c r="L13" t="n">
        <v>0</v>
      </c>
      <c r="M13" t="n">
        <v>0</v>
      </c>
      <c r="N13" t="n">
        <v>0</v>
      </c>
      <c r="O13" t="n">
        <v>3</v>
      </c>
      <c r="P13" t="n">
        <v>0</v>
      </c>
      <c r="Q13" t="n">
        <v>8</v>
      </c>
      <c r="R13" s="2" t="inlineStr">
        <is>
          <t>Granticka
Motaggsvamp
Orange taggsvamp
Fjällig taggsvamp s.str.
Granbarkgnagare
Grönpyrola
Rödgul trumpetsvamp
Blåsippa</t>
        </is>
      </c>
      <c r="S13">
        <f>HYPERLINK("https://klasma.github.io/Logging_0115/artfynd/A 42922-2023 artfynd.xlsx", "A 42922-2023")</f>
        <v/>
      </c>
      <c r="T13">
        <f>HYPERLINK("https://klasma.github.io/Logging_0115/kartor/A 42922-2023 karta.png", "A 42922-2023")</f>
        <v/>
      </c>
      <c r="V13">
        <f>HYPERLINK("https://klasma.github.io/Logging_0115/klagomål/A 42922-2023 FSC-klagomål.docx", "A 42922-2023")</f>
        <v/>
      </c>
      <c r="W13">
        <f>HYPERLINK("https://klasma.github.io/Logging_0115/klagomålsmail/A 42922-2023 FSC-klagomål mail.docx", "A 42922-2023")</f>
        <v/>
      </c>
      <c r="X13">
        <f>HYPERLINK("https://klasma.github.io/Logging_0115/tillsyn/A 42922-2023 tillsynsbegäran.docx", "A 42922-2023")</f>
        <v/>
      </c>
      <c r="Y13">
        <f>HYPERLINK("https://klasma.github.io/Logging_0115/tillsynsmail/A 42922-2023 tillsynsbegäran mail.docx", "A 42922-2023")</f>
        <v/>
      </c>
    </row>
    <row r="14" ht="15" customHeight="1">
      <c r="A14" t="inlineStr">
        <is>
          <t>A 55825-2023</t>
        </is>
      </c>
      <c r="B14" s="1" t="n">
        <v>45239</v>
      </c>
      <c r="C14" s="1" t="n">
        <v>45358</v>
      </c>
      <c r="D14" t="inlineStr">
        <is>
          <t>STOCKHOLMS LÄN</t>
        </is>
      </c>
      <c r="E14" t="inlineStr">
        <is>
          <t>VALLENTUNA</t>
        </is>
      </c>
      <c r="G14" t="n">
        <v>4.9</v>
      </c>
      <c r="H14" t="n">
        <v>2</v>
      </c>
      <c r="I14" t="n">
        <v>3</v>
      </c>
      <c r="J14" t="n">
        <v>5</v>
      </c>
      <c r="K14" t="n">
        <v>0</v>
      </c>
      <c r="L14" t="n">
        <v>0</v>
      </c>
      <c r="M14" t="n">
        <v>0</v>
      </c>
      <c r="N14" t="n">
        <v>0</v>
      </c>
      <c r="O14" t="n">
        <v>5</v>
      </c>
      <c r="P14" t="n">
        <v>0</v>
      </c>
      <c r="Q14" t="n">
        <v>8</v>
      </c>
      <c r="R14" s="2" t="inlineStr">
        <is>
          <t>Garnlav
Spillkråka
Talltita
Ullticka
Vedskivlav
Blodticka
Mindre märgborre
Vedticka</t>
        </is>
      </c>
      <c r="S14">
        <f>HYPERLINK("https://klasma.github.io/Logging_0115/artfynd/A 55825-2023 artfynd.xlsx", "A 55825-2023")</f>
        <v/>
      </c>
      <c r="T14">
        <f>HYPERLINK("https://klasma.github.io/Logging_0115/kartor/A 55825-2023 karta.png", "A 55825-2023")</f>
        <v/>
      </c>
      <c r="U14">
        <f>HYPERLINK("https://klasma.github.io/Logging_0115/knärot/A 55825-2023 karta knärot.png", "A 55825-2023")</f>
        <v/>
      </c>
      <c r="V14">
        <f>HYPERLINK("https://klasma.github.io/Logging_0115/klagomål/A 55825-2023 FSC-klagomål.docx", "A 55825-2023")</f>
        <v/>
      </c>
      <c r="W14">
        <f>HYPERLINK("https://klasma.github.io/Logging_0115/klagomålsmail/A 55825-2023 FSC-klagomål mail.docx", "A 55825-2023")</f>
        <v/>
      </c>
      <c r="X14">
        <f>HYPERLINK("https://klasma.github.io/Logging_0115/tillsyn/A 55825-2023 tillsynsbegäran.docx", "A 55825-2023")</f>
        <v/>
      </c>
      <c r="Y14">
        <f>HYPERLINK("https://klasma.github.io/Logging_0115/tillsynsmail/A 55825-2023 tillsynsbegäran mail.docx", "A 55825-2023")</f>
        <v/>
      </c>
      <c r="Z14">
        <f>HYPERLINK("https://klasma.github.io/Logging_0115/fåglar/A 55825-2023 prioriterade fågelarter.docx", "A 55825-2023")</f>
        <v/>
      </c>
    </row>
    <row r="15" ht="15" customHeight="1">
      <c r="A15" t="inlineStr">
        <is>
          <t>A 36119-2023</t>
        </is>
      </c>
      <c r="B15" s="1" t="n">
        <v>45148</v>
      </c>
      <c r="C15" s="1" t="n">
        <v>45358</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45358</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45358</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45358</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45358</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45358</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45358</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45358</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45358</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45358</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45358</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45358</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45358</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45358</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45358</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45358</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45358</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45358</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45358</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45358</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45358</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45358</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45358</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45358</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45358</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45358</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45358</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45358</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45358</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45358</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45358</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45358</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45358</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45358</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45358</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45358</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45358</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45358</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45358</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45358</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45358</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45358</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45358</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45358</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45358</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45358</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45358</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45358</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45358</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45358</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45358</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45358</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45358</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45358</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45358</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45358</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45358</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45358</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45358</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45358</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45358</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45358</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45358</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45358</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45358</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45358</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45358</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45358</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45358</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45358</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45358</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45358</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45358</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45358</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45358</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45358</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45358</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45358</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45358</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45358</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45358</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45358</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45358</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45358</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45358</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45358</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45358</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45358</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45358</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45358</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45358</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45358</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45358</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45358</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45358</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45358</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45358</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45358</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45358</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45358</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45358</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45358</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45358</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45358</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45358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45358</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45358</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45358</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45358</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45358</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45358</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45358</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45358</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45358</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45358</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45358</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45358</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45358</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45358</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45358</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45358</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45358</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45358</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45358</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45358</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45358</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45358</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45358</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45358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45358</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45358</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45358</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45358</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45358</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45358</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45358</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45358</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45358</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45358</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45358</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45358</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45358</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45358</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45358</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45358</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45358</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45358</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45358</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45358</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45358</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45358</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45358</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45358</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45358</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45358</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45358</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45358</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45358</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45358</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45358</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45358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45358</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45358</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45358</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45358</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45358</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45358</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45358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45358</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45358</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45358</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45358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45358</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45358</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45358</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45358</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45358</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45358</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45358</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45358</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45358</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45358</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45358</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45358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45358</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45358</v>
      </c>
      <c r="D200" t="inlineStr">
        <is>
          <t>STOCKHOLMS LÄN</t>
        </is>
      </c>
      <c r="E200" t="inlineStr">
        <is>
          <t>VALLENTUNA</t>
        </is>
      </c>
      <c r="G200" t="n">
        <v>4</v>
      </c>
      <c r="H200" t="n">
        <v>0</v>
      </c>
      <c r="I200" t="n">
        <v>0</v>
      </c>
      <c r="J200" t="n">
        <v>0</v>
      </c>
      <c r="K200" t="n">
        <v>0</v>
      </c>
      <c r="L200" t="n">
        <v>0</v>
      </c>
      <c r="M200" t="n">
        <v>0</v>
      </c>
      <c r="N200" t="n">
        <v>0</v>
      </c>
      <c r="O200" t="n">
        <v>0</v>
      </c>
      <c r="P200" t="n">
        <v>0</v>
      </c>
      <c r="Q200" t="n">
        <v>0</v>
      </c>
      <c r="R200" s="2" t="inlineStr"/>
    </row>
    <row r="201" ht="15" customHeight="1">
      <c r="A201" t="inlineStr">
        <is>
          <t>A 4804-2024</t>
        </is>
      </c>
      <c r="B201" s="1" t="n">
        <v>45328</v>
      </c>
      <c r="C201" s="1" t="n">
        <v>45358</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45358</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45358</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9074-2024</t>
        </is>
      </c>
      <c r="B204" s="1" t="n">
        <v>45357</v>
      </c>
      <c r="C204" s="1" t="n">
        <v>45358</v>
      </c>
      <c r="D204" t="inlineStr">
        <is>
          <t>STOCKHOLMS LÄN</t>
        </is>
      </c>
      <c r="E204" t="inlineStr">
        <is>
          <t>VALLENTUNA</t>
        </is>
      </c>
      <c r="G204" t="n">
        <v>7.7</v>
      </c>
      <c r="H204" t="n">
        <v>0</v>
      </c>
      <c r="I204" t="n">
        <v>0</v>
      </c>
      <c r="J204" t="n">
        <v>0</v>
      </c>
      <c r="K204" t="n">
        <v>0</v>
      </c>
      <c r="L204" t="n">
        <v>0</v>
      </c>
      <c r="M204" t="n">
        <v>0</v>
      </c>
      <c r="N204" t="n">
        <v>0</v>
      </c>
      <c r="O204" t="n">
        <v>0</v>
      </c>
      <c r="P204" t="n">
        <v>0</v>
      </c>
      <c r="Q204" t="n">
        <v>0</v>
      </c>
      <c r="R204" s="2" t="inlineStr"/>
    </row>
    <row r="205" ht="15" customHeight="1">
      <c r="A205" t="inlineStr">
        <is>
          <t>A 9063-2024</t>
        </is>
      </c>
      <c r="B205" s="1" t="n">
        <v>45357</v>
      </c>
      <c r="C205" s="1" t="n">
        <v>45358</v>
      </c>
      <c r="D205" t="inlineStr">
        <is>
          <t>STOCKHOLMS LÄN</t>
        </is>
      </c>
      <c r="E205" t="inlineStr">
        <is>
          <t>VALLENTUNA</t>
        </is>
      </c>
      <c r="G205" t="n">
        <v>4.1</v>
      </c>
      <c r="H205" t="n">
        <v>0</v>
      </c>
      <c r="I205" t="n">
        <v>0</v>
      </c>
      <c r="J205" t="n">
        <v>0</v>
      </c>
      <c r="K205" t="n">
        <v>0</v>
      </c>
      <c r="L205" t="n">
        <v>0</v>
      </c>
      <c r="M205" t="n">
        <v>0</v>
      </c>
      <c r="N205" t="n">
        <v>0</v>
      </c>
      <c r="O205" t="n">
        <v>0</v>
      </c>
      <c r="P205" t="n">
        <v>0</v>
      </c>
      <c r="Q205" t="n">
        <v>0</v>
      </c>
      <c r="R205" s="2" t="inlineStr"/>
    </row>
    <row r="206">
      <c r="A206" t="inlineStr">
        <is>
          <t>A 9075-2024</t>
        </is>
      </c>
      <c r="B206" s="1" t="n">
        <v>45357</v>
      </c>
      <c r="C206" s="1" t="n">
        <v>45358</v>
      </c>
      <c r="D206" t="inlineStr">
        <is>
          <t>STOCKHOLMS LÄN</t>
        </is>
      </c>
      <c r="E206" t="inlineStr">
        <is>
          <t>VALLENTUNA</t>
        </is>
      </c>
      <c r="G206" t="n">
        <v>8.4</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2024-03-07T13:22:08Z</dcterms:created>
  <dcterms:modified xmlns:dcterms="http://purl.org/dc/terms/" xmlns:xsi="http://www.w3.org/2001/XMLSchema-instance" xsi:type="dcterms:W3CDTF">2024-03-07T13:22:08Z</dcterms:modified>
</cp:coreProperties>
</file>