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45888</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45888</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45888</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45888</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45888</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45888</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45888</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45888</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45888</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45888</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45888</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45888</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45888</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45888</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41021-2023</t>
        </is>
      </c>
      <c r="B21" s="1" t="n">
        <v>45173</v>
      </c>
      <c r="C21" s="1" t="n">
        <v>45888</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45888</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45888</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21439-2025</t>
        </is>
      </c>
      <c r="B24" s="1" t="n">
        <v>45782.52939814814</v>
      </c>
      <c r="C24" s="1" t="n">
        <v>45888</v>
      </c>
      <c r="D24" t="inlineStr">
        <is>
          <t>STOCKHOLMS LÄN</t>
        </is>
      </c>
      <c r="E24" t="inlineStr">
        <is>
          <t>VALLENTUNA</t>
        </is>
      </c>
      <c r="G24" t="n">
        <v>2.1</v>
      </c>
      <c r="H24" t="n">
        <v>0</v>
      </c>
      <c r="I24" t="n">
        <v>1</v>
      </c>
      <c r="J24" t="n">
        <v>0</v>
      </c>
      <c r="K24" t="n">
        <v>0</v>
      </c>
      <c r="L24" t="n">
        <v>0</v>
      </c>
      <c r="M24" t="n">
        <v>0</v>
      </c>
      <c r="N24" t="n">
        <v>0</v>
      </c>
      <c r="O24" t="n">
        <v>0</v>
      </c>
      <c r="P24" t="n">
        <v>0</v>
      </c>
      <c r="Q24" t="n">
        <v>1</v>
      </c>
      <c r="R24" s="2" t="inlineStr">
        <is>
          <t>Mindre märgborre</t>
        </is>
      </c>
      <c r="S24">
        <f>HYPERLINK("https://klasma.github.io/Logging_0115/artfynd/A 21439-2025 artfynd.xlsx", "A 21439-2025")</f>
        <v/>
      </c>
      <c r="T24">
        <f>HYPERLINK("https://klasma.github.io/Logging_0115/kartor/A 21439-2025 karta.png", "A 21439-2025")</f>
        <v/>
      </c>
      <c r="V24">
        <f>HYPERLINK("https://klasma.github.io/Logging_0115/klagomål/A 21439-2025 FSC-klagomål.docx", "A 21439-2025")</f>
        <v/>
      </c>
      <c r="W24">
        <f>HYPERLINK("https://klasma.github.io/Logging_0115/klagomålsmail/A 21439-2025 FSC-klagomål mail.docx", "A 21439-2025")</f>
        <v/>
      </c>
      <c r="X24">
        <f>HYPERLINK("https://klasma.github.io/Logging_0115/tillsyn/A 21439-2025 tillsynsbegäran.docx", "A 21439-2025")</f>
        <v/>
      </c>
      <c r="Y24">
        <f>HYPERLINK("https://klasma.github.io/Logging_0115/tillsynsmail/A 21439-2025 tillsynsbegäran mail.docx", "A 21439-2025")</f>
        <v/>
      </c>
    </row>
    <row r="25" ht="15" customHeight="1">
      <c r="A25" t="inlineStr">
        <is>
          <t>A 17348-2025</t>
        </is>
      </c>
      <c r="B25" s="1" t="n">
        <v>45756</v>
      </c>
      <c r="C25" s="1" t="n">
        <v>45888</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22936-2025</t>
        </is>
      </c>
      <c r="B26" s="1" t="n">
        <v>45790.45738425926</v>
      </c>
      <c r="C26" s="1" t="n">
        <v>45888</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7890-2023</t>
        </is>
      </c>
      <c r="B27" s="1" t="n">
        <v>44973</v>
      </c>
      <c r="C27" s="1" t="n">
        <v>45888</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27870-2025</t>
        </is>
      </c>
      <c r="B28" s="1" t="n">
        <v>45817</v>
      </c>
      <c r="C28" s="1" t="n">
        <v>45888</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21-2022</t>
        </is>
      </c>
      <c r="B29" s="1" t="n">
        <v>44560</v>
      </c>
      <c r="C29" s="1" t="n">
        <v>45888</v>
      </c>
      <c r="D29" t="inlineStr">
        <is>
          <t>STOCKHOLMS LÄN</t>
        </is>
      </c>
      <c r="E29" t="inlineStr">
        <is>
          <t>VALLENTUNA</t>
        </is>
      </c>
      <c r="F29" t="inlineStr">
        <is>
          <t>Övriga Aktiebolag</t>
        </is>
      </c>
      <c r="G29" t="n">
        <v>3.5</v>
      </c>
      <c r="H29" t="n">
        <v>1</v>
      </c>
      <c r="I29" t="n">
        <v>0</v>
      </c>
      <c r="J29" t="n">
        <v>0</v>
      </c>
      <c r="K29" t="n">
        <v>0</v>
      </c>
      <c r="L29" t="n">
        <v>0</v>
      </c>
      <c r="M29" t="n">
        <v>0</v>
      </c>
      <c r="N29" t="n">
        <v>0</v>
      </c>
      <c r="O29" t="n">
        <v>0</v>
      </c>
      <c r="P29" t="n">
        <v>0</v>
      </c>
      <c r="Q29" t="n">
        <v>1</v>
      </c>
      <c r="R29" s="2" t="inlineStr">
        <is>
          <t>Nattviol</t>
        </is>
      </c>
      <c r="S29">
        <f>HYPERLINK("https://klasma.github.io/Logging_0115/artfynd/A 21-2022 artfynd.xlsx", "A 21-2022")</f>
        <v/>
      </c>
      <c r="T29">
        <f>HYPERLINK("https://klasma.github.io/Logging_0115/kartor/A 21-2022 karta.png", "A 21-2022")</f>
        <v/>
      </c>
      <c r="V29">
        <f>HYPERLINK("https://klasma.github.io/Logging_0115/klagomål/A 21-2022 FSC-klagomål.docx", "A 21-2022")</f>
        <v/>
      </c>
      <c r="W29">
        <f>HYPERLINK("https://klasma.github.io/Logging_0115/klagomålsmail/A 21-2022 FSC-klagomål mail.docx", "A 21-2022")</f>
        <v/>
      </c>
      <c r="X29">
        <f>HYPERLINK("https://klasma.github.io/Logging_0115/tillsyn/A 21-2022 tillsynsbegäran.docx", "A 21-2022")</f>
        <v/>
      </c>
      <c r="Y29">
        <f>HYPERLINK("https://klasma.github.io/Logging_0115/tillsynsmail/A 21-2022 tillsynsbegäran mail.docx", "A 21-2022")</f>
        <v/>
      </c>
    </row>
    <row r="30" ht="15" customHeight="1">
      <c r="A30" t="inlineStr">
        <is>
          <t>A 22830-2024</t>
        </is>
      </c>
      <c r="B30" s="1" t="n">
        <v>45448.56583333333</v>
      </c>
      <c r="C30" s="1" t="n">
        <v>45888</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8946-2025</t>
        </is>
      </c>
      <c r="B31" s="1" t="n">
        <v>45712</v>
      </c>
      <c r="C31" s="1" t="n">
        <v>45888</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17341-2025</t>
        </is>
      </c>
      <c r="B32" s="1" t="n">
        <v>45756</v>
      </c>
      <c r="C32" s="1" t="n">
        <v>45888</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45888</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45888</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45888</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45888</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45888</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45888</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45888</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45888</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45888</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45888</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7085-2022</t>
        </is>
      </c>
      <c r="B43" s="1" t="n">
        <v>44603</v>
      </c>
      <c r="C43" s="1" t="n">
        <v>45888</v>
      </c>
      <c r="D43" t="inlineStr">
        <is>
          <t>STOCKHOLMS LÄN</t>
        </is>
      </c>
      <c r="E43" t="inlineStr">
        <is>
          <t>VALLENTUNA</t>
        </is>
      </c>
      <c r="G43" t="n">
        <v>1.6</v>
      </c>
      <c r="H43" t="n">
        <v>0</v>
      </c>
      <c r="I43" t="n">
        <v>0</v>
      </c>
      <c r="J43" t="n">
        <v>0</v>
      </c>
      <c r="K43" t="n">
        <v>0</v>
      </c>
      <c r="L43" t="n">
        <v>0</v>
      </c>
      <c r="M43" t="n">
        <v>0</v>
      </c>
      <c r="N43" t="n">
        <v>0</v>
      </c>
      <c r="O43" t="n">
        <v>0</v>
      </c>
      <c r="P43" t="n">
        <v>0</v>
      </c>
      <c r="Q43" t="n">
        <v>0</v>
      </c>
      <c r="R43" s="2" t="inlineStr"/>
    </row>
    <row r="44" ht="15" customHeight="1">
      <c r="A44" t="inlineStr">
        <is>
          <t>A 7276-2022</t>
        </is>
      </c>
      <c r="B44" s="1" t="n">
        <v>44606</v>
      </c>
      <c r="C44" s="1" t="n">
        <v>45888</v>
      </c>
      <c r="D44" t="inlineStr">
        <is>
          <t>STOCKHOLMS LÄN</t>
        </is>
      </c>
      <c r="E44" t="inlineStr">
        <is>
          <t>VALLENTUNA</t>
        </is>
      </c>
      <c r="G44" t="n">
        <v>1.7</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45888</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48078-2021</t>
        </is>
      </c>
      <c r="B46" s="1" t="n">
        <v>44449.42578703703</v>
      </c>
      <c r="C46" s="1" t="n">
        <v>45888</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45888</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44346-2021</t>
        </is>
      </c>
      <c r="B48" s="1" t="n">
        <v>44434</v>
      </c>
      <c r="C48" s="1" t="n">
        <v>45888</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14725-2022</t>
        </is>
      </c>
      <c r="B49" s="1" t="n">
        <v>44655</v>
      </c>
      <c r="C49" s="1" t="n">
        <v>45888</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45888</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45888</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45888</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45888</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45888</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14775-2024</t>
        </is>
      </c>
      <c r="B55" s="1" t="n">
        <v>45397.73675925926</v>
      </c>
      <c r="C55" s="1" t="n">
        <v>45888</v>
      </c>
      <c r="D55" t="inlineStr">
        <is>
          <t>STOCKHOLMS LÄN</t>
        </is>
      </c>
      <c r="E55" t="inlineStr">
        <is>
          <t>VALLENTUNA</t>
        </is>
      </c>
      <c r="G55" t="n">
        <v>1.7</v>
      </c>
      <c r="H55" t="n">
        <v>0</v>
      </c>
      <c r="I55" t="n">
        <v>0</v>
      </c>
      <c r="J55" t="n">
        <v>0</v>
      </c>
      <c r="K55" t="n">
        <v>0</v>
      </c>
      <c r="L55" t="n">
        <v>0</v>
      </c>
      <c r="M55" t="n">
        <v>0</v>
      </c>
      <c r="N55" t="n">
        <v>0</v>
      </c>
      <c r="O55" t="n">
        <v>0</v>
      </c>
      <c r="P55" t="n">
        <v>0</v>
      </c>
      <c r="Q55" t="n">
        <v>0</v>
      </c>
      <c r="R55" s="2" t="inlineStr"/>
    </row>
    <row r="56" ht="15" customHeight="1">
      <c r="A56" t="inlineStr">
        <is>
          <t>A 1385-2024</t>
        </is>
      </c>
      <c r="B56" s="1" t="n">
        <v>45303</v>
      </c>
      <c r="C56" s="1" t="n">
        <v>45888</v>
      </c>
      <c r="D56" t="inlineStr">
        <is>
          <t>STOCKHOLMS LÄN</t>
        </is>
      </c>
      <c r="E56" t="inlineStr">
        <is>
          <t>VALLENTUNA</t>
        </is>
      </c>
      <c r="G56" t="n">
        <v>2.6</v>
      </c>
      <c r="H56" t="n">
        <v>0</v>
      </c>
      <c r="I56" t="n">
        <v>0</v>
      </c>
      <c r="J56" t="n">
        <v>0</v>
      </c>
      <c r="K56" t="n">
        <v>0</v>
      </c>
      <c r="L56" t="n">
        <v>0</v>
      </c>
      <c r="M56" t="n">
        <v>0</v>
      </c>
      <c r="N56" t="n">
        <v>0</v>
      </c>
      <c r="O56" t="n">
        <v>0</v>
      </c>
      <c r="P56" t="n">
        <v>0</v>
      </c>
      <c r="Q56" t="n">
        <v>0</v>
      </c>
      <c r="R56" s="2" t="inlineStr"/>
    </row>
    <row r="57" ht="15" customHeight="1">
      <c r="A57" t="inlineStr">
        <is>
          <t>A 8565-2025</t>
        </is>
      </c>
      <c r="B57" s="1" t="n">
        <v>45709</v>
      </c>
      <c r="C57" s="1" t="n">
        <v>45888</v>
      </c>
      <c r="D57" t="inlineStr">
        <is>
          <t>STOCKHOLMS LÄN</t>
        </is>
      </c>
      <c r="E57" t="inlineStr">
        <is>
          <t>VALLENTUNA</t>
        </is>
      </c>
      <c r="F57" t="inlineStr">
        <is>
          <t>Kommuner</t>
        </is>
      </c>
      <c r="G57" t="n">
        <v>4.2</v>
      </c>
      <c r="H57" t="n">
        <v>0</v>
      </c>
      <c r="I57" t="n">
        <v>0</v>
      </c>
      <c r="J57" t="n">
        <v>0</v>
      </c>
      <c r="K57" t="n">
        <v>0</v>
      </c>
      <c r="L57" t="n">
        <v>0</v>
      </c>
      <c r="M57" t="n">
        <v>0</v>
      </c>
      <c r="N57" t="n">
        <v>0</v>
      </c>
      <c r="O57" t="n">
        <v>0</v>
      </c>
      <c r="P57" t="n">
        <v>0</v>
      </c>
      <c r="Q57" t="n">
        <v>0</v>
      </c>
      <c r="R57" s="2" t="inlineStr"/>
    </row>
    <row r="58" ht="15" customHeight="1">
      <c r="A58" t="inlineStr">
        <is>
          <t>A 68938-2020</t>
        </is>
      </c>
      <c r="B58" s="1" t="n">
        <v>44187</v>
      </c>
      <c r="C58" s="1" t="n">
        <v>45888</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8787-2024</t>
        </is>
      </c>
      <c r="B59" s="1" t="n">
        <v>45356</v>
      </c>
      <c r="C59" s="1" t="n">
        <v>45888</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14782-2024</t>
        </is>
      </c>
      <c r="B60" s="1" t="n">
        <v>45397.74266203704</v>
      </c>
      <c r="C60" s="1" t="n">
        <v>45888</v>
      </c>
      <c r="D60" t="inlineStr">
        <is>
          <t>STOCKHOLMS LÄN</t>
        </is>
      </c>
      <c r="E60" t="inlineStr">
        <is>
          <t>VALLENTUNA</t>
        </is>
      </c>
      <c r="G60" t="n">
        <v>3.1</v>
      </c>
      <c r="H60" t="n">
        <v>0</v>
      </c>
      <c r="I60" t="n">
        <v>0</v>
      </c>
      <c r="J60" t="n">
        <v>0</v>
      </c>
      <c r="K60" t="n">
        <v>0</v>
      </c>
      <c r="L60" t="n">
        <v>0</v>
      </c>
      <c r="M60" t="n">
        <v>0</v>
      </c>
      <c r="N60" t="n">
        <v>0</v>
      </c>
      <c r="O60" t="n">
        <v>0</v>
      </c>
      <c r="P60" t="n">
        <v>0</v>
      </c>
      <c r="Q60" t="n">
        <v>0</v>
      </c>
      <c r="R60" s="2" t="inlineStr"/>
    </row>
    <row r="61" ht="15" customHeight="1">
      <c r="A61" t="inlineStr">
        <is>
          <t>A 52562-2023</t>
        </is>
      </c>
      <c r="B61" s="1" t="n">
        <v>45225</v>
      </c>
      <c r="C61" s="1" t="n">
        <v>45888</v>
      </c>
      <c r="D61" t="inlineStr">
        <is>
          <t>STOCKHOLMS LÄN</t>
        </is>
      </c>
      <c r="E61" t="inlineStr">
        <is>
          <t>VALLENTUNA</t>
        </is>
      </c>
      <c r="G61" t="n">
        <v>3.4</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45888</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52542-2023</t>
        </is>
      </c>
      <c r="B63" s="1" t="n">
        <v>45225</v>
      </c>
      <c r="C63" s="1" t="n">
        <v>45888</v>
      </c>
      <c r="D63" t="inlineStr">
        <is>
          <t>STOCKHOLMS LÄN</t>
        </is>
      </c>
      <c r="E63" t="inlineStr">
        <is>
          <t>VALLENTUNA</t>
        </is>
      </c>
      <c r="G63" t="n">
        <v>3.8</v>
      </c>
      <c r="H63" t="n">
        <v>0</v>
      </c>
      <c r="I63" t="n">
        <v>0</v>
      </c>
      <c r="J63" t="n">
        <v>0</v>
      </c>
      <c r="K63" t="n">
        <v>0</v>
      </c>
      <c r="L63" t="n">
        <v>0</v>
      </c>
      <c r="M63" t="n">
        <v>0</v>
      </c>
      <c r="N63" t="n">
        <v>0</v>
      </c>
      <c r="O63" t="n">
        <v>0</v>
      </c>
      <c r="P63" t="n">
        <v>0</v>
      </c>
      <c r="Q63" t="n">
        <v>0</v>
      </c>
      <c r="R63" s="2" t="inlineStr"/>
    </row>
    <row r="64" ht="15" customHeight="1">
      <c r="A64" t="inlineStr">
        <is>
          <t>A 60818-2023</t>
        </is>
      </c>
      <c r="B64" s="1" t="n">
        <v>45259</v>
      </c>
      <c r="C64" s="1" t="n">
        <v>45888</v>
      </c>
      <c r="D64" t="inlineStr">
        <is>
          <t>STOCKHOLMS LÄN</t>
        </is>
      </c>
      <c r="E64" t="inlineStr">
        <is>
          <t>VALLENTUNA</t>
        </is>
      </c>
      <c r="G64" t="n">
        <v>9.4</v>
      </c>
      <c r="H64" t="n">
        <v>0</v>
      </c>
      <c r="I64" t="n">
        <v>0</v>
      </c>
      <c r="J64" t="n">
        <v>0</v>
      </c>
      <c r="K64" t="n">
        <v>0</v>
      </c>
      <c r="L64" t="n">
        <v>0</v>
      </c>
      <c r="M64" t="n">
        <v>0</v>
      </c>
      <c r="N64" t="n">
        <v>0</v>
      </c>
      <c r="O64" t="n">
        <v>0</v>
      </c>
      <c r="P64" t="n">
        <v>0</v>
      </c>
      <c r="Q64" t="n">
        <v>0</v>
      </c>
      <c r="R64" s="2" t="inlineStr"/>
    </row>
    <row r="65" ht="15" customHeight="1">
      <c r="A65" t="inlineStr">
        <is>
          <t>A 2318-2024</t>
        </is>
      </c>
      <c r="B65" s="1" t="n">
        <v>45310</v>
      </c>
      <c r="C65" s="1" t="n">
        <v>45888</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9063-2024</t>
        </is>
      </c>
      <c r="B66" s="1" t="n">
        <v>45357.72652777778</v>
      </c>
      <c r="C66" s="1" t="n">
        <v>45888</v>
      </c>
      <c r="D66" t="inlineStr">
        <is>
          <t>STOCKHOLMS LÄN</t>
        </is>
      </c>
      <c r="E66" t="inlineStr">
        <is>
          <t>VALLENTUNA</t>
        </is>
      </c>
      <c r="G66" t="n">
        <v>4.1</v>
      </c>
      <c r="H66" t="n">
        <v>0</v>
      </c>
      <c r="I66" t="n">
        <v>0</v>
      </c>
      <c r="J66" t="n">
        <v>0</v>
      </c>
      <c r="K66" t="n">
        <v>0</v>
      </c>
      <c r="L66" t="n">
        <v>0</v>
      </c>
      <c r="M66" t="n">
        <v>0</v>
      </c>
      <c r="N66" t="n">
        <v>0</v>
      </c>
      <c r="O66" t="n">
        <v>0</v>
      </c>
      <c r="P66" t="n">
        <v>0</v>
      </c>
      <c r="Q66" t="n">
        <v>0</v>
      </c>
      <c r="R66" s="2" t="inlineStr"/>
    </row>
    <row r="67" ht="15" customHeight="1">
      <c r="A67" t="inlineStr">
        <is>
          <t>A 52989-2023</t>
        </is>
      </c>
      <c r="B67" s="1" t="n">
        <v>45226</v>
      </c>
      <c r="C67" s="1" t="n">
        <v>45888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21445-2023</t>
        </is>
      </c>
      <c r="B68" s="1" t="n">
        <v>45063</v>
      </c>
      <c r="C68" s="1" t="n">
        <v>45888</v>
      </c>
      <c r="D68" t="inlineStr">
        <is>
          <t>STOCKHOLMS LÄN</t>
        </is>
      </c>
      <c r="E68" t="inlineStr">
        <is>
          <t>VALLENTUNA</t>
        </is>
      </c>
      <c r="G68" t="n">
        <v>3.1</v>
      </c>
      <c r="H68" t="n">
        <v>0</v>
      </c>
      <c r="I68" t="n">
        <v>0</v>
      </c>
      <c r="J68" t="n">
        <v>0</v>
      </c>
      <c r="K68" t="n">
        <v>0</v>
      </c>
      <c r="L68" t="n">
        <v>0</v>
      </c>
      <c r="M68" t="n">
        <v>0</v>
      </c>
      <c r="N68" t="n">
        <v>0</v>
      </c>
      <c r="O68" t="n">
        <v>0</v>
      </c>
      <c r="P68" t="n">
        <v>0</v>
      </c>
      <c r="Q68" t="n">
        <v>0</v>
      </c>
      <c r="R68" s="2" t="inlineStr"/>
    </row>
    <row r="69" ht="15" customHeight="1">
      <c r="A69" t="inlineStr">
        <is>
          <t>A 26390-2023</t>
        </is>
      </c>
      <c r="B69" s="1" t="n">
        <v>45086</v>
      </c>
      <c r="C69" s="1" t="n">
        <v>45888</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7264-2022</t>
        </is>
      </c>
      <c r="B70" s="1" t="n">
        <v>44606</v>
      </c>
      <c r="C70" s="1" t="n">
        <v>45888</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14485-2024</t>
        </is>
      </c>
      <c r="B71" s="1" t="n">
        <v>45394.57304398148</v>
      </c>
      <c r="C71" s="1" t="n">
        <v>45888</v>
      </c>
      <c r="D71" t="inlineStr">
        <is>
          <t>STOCKHOLMS LÄN</t>
        </is>
      </c>
      <c r="E71" t="inlineStr">
        <is>
          <t>VALLENTUNA</t>
        </is>
      </c>
      <c r="G71" t="n">
        <v>5.1</v>
      </c>
      <c r="H71" t="n">
        <v>0</v>
      </c>
      <c r="I71" t="n">
        <v>0</v>
      </c>
      <c r="J71" t="n">
        <v>0</v>
      </c>
      <c r="K71" t="n">
        <v>0</v>
      </c>
      <c r="L71" t="n">
        <v>0</v>
      </c>
      <c r="M71" t="n">
        <v>0</v>
      </c>
      <c r="N71" t="n">
        <v>0</v>
      </c>
      <c r="O71" t="n">
        <v>0</v>
      </c>
      <c r="P71" t="n">
        <v>0</v>
      </c>
      <c r="Q71" t="n">
        <v>0</v>
      </c>
      <c r="R71" s="2" t="inlineStr"/>
    </row>
    <row r="72" ht="15" customHeight="1">
      <c r="A72" t="inlineStr">
        <is>
          <t>A 34441-2023</t>
        </is>
      </c>
      <c r="B72" s="1" t="n">
        <v>45139</v>
      </c>
      <c r="C72" s="1" t="n">
        <v>45888</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34445-2023</t>
        </is>
      </c>
      <c r="B73" s="1" t="n">
        <v>45139</v>
      </c>
      <c r="C73" s="1" t="n">
        <v>45888</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34460-2023</t>
        </is>
      </c>
      <c r="B74" s="1" t="n">
        <v>45139</v>
      </c>
      <c r="C74" s="1" t="n">
        <v>45888</v>
      </c>
      <c r="D74" t="inlineStr">
        <is>
          <t>STOCKHOLMS LÄN</t>
        </is>
      </c>
      <c r="E74" t="inlineStr">
        <is>
          <t>VALLENTUNA</t>
        </is>
      </c>
      <c r="G74" t="n">
        <v>1.7</v>
      </c>
      <c r="H74" t="n">
        <v>0</v>
      </c>
      <c r="I74" t="n">
        <v>0</v>
      </c>
      <c r="J74" t="n">
        <v>0</v>
      </c>
      <c r="K74" t="n">
        <v>0</v>
      </c>
      <c r="L74" t="n">
        <v>0</v>
      </c>
      <c r="M74" t="n">
        <v>0</v>
      </c>
      <c r="N74" t="n">
        <v>0</v>
      </c>
      <c r="O74" t="n">
        <v>0</v>
      </c>
      <c r="P74" t="n">
        <v>0</v>
      </c>
      <c r="Q74" t="n">
        <v>0</v>
      </c>
      <c r="R74" s="2" t="inlineStr"/>
    </row>
    <row r="75" ht="15" customHeight="1">
      <c r="A75" t="inlineStr">
        <is>
          <t>A 19356-2025</t>
        </is>
      </c>
      <c r="B75" s="1" t="n">
        <v>45769.62061342593</v>
      </c>
      <c r="C75" s="1" t="n">
        <v>45888</v>
      </c>
      <c r="D75" t="inlineStr">
        <is>
          <t>STOCKHOLMS LÄN</t>
        </is>
      </c>
      <c r="E75" t="inlineStr">
        <is>
          <t>VALLENTUNA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11950-2025</t>
        </is>
      </c>
      <c r="B76" s="1" t="n">
        <v>45728.55622685186</v>
      </c>
      <c r="C76" s="1" t="n">
        <v>45888</v>
      </c>
      <c r="D76" t="inlineStr">
        <is>
          <t>STOCKHOLMS LÄN</t>
        </is>
      </c>
      <c r="E76" t="inlineStr">
        <is>
          <t>VALLENTUNA</t>
        </is>
      </c>
      <c r="G76" t="n">
        <v>1.4</v>
      </c>
      <c r="H76" t="n">
        <v>0</v>
      </c>
      <c r="I76" t="n">
        <v>0</v>
      </c>
      <c r="J76" t="n">
        <v>0</v>
      </c>
      <c r="K76" t="n">
        <v>0</v>
      </c>
      <c r="L76" t="n">
        <v>0</v>
      </c>
      <c r="M76" t="n">
        <v>0</v>
      </c>
      <c r="N76" t="n">
        <v>0</v>
      </c>
      <c r="O76" t="n">
        <v>0</v>
      </c>
      <c r="P76" t="n">
        <v>0</v>
      </c>
      <c r="Q76" t="n">
        <v>0</v>
      </c>
      <c r="R76" s="2" t="inlineStr"/>
    </row>
    <row r="77" ht="15" customHeight="1">
      <c r="A77" t="inlineStr">
        <is>
          <t>A 14489-2024</t>
        </is>
      </c>
      <c r="B77" s="1" t="n">
        <v>45394.58053240741</v>
      </c>
      <c r="C77" s="1" t="n">
        <v>45888</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735-2024</t>
        </is>
      </c>
      <c r="B78" s="1" t="n">
        <v>45300</v>
      </c>
      <c r="C78" s="1" t="n">
        <v>45888</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15268-2023</t>
        </is>
      </c>
      <c r="B79" s="1" t="n">
        <v>45019.41045138889</v>
      </c>
      <c r="C79" s="1" t="n">
        <v>45888</v>
      </c>
      <c r="D79" t="inlineStr">
        <is>
          <t>STOCKHOLMS LÄN</t>
        </is>
      </c>
      <c r="E79" t="inlineStr">
        <is>
          <t>VALLENTUNA</t>
        </is>
      </c>
      <c r="G79" t="n">
        <v>2.2</v>
      </c>
      <c r="H79" t="n">
        <v>0</v>
      </c>
      <c r="I79" t="n">
        <v>0</v>
      </c>
      <c r="J79" t="n">
        <v>0</v>
      </c>
      <c r="K79" t="n">
        <v>0</v>
      </c>
      <c r="L79" t="n">
        <v>0</v>
      </c>
      <c r="M79" t="n">
        <v>0</v>
      </c>
      <c r="N79" t="n">
        <v>0</v>
      </c>
      <c r="O79" t="n">
        <v>0</v>
      </c>
      <c r="P79" t="n">
        <v>0</v>
      </c>
      <c r="Q79" t="n">
        <v>0</v>
      </c>
      <c r="R79" s="2" t="inlineStr"/>
    </row>
    <row r="80" ht="15" customHeight="1">
      <c r="A80" t="inlineStr">
        <is>
          <t>A 61442-2024</t>
        </is>
      </c>
      <c r="B80" s="1" t="n">
        <v>45646.47003472222</v>
      </c>
      <c r="C80" s="1" t="n">
        <v>45888</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48068-2021</t>
        </is>
      </c>
      <c r="B81" s="1" t="n">
        <v>44449.42270833333</v>
      </c>
      <c r="C81" s="1" t="n">
        <v>45888</v>
      </c>
      <c r="D81" t="inlineStr">
        <is>
          <t>STOCKHOLMS LÄN</t>
        </is>
      </c>
      <c r="E81" t="inlineStr">
        <is>
          <t>VALLENTUNA</t>
        </is>
      </c>
      <c r="G81" t="n">
        <v>1.3</v>
      </c>
      <c r="H81" t="n">
        <v>0</v>
      </c>
      <c r="I81" t="n">
        <v>0</v>
      </c>
      <c r="J81" t="n">
        <v>0</v>
      </c>
      <c r="K81" t="n">
        <v>0</v>
      </c>
      <c r="L81" t="n">
        <v>0</v>
      </c>
      <c r="M81" t="n">
        <v>0</v>
      </c>
      <c r="N81" t="n">
        <v>0</v>
      </c>
      <c r="O81" t="n">
        <v>0</v>
      </c>
      <c r="P81" t="n">
        <v>0</v>
      </c>
      <c r="Q81" t="n">
        <v>0</v>
      </c>
      <c r="R81" s="2" t="inlineStr"/>
    </row>
    <row r="82" ht="15" customHeight="1">
      <c r="A82" t="inlineStr">
        <is>
          <t>A 12585-2023</t>
        </is>
      </c>
      <c r="B82" s="1" t="n">
        <v>45000.41373842592</v>
      </c>
      <c r="C82" s="1" t="n">
        <v>45888</v>
      </c>
      <c r="D82" t="inlineStr">
        <is>
          <t>STOCKHOLMS LÄN</t>
        </is>
      </c>
      <c r="E82" t="inlineStr">
        <is>
          <t>VALLENTUNA</t>
        </is>
      </c>
      <c r="G82" t="n">
        <v>3.7</v>
      </c>
      <c r="H82" t="n">
        <v>0</v>
      </c>
      <c r="I82" t="n">
        <v>0</v>
      </c>
      <c r="J82" t="n">
        <v>0</v>
      </c>
      <c r="K82" t="n">
        <v>0</v>
      </c>
      <c r="L82" t="n">
        <v>0</v>
      </c>
      <c r="M82" t="n">
        <v>0</v>
      </c>
      <c r="N82" t="n">
        <v>0</v>
      </c>
      <c r="O82" t="n">
        <v>0</v>
      </c>
      <c r="P82" t="n">
        <v>0</v>
      </c>
      <c r="Q82" t="n">
        <v>0</v>
      </c>
      <c r="R82" s="2" t="inlineStr"/>
    </row>
    <row r="83" ht="15" customHeight="1">
      <c r="A83" t="inlineStr">
        <is>
          <t>A 45499-2023</t>
        </is>
      </c>
      <c r="B83" s="1" t="n">
        <v>45194</v>
      </c>
      <c r="C83" s="1" t="n">
        <v>45888</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47204-2024</t>
        </is>
      </c>
      <c r="B84" s="1" t="n">
        <v>45586.63575231482</v>
      </c>
      <c r="C84" s="1" t="n">
        <v>45888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20786-2025</t>
        </is>
      </c>
      <c r="B85" s="1" t="n">
        <v>45776.62273148148</v>
      </c>
      <c r="C85" s="1" t="n">
        <v>45888</v>
      </c>
      <c r="D85" t="inlineStr">
        <is>
          <t>STOCKHOLMS LÄN</t>
        </is>
      </c>
      <c r="E85" t="inlineStr">
        <is>
          <t>VALLENTUNA</t>
        </is>
      </c>
      <c r="G85" t="n">
        <v>7.6</v>
      </c>
      <c r="H85" t="n">
        <v>0</v>
      </c>
      <c r="I85" t="n">
        <v>0</v>
      </c>
      <c r="J85" t="n">
        <v>0</v>
      </c>
      <c r="K85" t="n">
        <v>0</v>
      </c>
      <c r="L85" t="n">
        <v>0</v>
      </c>
      <c r="M85" t="n">
        <v>0</v>
      </c>
      <c r="N85" t="n">
        <v>0</v>
      </c>
      <c r="O85" t="n">
        <v>0</v>
      </c>
      <c r="P85" t="n">
        <v>0</v>
      </c>
      <c r="Q85" t="n">
        <v>0</v>
      </c>
      <c r="R85" s="2" t="inlineStr"/>
    </row>
    <row r="86" ht="15" customHeight="1">
      <c r="A86" t="inlineStr">
        <is>
          <t>A 34452-2021</t>
        </is>
      </c>
      <c r="B86" s="1" t="n">
        <v>44381</v>
      </c>
      <c r="C86" s="1" t="n">
        <v>45888</v>
      </c>
      <c r="D86" t="inlineStr">
        <is>
          <t>STOCKHOLMS LÄN</t>
        </is>
      </c>
      <c r="E86" t="inlineStr">
        <is>
          <t>VALLENTUNA</t>
        </is>
      </c>
      <c r="G86" t="n">
        <v>14.7</v>
      </c>
      <c r="H86" t="n">
        <v>0</v>
      </c>
      <c r="I86" t="n">
        <v>0</v>
      </c>
      <c r="J86" t="n">
        <v>0</v>
      </c>
      <c r="K86" t="n">
        <v>0</v>
      </c>
      <c r="L86" t="n">
        <v>0</v>
      </c>
      <c r="M86" t="n">
        <v>0</v>
      </c>
      <c r="N86" t="n">
        <v>0</v>
      </c>
      <c r="O86" t="n">
        <v>0</v>
      </c>
      <c r="P86" t="n">
        <v>0</v>
      </c>
      <c r="Q86" t="n">
        <v>0</v>
      </c>
      <c r="R86" s="2" t="inlineStr"/>
    </row>
    <row r="87" ht="15" customHeight="1">
      <c r="A87" t="inlineStr">
        <is>
          <t>A 20791-2025</t>
        </is>
      </c>
      <c r="B87" s="1" t="n">
        <v>45776.62738425926</v>
      </c>
      <c r="C87" s="1" t="n">
        <v>45888</v>
      </c>
      <c r="D87" t="inlineStr">
        <is>
          <t>STOCKHOLMS LÄN</t>
        </is>
      </c>
      <c r="E87" t="inlineStr">
        <is>
          <t>VALLENTUNA</t>
        </is>
      </c>
      <c r="G87" t="n">
        <v>1.5</v>
      </c>
      <c r="H87" t="n">
        <v>0</v>
      </c>
      <c r="I87" t="n">
        <v>0</v>
      </c>
      <c r="J87" t="n">
        <v>0</v>
      </c>
      <c r="K87" t="n">
        <v>0</v>
      </c>
      <c r="L87" t="n">
        <v>0</v>
      </c>
      <c r="M87" t="n">
        <v>0</v>
      </c>
      <c r="N87" t="n">
        <v>0</v>
      </c>
      <c r="O87" t="n">
        <v>0</v>
      </c>
      <c r="P87" t="n">
        <v>0</v>
      </c>
      <c r="Q87" t="n">
        <v>0</v>
      </c>
      <c r="R87" s="2" t="inlineStr"/>
    </row>
    <row r="88" ht="15" customHeight="1">
      <c r="A88" t="inlineStr">
        <is>
          <t>A 10073-2024</t>
        </is>
      </c>
      <c r="B88" s="1" t="n">
        <v>45364.40821759259</v>
      </c>
      <c r="C88" s="1" t="n">
        <v>45888</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12621-2024</t>
        </is>
      </c>
      <c r="B89" s="1" t="n">
        <v>45383.6325</v>
      </c>
      <c r="C89" s="1" t="n">
        <v>45888</v>
      </c>
      <c r="D89" t="inlineStr">
        <is>
          <t>STOCKHOLMS LÄN</t>
        </is>
      </c>
      <c r="E89" t="inlineStr">
        <is>
          <t>VALLENTUNA</t>
        </is>
      </c>
      <c r="G89" t="n">
        <v>4.4</v>
      </c>
      <c r="H89" t="n">
        <v>0</v>
      </c>
      <c r="I89" t="n">
        <v>0</v>
      </c>
      <c r="J89" t="n">
        <v>0</v>
      </c>
      <c r="K89" t="n">
        <v>0</v>
      </c>
      <c r="L89" t="n">
        <v>0</v>
      </c>
      <c r="M89" t="n">
        <v>0</v>
      </c>
      <c r="N89" t="n">
        <v>0</v>
      </c>
      <c r="O89" t="n">
        <v>0</v>
      </c>
      <c r="P89" t="n">
        <v>0</v>
      </c>
      <c r="Q89" t="n">
        <v>0</v>
      </c>
      <c r="R89" s="2" t="inlineStr"/>
    </row>
    <row r="90" ht="15" customHeight="1">
      <c r="A90" t="inlineStr">
        <is>
          <t>A 20789-2025</t>
        </is>
      </c>
      <c r="B90" s="1" t="n">
        <v>45776.62518518518</v>
      </c>
      <c r="C90" s="1" t="n">
        <v>45888</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15300-2023</t>
        </is>
      </c>
      <c r="B91" s="1" t="n">
        <v>45019</v>
      </c>
      <c r="C91" s="1" t="n">
        <v>45888</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8077-2022</t>
        </is>
      </c>
      <c r="B92" s="1" t="n">
        <v>44609</v>
      </c>
      <c r="C92" s="1" t="n">
        <v>45888</v>
      </c>
      <c r="D92" t="inlineStr">
        <is>
          <t>STOCKHOLMS LÄN</t>
        </is>
      </c>
      <c r="E92" t="inlineStr">
        <is>
          <t>VALLENTUNA</t>
        </is>
      </c>
      <c r="G92" t="n">
        <v>1.3</v>
      </c>
      <c r="H92" t="n">
        <v>0</v>
      </c>
      <c r="I92" t="n">
        <v>0</v>
      </c>
      <c r="J92" t="n">
        <v>0</v>
      </c>
      <c r="K92" t="n">
        <v>0</v>
      </c>
      <c r="L92" t="n">
        <v>0</v>
      </c>
      <c r="M92" t="n">
        <v>0</v>
      </c>
      <c r="N92" t="n">
        <v>0</v>
      </c>
      <c r="O92" t="n">
        <v>0</v>
      </c>
      <c r="P92" t="n">
        <v>0</v>
      </c>
      <c r="Q92" t="n">
        <v>0</v>
      </c>
      <c r="R92" s="2" t="inlineStr"/>
    </row>
    <row r="93" ht="15" customHeight="1">
      <c r="A93" t="inlineStr">
        <is>
          <t>A 61742-2022</t>
        </is>
      </c>
      <c r="B93" s="1" t="n">
        <v>44917</v>
      </c>
      <c r="C93" s="1" t="n">
        <v>45888</v>
      </c>
      <c r="D93" t="inlineStr">
        <is>
          <t>STOCKHOLMS LÄN</t>
        </is>
      </c>
      <c r="E93" t="inlineStr">
        <is>
          <t>VALLENTUNA</t>
        </is>
      </c>
      <c r="G93" t="n">
        <v>0.5</v>
      </c>
      <c r="H93" t="n">
        <v>0</v>
      </c>
      <c r="I93" t="n">
        <v>0</v>
      </c>
      <c r="J93" t="n">
        <v>0</v>
      </c>
      <c r="K93" t="n">
        <v>0</v>
      </c>
      <c r="L93" t="n">
        <v>0</v>
      </c>
      <c r="M93" t="n">
        <v>0</v>
      </c>
      <c r="N93" t="n">
        <v>0</v>
      </c>
      <c r="O93" t="n">
        <v>0</v>
      </c>
      <c r="P93" t="n">
        <v>0</v>
      </c>
      <c r="Q93" t="n">
        <v>0</v>
      </c>
      <c r="R93" s="2" t="inlineStr"/>
    </row>
    <row r="94" ht="15" customHeight="1">
      <c r="A94" t="inlineStr">
        <is>
          <t>A 47140-2024</t>
        </is>
      </c>
      <c r="B94" s="1" t="n">
        <v>45586.58753472222</v>
      </c>
      <c r="C94" s="1" t="n">
        <v>45888</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68935-2020</t>
        </is>
      </c>
      <c r="B95" s="1" t="n">
        <v>44187</v>
      </c>
      <c r="C95" s="1" t="n">
        <v>45888</v>
      </c>
      <c r="D95" t="inlineStr">
        <is>
          <t>STOCKHOLMS LÄN</t>
        </is>
      </c>
      <c r="E95" t="inlineStr">
        <is>
          <t>VALLENTUNA</t>
        </is>
      </c>
      <c r="G95" t="n">
        <v>7.8</v>
      </c>
      <c r="H95" t="n">
        <v>0</v>
      </c>
      <c r="I95" t="n">
        <v>0</v>
      </c>
      <c r="J95" t="n">
        <v>0</v>
      </c>
      <c r="K95" t="n">
        <v>0</v>
      </c>
      <c r="L95" t="n">
        <v>0</v>
      </c>
      <c r="M95" t="n">
        <v>0</v>
      </c>
      <c r="N95" t="n">
        <v>0</v>
      </c>
      <c r="O95" t="n">
        <v>0</v>
      </c>
      <c r="P95" t="n">
        <v>0</v>
      </c>
      <c r="Q95" t="n">
        <v>0</v>
      </c>
      <c r="R95" s="2" t="inlineStr"/>
    </row>
    <row r="96" ht="15" customHeight="1">
      <c r="A96" t="inlineStr">
        <is>
          <t>A 46381-2023</t>
        </is>
      </c>
      <c r="B96" s="1" t="n">
        <v>45193</v>
      </c>
      <c r="C96" s="1" t="n">
        <v>45888</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23009-2024</t>
        </is>
      </c>
      <c r="B97" s="1" t="n">
        <v>45450.34506944445</v>
      </c>
      <c r="C97" s="1" t="n">
        <v>45888</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61027-2023</t>
        </is>
      </c>
      <c r="B98" s="1" t="n">
        <v>45261</v>
      </c>
      <c r="C98" s="1" t="n">
        <v>45888</v>
      </c>
      <c r="D98" t="inlineStr">
        <is>
          <t>STOCKHOLMS LÄN</t>
        </is>
      </c>
      <c r="E98" t="inlineStr">
        <is>
          <t>VALLENTUNA</t>
        </is>
      </c>
      <c r="G98" t="n">
        <v>7.1</v>
      </c>
      <c r="H98" t="n">
        <v>0</v>
      </c>
      <c r="I98" t="n">
        <v>0</v>
      </c>
      <c r="J98" t="n">
        <v>0</v>
      </c>
      <c r="K98" t="n">
        <v>0</v>
      </c>
      <c r="L98" t="n">
        <v>0</v>
      </c>
      <c r="M98" t="n">
        <v>0</v>
      </c>
      <c r="N98" t="n">
        <v>0</v>
      </c>
      <c r="O98" t="n">
        <v>0</v>
      </c>
      <c r="P98" t="n">
        <v>0</v>
      </c>
      <c r="Q98" t="n">
        <v>0</v>
      </c>
      <c r="R98" s="2" t="inlineStr"/>
    </row>
    <row r="99" ht="15" customHeight="1">
      <c r="A99" t="inlineStr">
        <is>
          <t>A 61655-2020</t>
        </is>
      </c>
      <c r="B99" s="1" t="n">
        <v>44158</v>
      </c>
      <c r="C99" s="1" t="n">
        <v>45888</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17342-2025</t>
        </is>
      </c>
      <c r="B100" s="1" t="n">
        <v>45756</v>
      </c>
      <c r="C100" s="1" t="n">
        <v>45888</v>
      </c>
      <c r="D100" t="inlineStr">
        <is>
          <t>STOCKHOLMS LÄN</t>
        </is>
      </c>
      <c r="E100" t="inlineStr">
        <is>
          <t>VALLENTUNA</t>
        </is>
      </c>
      <c r="F100" t="inlineStr">
        <is>
          <t>Övriga Aktiebolag</t>
        </is>
      </c>
      <c r="G100" t="n">
        <v>3.9</v>
      </c>
      <c r="H100" t="n">
        <v>0</v>
      </c>
      <c r="I100" t="n">
        <v>0</v>
      </c>
      <c r="J100" t="n">
        <v>0</v>
      </c>
      <c r="K100" t="n">
        <v>0</v>
      </c>
      <c r="L100" t="n">
        <v>0</v>
      </c>
      <c r="M100" t="n">
        <v>0</v>
      </c>
      <c r="N100" t="n">
        <v>0</v>
      </c>
      <c r="O100" t="n">
        <v>0</v>
      </c>
      <c r="P100" t="n">
        <v>0</v>
      </c>
      <c r="Q100" t="n">
        <v>0</v>
      </c>
      <c r="R100" s="2" t="inlineStr"/>
    </row>
    <row r="101" ht="15" customHeight="1">
      <c r="A101" t="inlineStr">
        <is>
          <t>A 12562-2023</t>
        </is>
      </c>
      <c r="B101" s="1" t="n">
        <v>45000</v>
      </c>
      <c r="C101" s="1" t="n">
        <v>45888</v>
      </c>
      <c r="D101" t="inlineStr">
        <is>
          <t>STOCKHOLMS LÄN</t>
        </is>
      </c>
      <c r="E101" t="inlineStr">
        <is>
          <t>VALLENTUNA</t>
        </is>
      </c>
      <c r="G101" t="n">
        <v>2.1</v>
      </c>
      <c r="H101" t="n">
        <v>0</v>
      </c>
      <c r="I101" t="n">
        <v>0</v>
      </c>
      <c r="J101" t="n">
        <v>0</v>
      </c>
      <c r="K101" t="n">
        <v>0</v>
      </c>
      <c r="L101" t="n">
        <v>0</v>
      </c>
      <c r="M101" t="n">
        <v>0</v>
      </c>
      <c r="N101" t="n">
        <v>0</v>
      </c>
      <c r="O101" t="n">
        <v>0</v>
      </c>
      <c r="P101" t="n">
        <v>0</v>
      </c>
      <c r="Q101" t="n">
        <v>0</v>
      </c>
      <c r="R101" s="2" t="inlineStr"/>
    </row>
    <row r="102" ht="15" customHeight="1">
      <c r="A102" t="inlineStr">
        <is>
          <t>A 14480-2024</t>
        </is>
      </c>
      <c r="B102" s="1" t="n">
        <v>45394.56777777777</v>
      </c>
      <c r="C102" s="1" t="n">
        <v>45888</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17340-2025</t>
        </is>
      </c>
      <c r="B103" s="1" t="n">
        <v>45756</v>
      </c>
      <c r="C103" s="1" t="n">
        <v>45888</v>
      </c>
      <c r="D103" t="inlineStr">
        <is>
          <t>STOCKHOLMS LÄN</t>
        </is>
      </c>
      <c r="E103" t="inlineStr">
        <is>
          <t>VALLENTUNA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23923-2025</t>
        </is>
      </c>
      <c r="B104" s="1" t="n">
        <v>45795.39648148148</v>
      </c>
      <c r="C104" s="1" t="n">
        <v>45888</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30913-2021</t>
        </is>
      </c>
      <c r="B105" s="1" t="n">
        <v>44365</v>
      </c>
      <c r="C105" s="1" t="n">
        <v>45888</v>
      </c>
      <c r="D105" t="inlineStr">
        <is>
          <t>STOCKHOLMS LÄN</t>
        </is>
      </c>
      <c r="E105" t="inlineStr">
        <is>
          <t>VALLENTUNA</t>
        </is>
      </c>
      <c r="F105" t="inlineStr">
        <is>
          <t>Övriga Aktiebolag</t>
        </is>
      </c>
      <c r="G105" t="n">
        <v>3.3</v>
      </c>
      <c r="H105" t="n">
        <v>0</v>
      </c>
      <c r="I105" t="n">
        <v>0</v>
      </c>
      <c r="J105" t="n">
        <v>0</v>
      </c>
      <c r="K105" t="n">
        <v>0</v>
      </c>
      <c r="L105" t="n">
        <v>0</v>
      </c>
      <c r="M105" t="n">
        <v>0</v>
      </c>
      <c r="N105" t="n">
        <v>0</v>
      </c>
      <c r="O105" t="n">
        <v>0</v>
      </c>
      <c r="P105" t="n">
        <v>0</v>
      </c>
      <c r="Q105" t="n">
        <v>0</v>
      </c>
      <c r="R105" s="2" t="inlineStr"/>
    </row>
    <row r="106" ht="15" customHeight="1">
      <c r="A106" t="inlineStr">
        <is>
          <t>A 45496-2023</t>
        </is>
      </c>
      <c r="B106" s="1" t="n">
        <v>45194</v>
      </c>
      <c r="C106" s="1" t="n">
        <v>45888</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29704-2023</t>
        </is>
      </c>
      <c r="B107" s="1" t="n">
        <v>45107</v>
      </c>
      <c r="C107" s="1" t="n">
        <v>45888</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21765-2023</t>
        </is>
      </c>
      <c r="B108" s="1" t="n">
        <v>45064</v>
      </c>
      <c r="C108" s="1" t="n">
        <v>45888</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21614-2022</t>
        </is>
      </c>
      <c r="B109" s="1" t="n">
        <v>44706</v>
      </c>
      <c r="C109" s="1" t="n">
        <v>45888</v>
      </c>
      <c r="D109" t="inlineStr">
        <is>
          <t>STOCKHOLMS LÄN</t>
        </is>
      </c>
      <c r="E109" t="inlineStr">
        <is>
          <t>VALLENTUNA</t>
        </is>
      </c>
      <c r="G109" t="n">
        <v>4</v>
      </c>
      <c r="H109" t="n">
        <v>0</v>
      </c>
      <c r="I109" t="n">
        <v>0</v>
      </c>
      <c r="J109" t="n">
        <v>0</v>
      </c>
      <c r="K109" t="n">
        <v>0</v>
      </c>
      <c r="L109" t="n">
        <v>0</v>
      </c>
      <c r="M109" t="n">
        <v>0</v>
      </c>
      <c r="N109" t="n">
        <v>0</v>
      </c>
      <c r="O109" t="n">
        <v>0</v>
      </c>
      <c r="P109" t="n">
        <v>0</v>
      </c>
      <c r="Q109" t="n">
        <v>0</v>
      </c>
      <c r="R109" s="2" t="inlineStr"/>
    </row>
    <row r="110" ht="15" customHeight="1">
      <c r="A110" t="inlineStr">
        <is>
          <t>A 23986-2023</t>
        </is>
      </c>
      <c r="B110" s="1" t="n">
        <v>45078</v>
      </c>
      <c r="C110" s="1" t="n">
        <v>45888</v>
      </c>
      <c r="D110" t="inlineStr">
        <is>
          <t>STOCKHOLMS LÄN</t>
        </is>
      </c>
      <c r="E110" t="inlineStr">
        <is>
          <t>VALLENTUNA</t>
        </is>
      </c>
      <c r="F110" t="inlineStr">
        <is>
          <t>Kyrkan</t>
        </is>
      </c>
      <c r="G110" t="n">
        <v>5.7</v>
      </c>
      <c r="H110" t="n">
        <v>0</v>
      </c>
      <c r="I110" t="n">
        <v>0</v>
      </c>
      <c r="J110" t="n">
        <v>0</v>
      </c>
      <c r="K110" t="n">
        <v>0</v>
      </c>
      <c r="L110" t="n">
        <v>0</v>
      </c>
      <c r="M110" t="n">
        <v>0</v>
      </c>
      <c r="N110" t="n">
        <v>0</v>
      </c>
      <c r="O110" t="n">
        <v>0</v>
      </c>
      <c r="P110" t="n">
        <v>0</v>
      </c>
      <c r="Q110" t="n">
        <v>0</v>
      </c>
      <c r="R110" s="2" t="inlineStr"/>
    </row>
    <row r="111" ht="15" customHeight="1">
      <c r="A111" t="inlineStr">
        <is>
          <t>A 56152-2024</t>
        </is>
      </c>
      <c r="B111" s="1" t="n">
        <v>45624.52403935185</v>
      </c>
      <c r="C111" s="1" t="n">
        <v>45888</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34458-2023</t>
        </is>
      </c>
      <c r="B112" s="1" t="n">
        <v>45139</v>
      </c>
      <c r="C112" s="1" t="n">
        <v>45888</v>
      </c>
      <c r="D112" t="inlineStr">
        <is>
          <t>STOCKHOLMS LÄN</t>
        </is>
      </c>
      <c r="E112" t="inlineStr">
        <is>
          <t>VALLENTUNA</t>
        </is>
      </c>
      <c r="G112" t="n">
        <v>2.5</v>
      </c>
      <c r="H112" t="n">
        <v>0</v>
      </c>
      <c r="I112" t="n">
        <v>0</v>
      </c>
      <c r="J112" t="n">
        <v>0</v>
      </c>
      <c r="K112" t="n">
        <v>0</v>
      </c>
      <c r="L112" t="n">
        <v>0</v>
      </c>
      <c r="M112" t="n">
        <v>0</v>
      </c>
      <c r="N112" t="n">
        <v>0</v>
      </c>
      <c r="O112" t="n">
        <v>0</v>
      </c>
      <c r="P112" t="n">
        <v>0</v>
      </c>
      <c r="Q112" t="n">
        <v>0</v>
      </c>
      <c r="R112" s="2" t="inlineStr"/>
    </row>
    <row r="113" ht="15" customHeight="1">
      <c r="A113" t="inlineStr">
        <is>
          <t>A 25984-2025</t>
        </is>
      </c>
      <c r="B113" s="1" t="n">
        <v>45804.64016203704</v>
      </c>
      <c r="C113" s="1" t="n">
        <v>45888</v>
      </c>
      <c r="D113" t="inlineStr">
        <is>
          <t>STOCKHOLMS LÄN</t>
        </is>
      </c>
      <c r="E113" t="inlineStr">
        <is>
          <t>VALLENTUNA</t>
        </is>
      </c>
      <c r="G113" t="n">
        <v>2.5</v>
      </c>
      <c r="H113" t="n">
        <v>0</v>
      </c>
      <c r="I113" t="n">
        <v>0</v>
      </c>
      <c r="J113" t="n">
        <v>0</v>
      </c>
      <c r="K113" t="n">
        <v>0</v>
      </c>
      <c r="L113" t="n">
        <v>0</v>
      </c>
      <c r="M113" t="n">
        <v>0</v>
      </c>
      <c r="N113" t="n">
        <v>0</v>
      </c>
      <c r="O113" t="n">
        <v>0</v>
      </c>
      <c r="P113" t="n">
        <v>0</v>
      </c>
      <c r="Q113" t="n">
        <v>0</v>
      </c>
      <c r="R113" s="2" t="inlineStr"/>
    </row>
    <row r="114" ht="15" customHeight="1">
      <c r="A114" t="inlineStr">
        <is>
          <t>A 12609-2024</t>
        </is>
      </c>
      <c r="B114" s="1" t="n">
        <v>45382.8109375</v>
      </c>
      <c r="C114" s="1" t="n">
        <v>45888</v>
      </c>
      <c r="D114" t="inlineStr">
        <is>
          <t>STOCKHOLMS LÄN</t>
        </is>
      </c>
      <c r="E114" t="inlineStr">
        <is>
          <t>VALLENTUNA</t>
        </is>
      </c>
      <c r="G114" t="n">
        <v>0.9</v>
      </c>
      <c r="H114" t="n">
        <v>0</v>
      </c>
      <c r="I114" t="n">
        <v>0</v>
      </c>
      <c r="J114" t="n">
        <v>0</v>
      </c>
      <c r="K114" t="n">
        <v>0</v>
      </c>
      <c r="L114" t="n">
        <v>0</v>
      </c>
      <c r="M114" t="n">
        <v>0</v>
      </c>
      <c r="N114" t="n">
        <v>0</v>
      </c>
      <c r="O114" t="n">
        <v>0</v>
      </c>
      <c r="P114" t="n">
        <v>0</v>
      </c>
      <c r="Q114" t="n">
        <v>0</v>
      </c>
      <c r="R114" s="2" t="inlineStr"/>
    </row>
    <row r="115" ht="15" customHeight="1">
      <c r="A115" t="inlineStr">
        <is>
          <t>A 24068-2024</t>
        </is>
      </c>
      <c r="B115" s="1" t="n">
        <v>45456</v>
      </c>
      <c r="C115" s="1" t="n">
        <v>45888</v>
      </c>
      <c r="D115" t="inlineStr">
        <is>
          <t>STOCKHOLMS LÄN</t>
        </is>
      </c>
      <c r="E115" t="inlineStr">
        <is>
          <t>VALLENTUNA</t>
        </is>
      </c>
      <c r="G115" t="n">
        <v>7.4</v>
      </c>
      <c r="H115" t="n">
        <v>0</v>
      </c>
      <c r="I115" t="n">
        <v>0</v>
      </c>
      <c r="J115" t="n">
        <v>0</v>
      </c>
      <c r="K115" t="n">
        <v>0</v>
      </c>
      <c r="L115" t="n">
        <v>0</v>
      </c>
      <c r="M115" t="n">
        <v>0</v>
      </c>
      <c r="N115" t="n">
        <v>0</v>
      </c>
      <c r="O115" t="n">
        <v>0</v>
      </c>
      <c r="P115" t="n">
        <v>0</v>
      </c>
      <c r="Q115" t="n">
        <v>0</v>
      </c>
      <c r="R115" s="2" t="inlineStr"/>
    </row>
    <row r="116" ht="15" customHeight="1">
      <c r="A116" t="inlineStr">
        <is>
          <t>A 13836-2022</t>
        </is>
      </c>
      <c r="B116" s="1" t="n">
        <v>44649</v>
      </c>
      <c r="C116" s="1" t="n">
        <v>45888</v>
      </c>
      <c r="D116" t="inlineStr">
        <is>
          <t>STOCKHOLMS LÄN</t>
        </is>
      </c>
      <c r="E116" t="inlineStr">
        <is>
          <t>VALLENTUNA</t>
        </is>
      </c>
      <c r="G116" t="n">
        <v>3.5</v>
      </c>
      <c r="H116" t="n">
        <v>0</v>
      </c>
      <c r="I116" t="n">
        <v>0</v>
      </c>
      <c r="J116" t="n">
        <v>0</v>
      </c>
      <c r="K116" t="n">
        <v>0</v>
      </c>
      <c r="L116" t="n">
        <v>0</v>
      </c>
      <c r="M116" t="n">
        <v>0</v>
      </c>
      <c r="N116" t="n">
        <v>0</v>
      </c>
      <c r="O116" t="n">
        <v>0</v>
      </c>
      <c r="P116" t="n">
        <v>0</v>
      </c>
      <c r="Q116" t="n">
        <v>0</v>
      </c>
      <c r="R116" s="2" t="inlineStr"/>
    </row>
    <row r="117" ht="15" customHeight="1">
      <c r="A117" t="inlineStr">
        <is>
          <t>A 4804-2024</t>
        </is>
      </c>
      <c r="B117" s="1" t="n">
        <v>45328</v>
      </c>
      <c r="C117" s="1" t="n">
        <v>45888</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45888</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45888</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3078-2023</t>
        </is>
      </c>
      <c r="B120" s="1" t="n">
        <v>44946.41527777778</v>
      </c>
      <c r="C120" s="1" t="n">
        <v>45888</v>
      </c>
      <c r="D120" t="inlineStr">
        <is>
          <t>STOCKHOLMS LÄN</t>
        </is>
      </c>
      <c r="E120" t="inlineStr">
        <is>
          <t>VALLENTUNA</t>
        </is>
      </c>
      <c r="G120" t="n">
        <v>3.9</v>
      </c>
      <c r="H120" t="n">
        <v>0</v>
      </c>
      <c r="I120" t="n">
        <v>0</v>
      </c>
      <c r="J120" t="n">
        <v>0</v>
      </c>
      <c r="K120" t="n">
        <v>0</v>
      </c>
      <c r="L120" t="n">
        <v>0</v>
      </c>
      <c r="M120" t="n">
        <v>0</v>
      </c>
      <c r="N120" t="n">
        <v>0</v>
      </c>
      <c r="O120" t="n">
        <v>0</v>
      </c>
      <c r="P120" t="n">
        <v>0</v>
      </c>
      <c r="Q120" t="n">
        <v>0</v>
      </c>
      <c r="R120" s="2" t="inlineStr"/>
    </row>
    <row r="121" ht="15" customHeight="1">
      <c r="A121" t="inlineStr">
        <is>
          <t>A 6593-2021</t>
        </is>
      </c>
      <c r="B121" s="1" t="n">
        <v>44236</v>
      </c>
      <c r="C121" s="1" t="n">
        <v>45888</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24707-2023</t>
        </is>
      </c>
      <c r="B122" s="1" t="n">
        <v>45084</v>
      </c>
      <c r="C122" s="1" t="n">
        <v>45888</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27868-2025</t>
        </is>
      </c>
      <c r="B123" s="1" t="n">
        <v>45817</v>
      </c>
      <c r="C123" s="1" t="n">
        <v>45888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19503-2023</t>
        </is>
      </c>
      <c r="B124" s="1" t="n">
        <v>45050.47333333334</v>
      </c>
      <c r="C124" s="1" t="n">
        <v>45888</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30902-2025</t>
        </is>
      </c>
      <c r="B125" s="1" t="n">
        <v>45832.36104166666</v>
      </c>
      <c r="C125" s="1" t="n">
        <v>45888</v>
      </c>
      <c r="D125" t="inlineStr">
        <is>
          <t>STOCKHOLMS LÄN</t>
        </is>
      </c>
      <c r="E125" t="inlineStr">
        <is>
          <t>VALLENTUNA</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21612-2021</t>
        </is>
      </c>
      <c r="B126" s="1" t="n">
        <v>44321</v>
      </c>
      <c r="C126" s="1" t="n">
        <v>45888</v>
      </c>
      <c r="D126" t="inlineStr">
        <is>
          <t>STOCKHOLMS LÄN</t>
        </is>
      </c>
      <c r="E126" t="inlineStr">
        <is>
          <t>VALLENTUNA</t>
        </is>
      </c>
      <c r="G126" t="n">
        <v>1.4</v>
      </c>
      <c r="H126" t="n">
        <v>0</v>
      </c>
      <c r="I126" t="n">
        <v>0</v>
      </c>
      <c r="J126" t="n">
        <v>0</v>
      </c>
      <c r="K126" t="n">
        <v>0</v>
      </c>
      <c r="L126" t="n">
        <v>0</v>
      </c>
      <c r="M126" t="n">
        <v>0</v>
      </c>
      <c r="N126" t="n">
        <v>0</v>
      </c>
      <c r="O126" t="n">
        <v>0</v>
      </c>
      <c r="P126" t="n">
        <v>0</v>
      </c>
      <c r="Q126" t="n">
        <v>0</v>
      </c>
      <c r="R126" s="2" t="inlineStr"/>
    </row>
    <row r="127" ht="15" customHeight="1">
      <c r="A127" t="inlineStr">
        <is>
          <t>A 4803-2024</t>
        </is>
      </c>
      <c r="B127" s="1" t="n">
        <v>45328</v>
      </c>
      <c r="C127" s="1" t="n">
        <v>45888</v>
      </c>
      <c r="D127" t="inlineStr">
        <is>
          <t>STOCKHOLMS LÄN</t>
        </is>
      </c>
      <c r="E127" t="inlineStr">
        <is>
          <t>VALLENTUNA</t>
        </is>
      </c>
      <c r="G127" t="n">
        <v>4.6</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45888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5910-2022</t>
        </is>
      </c>
      <c r="B129" s="1" t="n">
        <v>44597</v>
      </c>
      <c r="C129" s="1" t="n">
        <v>45888</v>
      </c>
      <c r="D129" t="inlineStr">
        <is>
          <t>STOCKHOLMS LÄN</t>
        </is>
      </c>
      <c r="E129" t="inlineStr">
        <is>
          <t>VALLENTUNA</t>
        </is>
      </c>
      <c r="G129" t="n">
        <v>0.6</v>
      </c>
      <c r="H129" t="n">
        <v>0</v>
      </c>
      <c r="I129" t="n">
        <v>0</v>
      </c>
      <c r="J129" t="n">
        <v>0</v>
      </c>
      <c r="K129" t="n">
        <v>0</v>
      </c>
      <c r="L129" t="n">
        <v>0</v>
      </c>
      <c r="M129" t="n">
        <v>0</v>
      </c>
      <c r="N129" t="n">
        <v>0</v>
      </c>
      <c r="O129" t="n">
        <v>0</v>
      </c>
      <c r="P129" t="n">
        <v>0</v>
      </c>
      <c r="Q129" t="n">
        <v>0</v>
      </c>
      <c r="R129" s="2" t="inlineStr"/>
    </row>
    <row r="130" ht="15" customHeight="1">
      <c r="A130" t="inlineStr">
        <is>
          <t>A 24994-2021</t>
        </is>
      </c>
      <c r="B130" s="1" t="n">
        <v>44341</v>
      </c>
      <c r="C130" s="1" t="n">
        <v>45888</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3698-2022</t>
        </is>
      </c>
      <c r="B131" s="1" t="n">
        <v>44586</v>
      </c>
      <c r="C131" s="1" t="n">
        <v>45888</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45888</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60795-2023</t>
        </is>
      </c>
      <c r="B133" s="1" t="n">
        <v>45260</v>
      </c>
      <c r="C133" s="1" t="n">
        <v>45888</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44914.70746527778</v>
      </c>
      <c r="C134" s="1" t="n">
        <v>45888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12234-2022</t>
        </is>
      </c>
      <c r="B135" s="1" t="n">
        <v>44637</v>
      </c>
      <c r="C135" s="1" t="n">
        <v>45888</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24943-2024</t>
        </is>
      </c>
      <c r="B136" s="1" t="n">
        <v>45461.62585648148</v>
      </c>
      <c r="C136" s="1" t="n">
        <v>45888</v>
      </c>
      <c r="D136" t="inlineStr">
        <is>
          <t>STOCKHOLMS LÄN</t>
        </is>
      </c>
      <c r="E136" t="inlineStr">
        <is>
          <t>VALLENTUNA</t>
        </is>
      </c>
      <c r="G136" t="n">
        <v>2</v>
      </c>
      <c r="H136" t="n">
        <v>0</v>
      </c>
      <c r="I136" t="n">
        <v>0</v>
      </c>
      <c r="J136" t="n">
        <v>0</v>
      </c>
      <c r="K136" t="n">
        <v>0</v>
      </c>
      <c r="L136" t="n">
        <v>0</v>
      </c>
      <c r="M136" t="n">
        <v>0</v>
      </c>
      <c r="N136" t="n">
        <v>0</v>
      </c>
      <c r="O136" t="n">
        <v>0</v>
      </c>
      <c r="P136" t="n">
        <v>0</v>
      </c>
      <c r="Q136" t="n">
        <v>0</v>
      </c>
      <c r="R136" s="2" t="inlineStr"/>
    </row>
    <row r="137" ht="15" customHeight="1">
      <c r="A137" t="inlineStr">
        <is>
          <t>A 28431-2025</t>
        </is>
      </c>
      <c r="B137" s="1" t="n">
        <v>45819.38072916667</v>
      </c>
      <c r="C137" s="1" t="n">
        <v>45888</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22683-2023</t>
        </is>
      </c>
      <c r="B138" s="1" t="n">
        <v>45071</v>
      </c>
      <c r="C138" s="1" t="n">
        <v>45888</v>
      </c>
      <c r="D138" t="inlineStr">
        <is>
          <t>STOCKHOLMS LÄN</t>
        </is>
      </c>
      <c r="E138" t="inlineStr">
        <is>
          <t>VALLENTUNA</t>
        </is>
      </c>
      <c r="G138" t="n">
        <v>1.2</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45888</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c r="A140" t="inlineStr">
        <is>
          <t>A 48717-2024</t>
        </is>
      </c>
      <c r="B140" s="1" t="n">
        <v>45593</v>
      </c>
      <c r="C140" s="1" t="n">
        <v>45888</v>
      </c>
      <c r="D140" t="inlineStr">
        <is>
          <t>STOCKHOLMS LÄN</t>
        </is>
      </c>
      <c r="E140" t="inlineStr">
        <is>
          <t>VALLENTUNA</t>
        </is>
      </c>
      <c r="G140" t="n">
        <v>6.2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2025-08-19T08:27:37Z</dcterms:created>
  <dcterms:modified xmlns:dcterms="http://purl.org/dc/terms/" xmlns:xsi="http://www.w3.org/2001/XMLSchema-instance" xsi:type="dcterms:W3CDTF">2025-08-19T08:27:37Z</dcterms:modified>
</cp:coreProperties>
</file>