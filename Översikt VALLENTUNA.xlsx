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46094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46094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46094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46094</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9807-2026</t>
        </is>
      </c>
      <c r="B17" s="1" t="n">
        <v>46072</v>
      </c>
      <c r="C17" s="1" t="n">
        <v>46094</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48717-2024</t>
        </is>
      </c>
      <c r="B18" s="1" t="n">
        <v>45593</v>
      </c>
      <c r="C18" s="1" t="n">
        <v>46094</v>
      </c>
      <c r="D18" t="inlineStr">
        <is>
          <t>STOCKHOLMS LÄN</t>
        </is>
      </c>
      <c r="E18" t="inlineStr">
        <is>
          <t>VALLENTUNA</t>
        </is>
      </c>
      <c r="G18" t="n">
        <v>6.2</v>
      </c>
      <c r="H18" t="n">
        <v>1</v>
      </c>
      <c r="I18" t="n">
        <v>0</v>
      </c>
      <c r="J18" t="n">
        <v>2</v>
      </c>
      <c r="K18" t="n">
        <v>0</v>
      </c>
      <c r="L18" t="n">
        <v>0</v>
      </c>
      <c r="M18" t="n">
        <v>0</v>
      </c>
      <c r="N18" t="n">
        <v>0</v>
      </c>
      <c r="O18" t="n">
        <v>2</v>
      </c>
      <c r="P18" t="n">
        <v>0</v>
      </c>
      <c r="Q18" t="n">
        <v>3</v>
      </c>
      <c r="R18" s="2" t="inlineStr">
        <is>
          <t>Granticka
Ullticka
Kungsfågel</t>
        </is>
      </c>
      <c r="S18">
        <f>HYPERLINK("https://klasma.github.io/Logging_0115/artfynd/A 48717-2024 artfynd.xlsx", "A 48717-2024")</f>
        <v/>
      </c>
      <c r="T18">
        <f>HYPERLINK("https://klasma.github.io/Logging_0115/kartor/A 48717-2024 karta.png", "A 48717-2024")</f>
        <v/>
      </c>
      <c r="V18">
        <f>HYPERLINK("https://klasma.github.io/Logging_0115/klagomål/A 48717-2024 FSC-klagomål.docx", "A 48717-2024")</f>
        <v/>
      </c>
      <c r="W18">
        <f>HYPERLINK("https://klasma.github.io/Logging_0115/klagomålsmail/A 48717-2024 FSC-klagomål mail.docx", "A 48717-2024")</f>
        <v/>
      </c>
      <c r="X18">
        <f>HYPERLINK("https://klasma.github.io/Logging_0115/tillsyn/A 48717-2024 tillsynsbegäran.docx", "A 48717-2024")</f>
        <v/>
      </c>
      <c r="Y18">
        <f>HYPERLINK("https://klasma.github.io/Logging_0115/tillsynsmail/A 48717-2024 tillsynsbegäran mail.docx", "A 48717-2024")</f>
        <v/>
      </c>
      <c r="Z18">
        <f>HYPERLINK("https://klasma.github.io/Logging_0115/fåglar/A 48717-2024 prioriterade fågelarter.docx", "A 48717-2024")</f>
        <v/>
      </c>
    </row>
    <row r="19" ht="15" customHeight="1">
      <c r="A19" t="inlineStr">
        <is>
          <t>A 60-2022</t>
        </is>
      </c>
      <c r="B19" s="1" t="n">
        <v>44560</v>
      </c>
      <c r="C19" s="1" t="n">
        <v>46094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46094</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21612-2021</t>
        </is>
      </c>
      <c r="B23" s="1" t="n">
        <v>44321</v>
      </c>
      <c r="C23" s="1" t="n">
        <v>46094</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9745-2022</t>
        </is>
      </c>
      <c r="B24" s="1" t="n">
        <v>44618</v>
      </c>
      <c r="C24" s="1" t="n">
        <v>46094</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46094</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41021-2023</t>
        </is>
      </c>
      <c r="B26" s="1" t="n">
        <v>45173</v>
      </c>
      <c r="C26" s="1" t="n">
        <v>46094</v>
      </c>
      <c r="D26" t="inlineStr">
        <is>
          <t>STOCKHOLMS LÄN</t>
        </is>
      </c>
      <c r="E26" t="inlineStr">
        <is>
          <t>VALLENTUNA</t>
        </is>
      </c>
      <c r="G26" t="n">
        <v>3</v>
      </c>
      <c r="H26" t="n">
        <v>0</v>
      </c>
      <c r="I26" t="n">
        <v>1</v>
      </c>
      <c r="J26" t="n">
        <v>1</v>
      </c>
      <c r="K26" t="n">
        <v>0</v>
      </c>
      <c r="L26" t="n">
        <v>0</v>
      </c>
      <c r="M26" t="n">
        <v>0</v>
      </c>
      <c r="N26" t="n">
        <v>0</v>
      </c>
      <c r="O26" t="n">
        <v>1</v>
      </c>
      <c r="P26" t="n">
        <v>0</v>
      </c>
      <c r="Q26" t="n">
        <v>2</v>
      </c>
      <c r="R26" s="2" t="inlineStr">
        <is>
          <t>Orange taggsvamp
Fjällig taggsvamp s.str.</t>
        </is>
      </c>
      <c r="S26">
        <f>HYPERLINK("https://klasma.github.io/Logging_0115/artfynd/A 41021-2023 artfynd.xlsx", "A 41021-2023")</f>
        <v/>
      </c>
      <c r="T26">
        <f>HYPERLINK("https://klasma.github.io/Logging_0115/kartor/A 41021-2023 karta.png", "A 41021-2023")</f>
        <v/>
      </c>
      <c r="V26">
        <f>HYPERLINK("https://klasma.github.io/Logging_0115/klagomål/A 41021-2023 FSC-klagomål.docx", "A 41021-2023")</f>
        <v/>
      </c>
      <c r="W26">
        <f>HYPERLINK("https://klasma.github.io/Logging_0115/klagomålsmail/A 41021-2023 FSC-klagomål mail.docx", "A 41021-2023")</f>
        <v/>
      </c>
      <c r="X26">
        <f>HYPERLINK("https://klasma.github.io/Logging_0115/tillsyn/A 41021-2023 tillsynsbegäran.docx", "A 41021-2023")</f>
        <v/>
      </c>
      <c r="Y26">
        <f>HYPERLINK("https://klasma.github.io/Logging_0115/tillsynsmail/A 41021-2023 tillsynsbegäran mail.docx", "A 41021-2023")</f>
        <v/>
      </c>
    </row>
    <row r="27" ht="15" customHeight="1">
      <c r="A27" t="inlineStr">
        <is>
          <t>A 46-2022</t>
        </is>
      </c>
      <c r="B27" s="1" t="n">
        <v>44560</v>
      </c>
      <c r="C27" s="1" t="n">
        <v>46094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46094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46094</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46094</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21439-2025</t>
        </is>
      </c>
      <c r="B31" s="1" t="n">
        <v>45782.52939814814</v>
      </c>
      <c r="C31" s="1" t="n">
        <v>46094</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46094</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34458-2023</t>
        </is>
      </c>
      <c r="B33" s="1" t="n">
        <v>45139</v>
      </c>
      <c r="C33" s="1" t="n">
        <v>46094</v>
      </c>
      <c r="D33" t="inlineStr">
        <is>
          <t>STOCKHOLMS LÄN</t>
        </is>
      </c>
      <c r="E33" t="inlineStr">
        <is>
          <t>VALLENTUNA</t>
        </is>
      </c>
      <c r="G33" t="n">
        <v>2.5</v>
      </c>
      <c r="H33" t="n">
        <v>0</v>
      </c>
      <c r="I33" t="n">
        <v>0</v>
      </c>
      <c r="J33" t="n">
        <v>1</v>
      </c>
      <c r="K33" t="n">
        <v>0</v>
      </c>
      <c r="L33" t="n">
        <v>0</v>
      </c>
      <c r="M33" t="n">
        <v>0</v>
      </c>
      <c r="N33" t="n">
        <v>0</v>
      </c>
      <c r="O33" t="n">
        <v>1</v>
      </c>
      <c r="P33" t="n">
        <v>0</v>
      </c>
      <c r="Q33" t="n">
        <v>1</v>
      </c>
      <c r="R33" s="2" t="inlineStr">
        <is>
          <t>Motaggsvamp</t>
        </is>
      </c>
      <c r="S33">
        <f>HYPERLINK("https://klasma.github.io/Logging_0115/artfynd/A 34458-2023 artfynd.xlsx", "A 34458-2023")</f>
        <v/>
      </c>
      <c r="T33">
        <f>HYPERLINK("https://klasma.github.io/Logging_0115/kartor/A 34458-2023 karta.png", "A 34458-2023")</f>
        <v/>
      </c>
      <c r="V33">
        <f>HYPERLINK("https://klasma.github.io/Logging_0115/klagomål/A 34458-2023 FSC-klagomål.docx", "A 34458-2023")</f>
        <v/>
      </c>
      <c r="W33">
        <f>HYPERLINK("https://klasma.github.io/Logging_0115/klagomålsmail/A 34458-2023 FSC-klagomål mail.docx", "A 34458-2023")</f>
        <v/>
      </c>
      <c r="X33">
        <f>HYPERLINK("https://klasma.github.io/Logging_0115/tillsyn/A 34458-2023 tillsynsbegäran.docx", "A 34458-2023")</f>
        <v/>
      </c>
      <c r="Y33">
        <f>HYPERLINK("https://klasma.github.io/Logging_0115/tillsynsmail/A 34458-2023 tillsynsbegäran mail.docx", "A 34458-2023")</f>
        <v/>
      </c>
    </row>
    <row r="34" ht="15" customHeight="1">
      <c r="A34" t="inlineStr">
        <is>
          <t>A 21-2022</t>
        </is>
      </c>
      <c r="B34" s="1" t="n">
        <v>44560</v>
      </c>
      <c r="C34" s="1" t="n">
        <v>46094</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7890-2023</t>
        </is>
      </c>
      <c r="B35" s="1" t="n">
        <v>44973</v>
      </c>
      <c r="C35" s="1" t="n">
        <v>46094</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22830-2024</t>
        </is>
      </c>
      <c r="B36" s="1" t="n">
        <v>45448.56583333333</v>
      </c>
      <c r="C36" s="1" t="n">
        <v>46094</v>
      </c>
      <c r="D36" t="inlineStr">
        <is>
          <t>STOCKHOLMS LÄN</t>
        </is>
      </c>
      <c r="E36" t="inlineStr">
        <is>
          <t>VALLENTUNA</t>
        </is>
      </c>
      <c r="G36" t="n">
        <v>0.3</v>
      </c>
      <c r="H36" t="n">
        <v>0</v>
      </c>
      <c r="I36" t="n">
        <v>0</v>
      </c>
      <c r="J36" t="n">
        <v>1</v>
      </c>
      <c r="K36" t="n">
        <v>0</v>
      </c>
      <c r="L36" t="n">
        <v>0</v>
      </c>
      <c r="M36" t="n">
        <v>0</v>
      </c>
      <c r="N36" t="n">
        <v>0</v>
      </c>
      <c r="O36" t="n">
        <v>1</v>
      </c>
      <c r="P36" t="n">
        <v>0</v>
      </c>
      <c r="Q36" t="n">
        <v>1</v>
      </c>
      <c r="R36" s="2" t="inlineStr">
        <is>
          <t>Tallticka</t>
        </is>
      </c>
      <c r="S36">
        <f>HYPERLINK("https://klasma.github.io/Logging_0115/artfynd/A 22830-2024 artfynd.xlsx", "A 22830-2024")</f>
        <v/>
      </c>
      <c r="T36">
        <f>HYPERLINK("https://klasma.github.io/Logging_0115/kartor/A 22830-2024 karta.png", "A 22830-2024")</f>
        <v/>
      </c>
      <c r="V36">
        <f>HYPERLINK("https://klasma.github.io/Logging_0115/klagomål/A 22830-2024 FSC-klagomål.docx", "A 22830-2024")</f>
        <v/>
      </c>
      <c r="W36">
        <f>HYPERLINK("https://klasma.github.io/Logging_0115/klagomålsmail/A 22830-2024 FSC-klagomål mail.docx", "A 22830-2024")</f>
        <v/>
      </c>
      <c r="X36">
        <f>HYPERLINK("https://klasma.github.io/Logging_0115/tillsyn/A 22830-2024 tillsynsbegäran.docx", "A 22830-2024")</f>
        <v/>
      </c>
      <c r="Y36">
        <f>HYPERLINK("https://klasma.github.io/Logging_0115/tillsynsmail/A 22830-2024 tillsynsbegäran mail.docx", "A 22830-2024")</f>
        <v/>
      </c>
    </row>
    <row r="37" ht="15" customHeight="1">
      <c r="A37" t="inlineStr">
        <is>
          <t>A 17341-2025</t>
        </is>
      </c>
      <c r="B37" s="1" t="n">
        <v>45756</v>
      </c>
      <c r="C37" s="1" t="n">
        <v>46094</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34460-2023</t>
        </is>
      </c>
      <c r="B38" s="1" t="n">
        <v>45139</v>
      </c>
      <c r="C38" s="1" t="n">
        <v>46094</v>
      </c>
      <c r="D38" t="inlineStr">
        <is>
          <t>STOCKHOLMS LÄN</t>
        </is>
      </c>
      <c r="E38" t="inlineStr">
        <is>
          <t>VALLENTUNA</t>
        </is>
      </c>
      <c r="G38" t="n">
        <v>1.7</v>
      </c>
      <c r="H38" t="n">
        <v>0</v>
      </c>
      <c r="I38" t="n">
        <v>0</v>
      </c>
      <c r="J38" t="n">
        <v>1</v>
      </c>
      <c r="K38" t="n">
        <v>0</v>
      </c>
      <c r="L38" t="n">
        <v>0</v>
      </c>
      <c r="M38" t="n">
        <v>0</v>
      </c>
      <c r="N38" t="n">
        <v>0</v>
      </c>
      <c r="O38" t="n">
        <v>1</v>
      </c>
      <c r="P38" t="n">
        <v>0</v>
      </c>
      <c r="Q38" t="n">
        <v>1</v>
      </c>
      <c r="R38" s="2" t="inlineStr">
        <is>
          <t>Orange taggsvamp</t>
        </is>
      </c>
      <c r="S38">
        <f>HYPERLINK("https://klasma.github.io/Logging_0115/artfynd/A 34460-2023 artfynd.xlsx", "A 34460-2023")</f>
        <v/>
      </c>
      <c r="T38">
        <f>HYPERLINK("https://klasma.github.io/Logging_0115/kartor/A 34460-2023 karta.png", "A 34460-2023")</f>
        <v/>
      </c>
      <c r="V38">
        <f>HYPERLINK("https://klasma.github.io/Logging_0115/klagomål/A 34460-2023 FSC-klagomål.docx", "A 34460-2023")</f>
        <v/>
      </c>
      <c r="W38">
        <f>HYPERLINK("https://klasma.github.io/Logging_0115/klagomålsmail/A 34460-2023 FSC-klagomål mail.docx", "A 34460-2023")</f>
        <v/>
      </c>
      <c r="X38">
        <f>HYPERLINK("https://klasma.github.io/Logging_0115/tillsyn/A 34460-2023 tillsynsbegäran.docx", "A 34460-2023")</f>
        <v/>
      </c>
      <c r="Y38">
        <f>HYPERLINK("https://klasma.github.io/Logging_0115/tillsynsmail/A 34460-2023 tillsynsbegäran mail.docx", "A 34460-2023")</f>
        <v/>
      </c>
    </row>
    <row r="39" ht="15" customHeight="1">
      <c r="A39" t="inlineStr">
        <is>
          <t>A 54481-2025</t>
        </is>
      </c>
      <c r="B39" s="1" t="n">
        <v>45965.58837962963</v>
      </c>
      <c r="C39" s="1" t="n">
        <v>46094</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63539-2025</t>
        </is>
      </c>
      <c r="B40" s="1" t="n">
        <v>46013.58824074074</v>
      </c>
      <c r="C40" s="1" t="n">
        <v>46094</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63543-2025</t>
        </is>
      </c>
      <c r="B41" s="1" t="n">
        <v>46013.59207175926</v>
      </c>
      <c r="C41" s="1" t="n">
        <v>46094</v>
      </c>
      <c r="D41" t="inlineStr">
        <is>
          <t>STOCKHOLMS LÄN</t>
        </is>
      </c>
      <c r="E41" t="inlineStr">
        <is>
          <t>VALLENTUNA</t>
        </is>
      </c>
      <c r="G41" t="n">
        <v>3.4</v>
      </c>
      <c r="H41" t="n">
        <v>0</v>
      </c>
      <c r="I41" t="n">
        <v>0</v>
      </c>
      <c r="J41" t="n">
        <v>1</v>
      </c>
      <c r="K41" t="n">
        <v>0</v>
      </c>
      <c r="L41" t="n">
        <v>0</v>
      </c>
      <c r="M41" t="n">
        <v>0</v>
      </c>
      <c r="N41" t="n">
        <v>0</v>
      </c>
      <c r="O41" t="n">
        <v>1</v>
      </c>
      <c r="P41" t="n">
        <v>0</v>
      </c>
      <c r="Q41" t="n">
        <v>1</v>
      </c>
      <c r="R41" s="2" t="inlineStr">
        <is>
          <t>Tallticka</t>
        </is>
      </c>
      <c r="S41">
        <f>HYPERLINK("https://klasma.github.io/Logging_0115/artfynd/A 63543-2025 artfynd.xlsx", "A 63543-2025")</f>
        <v/>
      </c>
      <c r="T41">
        <f>HYPERLINK("https://klasma.github.io/Logging_0115/kartor/A 63543-2025 karta.png", "A 63543-2025")</f>
        <v/>
      </c>
      <c r="V41">
        <f>HYPERLINK("https://klasma.github.io/Logging_0115/klagomål/A 63543-2025 FSC-klagomål.docx", "A 63543-2025")</f>
        <v/>
      </c>
      <c r="W41">
        <f>HYPERLINK("https://klasma.github.io/Logging_0115/klagomålsmail/A 63543-2025 FSC-klagomål mail.docx", "A 63543-2025")</f>
        <v/>
      </c>
      <c r="X41">
        <f>HYPERLINK("https://klasma.github.io/Logging_0115/tillsyn/A 63543-2025 tillsynsbegäran.docx", "A 63543-2025")</f>
        <v/>
      </c>
      <c r="Y41">
        <f>HYPERLINK("https://klasma.github.io/Logging_0115/tillsynsmail/A 63543-2025 tillsynsbegäran mail.docx", "A 63543-2025")</f>
        <v/>
      </c>
    </row>
    <row r="42" ht="15" customHeight="1">
      <c r="A42" t="inlineStr">
        <is>
          <t>A 12401-2026</t>
        </is>
      </c>
      <c r="B42" s="1" t="n">
        <v>46090</v>
      </c>
      <c r="C42" s="1" t="n">
        <v>46094</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20612-2021</t>
        </is>
      </c>
      <c r="B43" s="1" t="n">
        <v>44315</v>
      </c>
      <c r="C43" s="1" t="n">
        <v>46094</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46094</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46094</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46094</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46094</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46094</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46094</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46094</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46094</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46094</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46094</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14725-2022</t>
        </is>
      </c>
      <c r="B55" s="1" t="n">
        <v>44655</v>
      </c>
      <c r="C55" s="1" t="n">
        <v>46094</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735-2024</t>
        </is>
      </c>
      <c r="B56" s="1" t="n">
        <v>45300</v>
      </c>
      <c r="C56" s="1" t="n">
        <v>46094</v>
      </c>
      <c r="D56" t="inlineStr">
        <is>
          <t>STOCKHOLMS LÄN</t>
        </is>
      </c>
      <c r="E56" t="inlineStr">
        <is>
          <t>VALLENTUNA</t>
        </is>
      </c>
      <c r="G56" t="n">
        <v>1.7</v>
      </c>
      <c r="H56" t="n">
        <v>0</v>
      </c>
      <c r="I56" t="n">
        <v>0</v>
      </c>
      <c r="J56" t="n">
        <v>0</v>
      </c>
      <c r="K56" t="n">
        <v>0</v>
      </c>
      <c r="L56" t="n">
        <v>0</v>
      </c>
      <c r="M56" t="n">
        <v>0</v>
      </c>
      <c r="N56" t="n">
        <v>0</v>
      </c>
      <c r="O56" t="n">
        <v>0</v>
      </c>
      <c r="P56" t="n">
        <v>0</v>
      </c>
      <c r="Q56" t="n">
        <v>0</v>
      </c>
      <c r="R56" s="2" t="inlineStr"/>
    </row>
    <row r="57" ht="15" customHeight="1">
      <c r="A57" t="inlineStr">
        <is>
          <t>A 12585-2023</t>
        </is>
      </c>
      <c r="B57" s="1" t="n">
        <v>45000.41373842592</v>
      </c>
      <c r="C57" s="1" t="n">
        <v>46094</v>
      </c>
      <c r="D57" t="inlineStr">
        <is>
          <t>STOCKHOLMS LÄN</t>
        </is>
      </c>
      <c r="E57" t="inlineStr">
        <is>
          <t>VALLENTUNA</t>
        </is>
      </c>
      <c r="G57" t="n">
        <v>3.7</v>
      </c>
      <c r="H57" t="n">
        <v>0</v>
      </c>
      <c r="I57" t="n">
        <v>0</v>
      </c>
      <c r="J57" t="n">
        <v>0</v>
      </c>
      <c r="K57" t="n">
        <v>0</v>
      </c>
      <c r="L57" t="n">
        <v>0</v>
      </c>
      <c r="M57" t="n">
        <v>0</v>
      </c>
      <c r="N57" t="n">
        <v>0</v>
      </c>
      <c r="O57" t="n">
        <v>0</v>
      </c>
      <c r="P57" t="n">
        <v>0</v>
      </c>
      <c r="Q57" t="n">
        <v>0</v>
      </c>
      <c r="R57" s="2" t="inlineStr"/>
    </row>
    <row r="58" ht="15" customHeight="1">
      <c r="A58" t="inlineStr">
        <is>
          <t>A 46924-2021</t>
        </is>
      </c>
      <c r="B58" s="1" t="n">
        <v>44446</v>
      </c>
      <c r="C58" s="1" t="n">
        <v>46094</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14489-2024</t>
        </is>
      </c>
      <c r="B59" s="1" t="n">
        <v>45394.58053240741</v>
      </c>
      <c r="C59" s="1" t="n">
        <v>46094</v>
      </c>
      <c r="D59" t="inlineStr">
        <is>
          <t>STOCKHOLMS LÄN</t>
        </is>
      </c>
      <c r="E59" t="inlineStr">
        <is>
          <t>VALLENTUNA</t>
        </is>
      </c>
      <c r="G59" t="n">
        <v>2.3</v>
      </c>
      <c r="H59" t="n">
        <v>0</v>
      </c>
      <c r="I59" t="n">
        <v>0</v>
      </c>
      <c r="J59" t="n">
        <v>0</v>
      </c>
      <c r="K59" t="n">
        <v>0</v>
      </c>
      <c r="L59" t="n">
        <v>0</v>
      </c>
      <c r="M59" t="n">
        <v>0</v>
      </c>
      <c r="N59" t="n">
        <v>0</v>
      </c>
      <c r="O59" t="n">
        <v>0</v>
      </c>
      <c r="P59" t="n">
        <v>0</v>
      </c>
      <c r="Q59" t="n">
        <v>0</v>
      </c>
      <c r="R59" s="2" t="inlineStr"/>
    </row>
    <row r="60" ht="15" customHeight="1">
      <c r="A60" t="inlineStr">
        <is>
          <t>A 15268-2023</t>
        </is>
      </c>
      <c r="B60" s="1" t="n">
        <v>45019.41045138889</v>
      </c>
      <c r="C60" s="1" t="n">
        <v>46094</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61442-2024</t>
        </is>
      </c>
      <c r="B61" s="1" t="n">
        <v>45646.47003472222</v>
      </c>
      <c r="C61" s="1" t="n">
        <v>46094</v>
      </c>
      <c r="D61" t="inlineStr">
        <is>
          <t>STOCKHOLMS LÄN</t>
        </is>
      </c>
      <c r="E61" t="inlineStr">
        <is>
          <t>VALLENTUNA</t>
        </is>
      </c>
      <c r="G61" t="n">
        <v>4.6</v>
      </c>
      <c r="H61" t="n">
        <v>0</v>
      </c>
      <c r="I61" t="n">
        <v>0</v>
      </c>
      <c r="J61" t="n">
        <v>0</v>
      </c>
      <c r="K61" t="n">
        <v>0</v>
      </c>
      <c r="L61" t="n">
        <v>0</v>
      </c>
      <c r="M61" t="n">
        <v>0</v>
      </c>
      <c r="N61" t="n">
        <v>0</v>
      </c>
      <c r="O61" t="n">
        <v>0</v>
      </c>
      <c r="P61" t="n">
        <v>0</v>
      </c>
      <c r="Q61" t="n">
        <v>0</v>
      </c>
      <c r="R61" s="2" t="inlineStr"/>
    </row>
    <row r="62" ht="15" customHeight="1">
      <c r="A62" t="inlineStr">
        <is>
          <t>A 48068-2021</t>
        </is>
      </c>
      <c r="B62" s="1" t="n">
        <v>44449.42270833333</v>
      </c>
      <c r="C62" s="1" t="n">
        <v>46094</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45499-2023</t>
        </is>
      </c>
      <c r="B63" s="1" t="n">
        <v>45194</v>
      </c>
      <c r="C63" s="1" t="n">
        <v>46094</v>
      </c>
      <c r="D63" t="inlineStr">
        <is>
          <t>STOCKHOLMS LÄN</t>
        </is>
      </c>
      <c r="E63" t="inlineStr">
        <is>
          <t>VALLENTUNA</t>
        </is>
      </c>
      <c r="G63" t="n">
        <v>2.5</v>
      </c>
      <c r="H63" t="n">
        <v>0</v>
      </c>
      <c r="I63" t="n">
        <v>0</v>
      </c>
      <c r="J63" t="n">
        <v>0</v>
      </c>
      <c r="K63" t="n">
        <v>0</v>
      </c>
      <c r="L63" t="n">
        <v>0</v>
      </c>
      <c r="M63" t="n">
        <v>0</v>
      </c>
      <c r="N63" t="n">
        <v>0</v>
      </c>
      <c r="O63" t="n">
        <v>0</v>
      </c>
      <c r="P63" t="n">
        <v>0</v>
      </c>
      <c r="Q63" t="n">
        <v>0</v>
      </c>
      <c r="R63" s="2" t="inlineStr"/>
    </row>
    <row r="64" ht="15" customHeight="1">
      <c r="A64" t="inlineStr">
        <is>
          <t>A 8077-2022</t>
        </is>
      </c>
      <c r="B64" s="1" t="n">
        <v>44609</v>
      </c>
      <c r="C64" s="1" t="n">
        <v>46094</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34452-2021</t>
        </is>
      </c>
      <c r="B65" s="1" t="n">
        <v>44381</v>
      </c>
      <c r="C65" s="1" t="n">
        <v>46094</v>
      </c>
      <c r="D65" t="inlineStr">
        <is>
          <t>STOCKHOLMS LÄN</t>
        </is>
      </c>
      <c r="E65" t="inlineStr">
        <is>
          <t>VALLENTUNA</t>
        </is>
      </c>
      <c r="G65" t="n">
        <v>14.7</v>
      </c>
      <c r="H65" t="n">
        <v>0</v>
      </c>
      <c r="I65" t="n">
        <v>0</v>
      </c>
      <c r="J65" t="n">
        <v>0</v>
      </c>
      <c r="K65" t="n">
        <v>0</v>
      </c>
      <c r="L65" t="n">
        <v>0</v>
      </c>
      <c r="M65" t="n">
        <v>0</v>
      </c>
      <c r="N65" t="n">
        <v>0</v>
      </c>
      <c r="O65" t="n">
        <v>0</v>
      </c>
      <c r="P65" t="n">
        <v>0</v>
      </c>
      <c r="Q65" t="n">
        <v>0</v>
      </c>
      <c r="R65" s="2" t="inlineStr"/>
    </row>
    <row r="66" ht="15" customHeight="1">
      <c r="A66" t="inlineStr">
        <is>
          <t>A 20791-2025</t>
        </is>
      </c>
      <c r="B66" s="1" t="n">
        <v>45776.62738425926</v>
      </c>
      <c r="C66" s="1" t="n">
        <v>46094</v>
      </c>
      <c r="D66" t="inlineStr">
        <is>
          <t>STOCKHOLMS LÄN</t>
        </is>
      </c>
      <c r="E66" t="inlineStr">
        <is>
          <t>VALLENTUNA</t>
        </is>
      </c>
      <c r="G66" t="n">
        <v>1.5</v>
      </c>
      <c r="H66" t="n">
        <v>0</v>
      </c>
      <c r="I66" t="n">
        <v>0</v>
      </c>
      <c r="J66" t="n">
        <v>0</v>
      </c>
      <c r="K66" t="n">
        <v>0</v>
      </c>
      <c r="L66" t="n">
        <v>0</v>
      </c>
      <c r="M66" t="n">
        <v>0</v>
      </c>
      <c r="N66" t="n">
        <v>0</v>
      </c>
      <c r="O66" t="n">
        <v>0</v>
      </c>
      <c r="P66" t="n">
        <v>0</v>
      </c>
      <c r="Q66" t="n">
        <v>0</v>
      </c>
      <c r="R66" s="2" t="inlineStr"/>
    </row>
    <row r="67" ht="15" customHeight="1">
      <c r="A67" t="inlineStr">
        <is>
          <t>A 10073-2024</t>
        </is>
      </c>
      <c r="B67" s="1" t="n">
        <v>45364.40821759259</v>
      </c>
      <c r="C67" s="1" t="n">
        <v>46094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14430-2021</t>
        </is>
      </c>
      <c r="B68" s="1" t="n">
        <v>44279.4665625</v>
      </c>
      <c r="C68" s="1" t="n">
        <v>46094</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14443-2021</t>
        </is>
      </c>
      <c r="B69" s="1" t="n">
        <v>44279</v>
      </c>
      <c r="C69" s="1" t="n">
        <v>46094</v>
      </c>
      <c r="D69" t="inlineStr">
        <is>
          <t>STOCKHOLMS LÄN</t>
        </is>
      </c>
      <c r="E69" t="inlineStr">
        <is>
          <t>VALLENTUNA</t>
        </is>
      </c>
      <c r="G69" t="n">
        <v>3.5</v>
      </c>
      <c r="H69" t="n">
        <v>0</v>
      </c>
      <c r="I69" t="n">
        <v>0</v>
      </c>
      <c r="J69" t="n">
        <v>0</v>
      </c>
      <c r="K69" t="n">
        <v>0</v>
      </c>
      <c r="L69" t="n">
        <v>0</v>
      </c>
      <c r="M69" t="n">
        <v>0</v>
      </c>
      <c r="N69" t="n">
        <v>0</v>
      </c>
      <c r="O69" t="n">
        <v>0</v>
      </c>
      <c r="P69" t="n">
        <v>0</v>
      </c>
      <c r="Q69" t="n">
        <v>0</v>
      </c>
      <c r="R69" s="2" t="inlineStr"/>
    </row>
    <row r="70" ht="15" customHeight="1">
      <c r="A70" t="inlineStr">
        <is>
          <t>A 14447-2021</t>
        </is>
      </c>
      <c r="B70" s="1" t="n">
        <v>44279</v>
      </c>
      <c r="C70" s="1" t="n">
        <v>46094</v>
      </c>
      <c r="D70" t="inlineStr">
        <is>
          <t>STOCKHOLMS LÄN</t>
        </is>
      </c>
      <c r="E70" t="inlineStr">
        <is>
          <t>VALLENTUNA</t>
        </is>
      </c>
      <c r="G70" t="n">
        <v>2.9</v>
      </c>
      <c r="H70" t="n">
        <v>0</v>
      </c>
      <c r="I70" t="n">
        <v>0</v>
      </c>
      <c r="J70" t="n">
        <v>0</v>
      </c>
      <c r="K70" t="n">
        <v>0</v>
      </c>
      <c r="L70" t="n">
        <v>0</v>
      </c>
      <c r="M70" t="n">
        <v>0</v>
      </c>
      <c r="N70" t="n">
        <v>0</v>
      </c>
      <c r="O70" t="n">
        <v>0</v>
      </c>
      <c r="P70" t="n">
        <v>0</v>
      </c>
      <c r="Q70" t="n">
        <v>0</v>
      </c>
      <c r="R70" s="2" t="inlineStr"/>
    </row>
    <row r="71" ht="15" customHeight="1">
      <c r="A71" t="inlineStr">
        <is>
          <t>A 52377-2021</t>
        </is>
      </c>
      <c r="B71" s="1" t="n">
        <v>44465</v>
      </c>
      <c r="C71" s="1" t="n">
        <v>46094</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12621-2024</t>
        </is>
      </c>
      <c r="B72" s="1" t="n">
        <v>45383.6325</v>
      </c>
      <c r="C72" s="1" t="n">
        <v>46094</v>
      </c>
      <c r="D72" t="inlineStr">
        <is>
          <t>STOCKHOLMS LÄN</t>
        </is>
      </c>
      <c r="E72" t="inlineStr">
        <is>
          <t>VALLENTUNA</t>
        </is>
      </c>
      <c r="G72" t="n">
        <v>4.4</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46094</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47140-2024</t>
        </is>
      </c>
      <c r="B74" s="1" t="n">
        <v>45586.58753472222</v>
      </c>
      <c r="C74" s="1" t="n">
        <v>46094</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26390-2023</t>
        </is>
      </c>
      <c r="B75" s="1" t="n">
        <v>45086</v>
      </c>
      <c r="C75" s="1" t="n">
        <v>46094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46381-2023</t>
        </is>
      </c>
      <c r="B76" s="1" t="n">
        <v>45193</v>
      </c>
      <c r="C76" s="1" t="n">
        <v>46094</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23009-2024</t>
        </is>
      </c>
      <c r="B77" s="1" t="n">
        <v>45450.34506944445</v>
      </c>
      <c r="C77" s="1" t="n">
        <v>46094</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61027-2023</t>
        </is>
      </c>
      <c r="B78" s="1" t="n">
        <v>45261</v>
      </c>
      <c r="C78" s="1" t="n">
        <v>46094</v>
      </c>
      <c r="D78" t="inlineStr">
        <is>
          <t>STOCKHOLMS LÄN</t>
        </is>
      </c>
      <c r="E78" t="inlineStr">
        <is>
          <t>VALLENTUNA</t>
        </is>
      </c>
      <c r="G78" t="n">
        <v>7.1</v>
      </c>
      <c r="H78" t="n">
        <v>0</v>
      </c>
      <c r="I78" t="n">
        <v>0</v>
      </c>
      <c r="J78" t="n">
        <v>0</v>
      </c>
      <c r="K78" t="n">
        <v>0</v>
      </c>
      <c r="L78" t="n">
        <v>0</v>
      </c>
      <c r="M78" t="n">
        <v>0</v>
      </c>
      <c r="N78" t="n">
        <v>0</v>
      </c>
      <c r="O78" t="n">
        <v>0</v>
      </c>
      <c r="P78" t="n">
        <v>0</v>
      </c>
      <c r="Q78" t="n">
        <v>0</v>
      </c>
      <c r="R78" s="2" t="inlineStr"/>
    </row>
    <row r="79" ht="15" customHeight="1">
      <c r="A79" t="inlineStr">
        <is>
          <t>A 37657-2021</t>
        </is>
      </c>
      <c r="B79" s="1" t="n">
        <v>44400</v>
      </c>
      <c r="C79" s="1" t="n">
        <v>46094</v>
      </c>
      <c r="D79" t="inlineStr">
        <is>
          <t>STOCKHOLMS LÄN</t>
        </is>
      </c>
      <c r="E79" t="inlineStr">
        <is>
          <t>VALLENTUNA</t>
        </is>
      </c>
      <c r="G79" t="n">
        <v>2.9</v>
      </c>
      <c r="H79" t="n">
        <v>0</v>
      </c>
      <c r="I79" t="n">
        <v>0</v>
      </c>
      <c r="J79" t="n">
        <v>0</v>
      </c>
      <c r="K79" t="n">
        <v>0</v>
      </c>
      <c r="L79" t="n">
        <v>0</v>
      </c>
      <c r="M79" t="n">
        <v>0</v>
      </c>
      <c r="N79" t="n">
        <v>0</v>
      </c>
      <c r="O79" t="n">
        <v>0</v>
      </c>
      <c r="P79" t="n">
        <v>0</v>
      </c>
      <c r="Q79" t="n">
        <v>0</v>
      </c>
      <c r="R79" s="2" t="inlineStr"/>
    </row>
    <row r="80" ht="15" customHeight="1">
      <c r="A80" t="inlineStr">
        <is>
          <t>A 23923-2025</t>
        </is>
      </c>
      <c r="B80" s="1" t="n">
        <v>45795.39648148148</v>
      </c>
      <c r="C80" s="1" t="n">
        <v>46094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21765-2023</t>
        </is>
      </c>
      <c r="B81" s="1" t="n">
        <v>45064</v>
      </c>
      <c r="C81" s="1" t="n">
        <v>46094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21614-2022</t>
        </is>
      </c>
      <c r="B82" s="1" t="n">
        <v>44706</v>
      </c>
      <c r="C82" s="1" t="n">
        <v>46094</v>
      </c>
      <c r="D82" t="inlineStr">
        <is>
          <t>STOCKHOLMS LÄN</t>
        </is>
      </c>
      <c r="E82" t="inlineStr">
        <is>
          <t>VALLENTUNA</t>
        </is>
      </c>
      <c r="G82" t="n">
        <v>4</v>
      </c>
      <c r="H82" t="n">
        <v>0</v>
      </c>
      <c r="I82" t="n">
        <v>0</v>
      </c>
      <c r="J82" t="n">
        <v>0</v>
      </c>
      <c r="K82" t="n">
        <v>0</v>
      </c>
      <c r="L82" t="n">
        <v>0</v>
      </c>
      <c r="M82" t="n">
        <v>0</v>
      </c>
      <c r="N82" t="n">
        <v>0</v>
      </c>
      <c r="O82" t="n">
        <v>0</v>
      </c>
      <c r="P82" t="n">
        <v>0</v>
      </c>
      <c r="Q82" t="n">
        <v>0</v>
      </c>
      <c r="R82" s="2" t="inlineStr"/>
    </row>
    <row r="83" ht="15" customHeight="1">
      <c r="A83" t="inlineStr">
        <is>
          <t>A 15300-2023</t>
        </is>
      </c>
      <c r="B83" s="1" t="n">
        <v>45019</v>
      </c>
      <c r="C83" s="1" t="n">
        <v>46094</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23986-2023</t>
        </is>
      </c>
      <c r="B84" s="1" t="n">
        <v>45078</v>
      </c>
      <c r="C84" s="1" t="n">
        <v>46094</v>
      </c>
      <c r="D84" t="inlineStr">
        <is>
          <t>STOCKHOLMS LÄN</t>
        </is>
      </c>
      <c r="E84" t="inlineStr">
        <is>
          <t>VALLENTUNA</t>
        </is>
      </c>
      <c r="F84" t="inlineStr">
        <is>
          <t>Kyrkan</t>
        </is>
      </c>
      <c r="G84" t="n">
        <v>5.7</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46094</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25984-2025</t>
        </is>
      </c>
      <c r="B86" s="1" t="n">
        <v>45804.64016203704</v>
      </c>
      <c r="C86" s="1" t="n">
        <v>46094</v>
      </c>
      <c r="D86" t="inlineStr">
        <is>
          <t>STOCKHOLMS LÄN</t>
        </is>
      </c>
      <c r="E86" t="inlineStr">
        <is>
          <t>VALLENTUNA</t>
        </is>
      </c>
      <c r="G86" t="n">
        <v>2.5</v>
      </c>
      <c r="H86" t="n">
        <v>0</v>
      </c>
      <c r="I86" t="n">
        <v>0</v>
      </c>
      <c r="J86" t="n">
        <v>0</v>
      </c>
      <c r="K86" t="n">
        <v>0</v>
      </c>
      <c r="L86" t="n">
        <v>0</v>
      </c>
      <c r="M86" t="n">
        <v>0</v>
      </c>
      <c r="N86" t="n">
        <v>0</v>
      </c>
      <c r="O86" t="n">
        <v>0</v>
      </c>
      <c r="P86" t="n">
        <v>0</v>
      </c>
      <c r="Q86" t="n">
        <v>0</v>
      </c>
      <c r="R86" s="2" t="inlineStr"/>
    </row>
    <row r="87" ht="15" customHeight="1">
      <c r="A87" t="inlineStr">
        <is>
          <t>A 61742-2022</t>
        </is>
      </c>
      <c r="B87" s="1" t="n">
        <v>44917</v>
      </c>
      <c r="C87" s="1" t="n">
        <v>46094</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3937-2022</t>
        </is>
      </c>
      <c r="B88" s="1" t="n">
        <v>44587</v>
      </c>
      <c r="C88" s="1" t="n">
        <v>46094</v>
      </c>
      <c r="D88" t="inlineStr">
        <is>
          <t>STOCKHOLMS LÄN</t>
        </is>
      </c>
      <c r="E88" t="inlineStr">
        <is>
          <t>VALLENTUNA</t>
        </is>
      </c>
      <c r="G88" t="n">
        <v>6.6</v>
      </c>
      <c r="H88" t="n">
        <v>0</v>
      </c>
      <c r="I88" t="n">
        <v>0</v>
      </c>
      <c r="J88" t="n">
        <v>0</v>
      </c>
      <c r="K88" t="n">
        <v>0</v>
      </c>
      <c r="L88" t="n">
        <v>0</v>
      </c>
      <c r="M88" t="n">
        <v>0</v>
      </c>
      <c r="N88" t="n">
        <v>0</v>
      </c>
      <c r="O88" t="n">
        <v>0</v>
      </c>
      <c r="P88" t="n">
        <v>0</v>
      </c>
      <c r="Q88" t="n">
        <v>0</v>
      </c>
      <c r="R88" s="2" t="inlineStr"/>
    </row>
    <row r="89" ht="15" customHeight="1">
      <c r="A89" t="inlineStr">
        <is>
          <t>A 23013-2024</t>
        </is>
      </c>
      <c r="B89" s="1" t="n">
        <v>45450.35116898148</v>
      </c>
      <c r="C89" s="1" t="n">
        <v>46094</v>
      </c>
      <c r="D89" t="inlineStr">
        <is>
          <t>STOCKHOLMS LÄN</t>
        </is>
      </c>
      <c r="E89" t="inlineStr">
        <is>
          <t>VALLENTUNA</t>
        </is>
      </c>
      <c r="G89" t="n">
        <v>0.4</v>
      </c>
      <c r="H89" t="n">
        <v>0</v>
      </c>
      <c r="I89" t="n">
        <v>0</v>
      </c>
      <c r="J89" t="n">
        <v>0</v>
      </c>
      <c r="K89" t="n">
        <v>0</v>
      </c>
      <c r="L89" t="n">
        <v>0</v>
      </c>
      <c r="M89" t="n">
        <v>0</v>
      </c>
      <c r="N89" t="n">
        <v>0</v>
      </c>
      <c r="O89" t="n">
        <v>0</v>
      </c>
      <c r="P89" t="n">
        <v>0</v>
      </c>
      <c r="Q89" t="n">
        <v>0</v>
      </c>
      <c r="R89" s="2" t="inlineStr"/>
    </row>
    <row r="90" ht="15" customHeight="1">
      <c r="A90" t="inlineStr">
        <is>
          <t>A 3078-2023</t>
        </is>
      </c>
      <c r="B90" s="1" t="n">
        <v>44946.41527777778</v>
      </c>
      <c r="C90" s="1" t="n">
        <v>46094</v>
      </c>
      <c r="D90" t="inlineStr">
        <is>
          <t>STOCKHOLMS LÄN</t>
        </is>
      </c>
      <c r="E90" t="inlineStr">
        <is>
          <t>VALLENTUNA</t>
        </is>
      </c>
      <c r="G90" t="n">
        <v>3.9</v>
      </c>
      <c r="H90" t="n">
        <v>0</v>
      </c>
      <c r="I90" t="n">
        <v>0</v>
      </c>
      <c r="J90" t="n">
        <v>0</v>
      </c>
      <c r="K90" t="n">
        <v>0</v>
      </c>
      <c r="L90" t="n">
        <v>0</v>
      </c>
      <c r="M90" t="n">
        <v>0</v>
      </c>
      <c r="N90" t="n">
        <v>0</v>
      </c>
      <c r="O90" t="n">
        <v>0</v>
      </c>
      <c r="P90" t="n">
        <v>0</v>
      </c>
      <c r="Q90" t="n">
        <v>0</v>
      </c>
      <c r="R90" s="2" t="inlineStr"/>
    </row>
    <row r="91" ht="15" customHeight="1">
      <c r="A91" t="inlineStr">
        <is>
          <t>A 12562-2023</t>
        </is>
      </c>
      <c r="B91" s="1" t="n">
        <v>45000</v>
      </c>
      <c r="C91" s="1" t="n">
        <v>46094</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14480-2024</t>
        </is>
      </c>
      <c r="B92" s="1" t="n">
        <v>45394.56777777777</v>
      </c>
      <c r="C92" s="1" t="n">
        <v>46094</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17340-2025</t>
        </is>
      </c>
      <c r="B93" s="1" t="n">
        <v>45756</v>
      </c>
      <c r="C93" s="1" t="n">
        <v>46094</v>
      </c>
      <c r="D93" t="inlineStr">
        <is>
          <t>STOCKHOLMS LÄN</t>
        </is>
      </c>
      <c r="E93" t="inlineStr">
        <is>
          <t>VALLENTUNA</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19503-2023</t>
        </is>
      </c>
      <c r="B94" s="1" t="n">
        <v>45050.47333333334</v>
      </c>
      <c r="C94" s="1" t="n">
        <v>46094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30913-2021</t>
        </is>
      </c>
      <c r="B95" s="1" t="n">
        <v>44365</v>
      </c>
      <c r="C95" s="1" t="n">
        <v>46094</v>
      </c>
      <c r="D95" t="inlineStr">
        <is>
          <t>STOCKHOLMS LÄN</t>
        </is>
      </c>
      <c r="E95" t="inlineStr">
        <is>
          <t>VALLENTUNA</t>
        </is>
      </c>
      <c r="F95" t="inlineStr">
        <is>
          <t>Övriga Aktiebolag</t>
        </is>
      </c>
      <c r="G95" t="n">
        <v>3.3</v>
      </c>
      <c r="H95" t="n">
        <v>0</v>
      </c>
      <c r="I95" t="n">
        <v>0</v>
      </c>
      <c r="J95" t="n">
        <v>0</v>
      </c>
      <c r="K95" t="n">
        <v>0</v>
      </c>
      <c r="L95" t="n">
        <v>0</v>
      </c>
      <c r="M95" t="n">
        <v>0</v>
      </c>
      <c r="N95" t="n">
        <v>0</v>
      </c>
      <c r="O95" t="n">
        <v>0</v>
      </c>
      <c r="P95" t="n">
        <v>0</v>
      </c>
      <c r="Q95" t="n">
        <v>0</v>
      </c>
      <c r="R95" s="2" t="inlineStr"/>
    </row>
    <row r="96" ht="15" customHeight="1">
      <c r="A96" t="inlineStr">
        <is>
          <t>A 45496-2023</t>
        </is>
      </c>
      <c r="B96" s="1" t="n">
        <v>45194</v>
      </c>
      <c r="C96" s="1" t="n">
        <v>46094</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46094</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46094</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46094</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46094</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38102-2024</t>
        </is>
      </c>
      <c r="B101" s="1" t="n">
        <v>45545.36349537037</v>
      </c>
      <c r="C101" s="1" t="n">
        <v>46094</v>
      </c>
      <c r="D101" t="inlineStr">
        <is>
          <t>STOCKHOLMS LÄN</t>
        </is>
      </c>
      <c r="E101" t="inlineStr">
        <is>
          <t>VALLENTUNA</t>
        </is>
      </c>
      <c r="G101" t="n">
        <v>3.2</v>
      </c>
      <c r="H101" t="n">
        <v>0</v>
      </c>
      <c r="I101" t="n">
        <v>0</v>
      </c>
      <c r="J101" t="n">
        <v>0</v>
      </c>
      <c r="K101" t="n">
        <v>0</v>
      </c>
      <c r="L101" t="n">
        <v>0</v>
      </c>
      <c r="M101" t="n">
        <v>0</v>
      </c>
      <c r="N101" t="n">
        <v>0</v>
      </c>
      <c r="O101" t="n">
        <v>0</v>
      </c>
      <c r="P101" t="n">
        <v>0</v>
      </c>
      <c r="Q101" t="n">
        <v>0</v>
      </c>
      <c r="R101" s="2" t="inlineStr"/>
    </row>
    <row r="102" ht="15" customHeight="1">
      <c r="A102" t="inlineStr">
        <is>
          <t>A 12234-2022</t>
        </is>
      </c>
      <c r="B102" s="1" t="n">
        <v>44637</v>
      </c>
      <c r="C102" s="1" t="n">
        <v>46094</v>
      </c>
      <c r="D102" t="inlineStr">
        <is>
          <t>STOCKHOLMS LÄN</t>
        </is>
      </c>
      <c r="E102" t="inlineStr">
        <is>
          <t>VALLENTUNA</t>
        </is>
      </c>
      <c r="G102" t="n">
        <v>2.4</v>
      </c>
      <c r="H102" t="n">
        <v>0</v>
      </c>
      <c r="I102" t="n">
        <v>0</v>
      </c>
      <c r="J102" t="n">
        <v>0</v>
      </c>
      <c r="K102" t="n">
        <v>0</v>
      </c>
      <c r="L102" t="n">
        <v>0</v>
      </c>
      <c r="M102" t="n">
        <v>0</v>
      </c>
      <c r="N102" t="n">
        <v>0</v>
      </c>
      <c r="O102" t="n">
        <v>0</v>
      </c>
      <c r="P102" t="n">
        <v>0</v>
      </c>
      <c r="Q102" t="n">
        <v>0</v>
      </c>
      <c r="R102" s="2" t="inlineStr"/>
    </row>
    <row r="103" ht="15" customHeight="1">
      <c r="A103" t="inlineStr">
        <is>
          <t>A 12609-2024</t>
        </is>
      </c>
      <c r="B103" s="1" t="n">
        <v>45382.8109375</v>
      </c>
      <c r="C103" s="1" t="n">
        <v>46094</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13836-2022</t>
        </is>
      </c>
      <c r="B104" s="1" t="n">
        <v>44649</v>
      </c>
      <c r="C104" s="1" t="n">
        <v>46094</v>
      </c>
      <c r="D104" t="inlineStr">
        <is>
          <t>STOCKHOLMS LÄN</t>
        </is>
      </c>
      <c r="E104" t="inlineStr">
        <is>
          <t>VALLENTUNA</t>
        </is>
      </c>
      <c r="G104" t="n">
        <v>3.5</v>
      </c>
      <c r="H104" t="n">
        <v>0</v>
      </c>
      <c r="I104" t="n">
        <v>0</v>
      </c>
      <c r="J104" t="n">
        <v>0</v>
      </c>
      <c r="K104" t="n">
        <v>0</v>
      </c>
      <c r="L104" t="n">
        <v>0</v>
      </c>
      <c r="M104" t="n">
        <v>0</v>
      </c>
      <c r="N104" t="n">
        <v>0</v>
      </c>
      <c r="O104" t="n">
        <v>0</v>
      </c>
      <c r="P104" t="n">
        <v>0</v>
      </c>
      <c r="Q104" t="n">
        <v>0</v>
      </c>
      <c r="R104" s="2" t="inlineStr"/>
    </row>
    <row r="105" ht="15" customHeight="1">
      <c r="A105" t="inlineStr">
        <is>
          <t>A 28431-2025</t>
        </is>
      </c>
      <c r="B105" s="1" t="n">
        <v>45819.38072916667</v>
      </c>
      <c r="C105" s="1" t="n">
        <v>46094</v>
      </c>
      <c r="D105" t="inlineStr">
        <is>
          <t>STOCKHOLMS LÄN</t>
        </is>
      </c>
      <c r="E105" t="inlineStr">
        <is>
          <t>VALLENTUNA</t>
        </is>
      </c>
      <c r="G105" t="n">
        <v>1.5</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46094</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4804-2024</t>
        </is>
      </c>
      <c r="B107" s="1" t="n">
        <v>45328</v>
      </c>
      <c r="C107" s="1" t="n">
        <v>46094</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24707-2023</t>
        </is>
      </c>
      <c r="B108" s="1" t="n">
        <v>45084</v>
      </c>
      <c r="C108" s="1" t="n">
        <v>46094</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22683-2023</t>
        </is>
      </c>
      <c r="B109" s="1" t="n">
        <v>45071</v>
      </c>
      <c r="C109" s="1" t="n">
        <v>46094</v>
      </c>
      <c r="D109" t="inlineStr">
        <is>
          <t>STOCKHOLMS LÄN</t>
        </is>
      </c>
      <c r="E109" t="inlineStr">
        <is>
          <t>VALLENTUNA</t>
        </is>
      </c>
      <c r="G109" t="n">
        <v>1.2</v>
      </c>
      <c r="H109" t="n">
        <v>0</v>
      </c>
      <c r="I109" t="n">
        <v>0</v>
      </c>
      <c r="J109" t="n">
        <v>0</v>
      </c>
      <c r="K109" t="n">
        <v>0</v>
      </c>
      <c r="L109" t="n">
        <v>0</v>
      </c>
      <c r="M109" t="n">
        <v>0</v>
      </c>
      <c r="N109" t="n">
        <v>0</v>
      </c>
      <c r="O109" t="n">
        <v>0</v>
      </c>
      <c r="P109" t="n">
        <v>0</v>
      </c>
      <c r="Q109" t="n">
        <v>0</v>
      </c>
      <c r="R109" s="2" t="inlineStr"/>
    </row>
    <row r="110" ht="15" customHeight="1">
      <c r="A110" t="inlineStr">
        <is>
          <t>A 17411-2023</t>
        </is>
      </c>
      <c r="B110" s="1" t="n">
        <v>45035.82512731481</v>
      </c>
      <c r="C110" s="1" t="n">
        <v>46094</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44346-2021</t>
        </is>
      </c>
      <c r="B111" s="1" t="n">
        <v>44434</v>
      </c>
      <c r="C111" s="1" t="n">
        <v>46094</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5910-2022</t>
        </is>
      </c>
      <c r="B112" s="1" t="n">
        <v>44597</v>
      </c>
      <c r="C112" s="1" t="n">
        <v>46094</v>
      </c>
      <c r="D112" t="inlineStr">
        <is>
          <t>STOCKHOLMS LÄN</t>
        </is>
      </c>
      <c r="E112" t="inlineStr">
        <is>
          <t>VALLENTUNA</t>
        </is>
      </c>
      <c r="G112" t="n">
        <v>0.6</v>
      </c>
      <c r="H112" t="n">
        <v>0</v>
      </c>
      <c r="I112" t="n">
        <v>0</v>
      </c>
      <c r="J112" t="n">
        <v>0</v>
      </c>
      <c r="K112" t="n">
        <v>0</v>
      </c>
      <c r="L112" t="n">
        <v>0</v>
      </c>
      <c r="M112" t="n">
        <v>0</v>
      </c>
      <c r="N112" t="n">
        <v>0</v>
      </c>
      <c r="O112" t="n">
        <v>0</v>
      </c>
      <c r="P112" t="n">
        <v>0</v>
      </c>
      <c r="Q112" t="n">
        <v>0</v>
      </c>
      <c r="R112" s="2" t="inlineStr"/>
    </row>
    <row r="113" ht="15" customHeight="1">
      <c r="A113" t="inlineStr">
        <is>
          <t>A 1385-2024</t>
        </is>
      </c>
      <c r="B113" s="1" t="n">
        <v>45303</v>
      </c>
      <c r="C113" s="1" t="n">
        <v>46094</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24994-2021</t>
        </is>
      </c>
      <c r="B114" s="1" t="n">
        <v>44341</v>
      </c>
      <c r="C114" s="1" t="n">
        <v>46094</v>
      </c>
      <c r="D114" t="inlineStr">
        <is>
          <t>STOCKHOLMS LÄN</t>
        </is>
      </c>
      <c r="E114" t="inlineStr">
        <is>
          <t>VALLENTUNA</t>
        </is>
      </c>
      <c r="G114" t="n">
        <v>2.6</v>
      </c>
      <c r="H114" t="n">
        <v>0</v>
      </c>
      <c r="I114" t="n">
        <v>0</v>
      </c>
      <c r="J114" t="n">
        <v>0</v>
      </c>
      <c r="K114" t="n">
        <v>0</v>
      </c>
      <c r="L114" t="n">
        <v>0</v>
      </c>
      <c r="M114" t="n">
        <v>0</v>
      </c>
      <c r="N114" t="n">
        <v>0</v>
      </c>
      <c r="O114" t="n">
        <v>0</v>
      </c>
      <c r="P114" t="n">
        <v>0</v>
      </c>
      <c r="Q114" t="n">
        <v>0</v>
      </c>
      <c r="R114" s="2" t="inlineStr"/>
    </row>
    <row r="115" ht="15" customHeight="1">
      <c r="A115" t="inlineStr">
        <is>
          <t>A 60818-2023</t>
        </is>
      </c>
      <c r="B115" s="1" t="n">
        <v>45259</v>
      </c>
      <c r="C115" s="1" t="n">
        <v>46094</v>
      </c>
      <c r="D115" t="inlineStr">
        <is>
          <t>STOCKHOLMS LÄN</t>
        </is>
      </c>
      <c r="E115" t="inlineStr">
        <is>
          <t>VALLENTUNA</t>
        </is>
      </c>
      <c r="G115" t="n">
        <v>9.4</v>
      </c>
      <c r="H115" t="n">
        <v>0</v>
      </c>
      <c r="I115" t="n">
        <v>0</v>
      </c>
      <c r="J115" t="n">
        <v>0</v>
      </c>
      <c r="K115" t="n">
        <v>0</v>
      </c>
      <c r="L115" t="n">
        <v>0</v>
      </c>
      <c r="M115" t="n">
        <v>0</v>
      </c>
      <c r="N115" t="n">
        <v>0</v>
      </c>
      <c r="O115" t="n">
        <v>0</v>
      </c>
      <c r="P115" t="n">
        <v>0</v>
      </c>
      <c r="Q115" t="n">
        <v>0</v>
      </c>
      <c r="R115" s="2" t="inlineStr"/>
    </row>
    <row r="116" ht="15" customHeight="1">
      <c r="A116" t="inlineStr">
        <is>
          <t>A 60795-2023</t>
        </is>
      </c>
      <c r="B116" s="1" t="n">
        <v>45260</v>
      </c>
      <c r="C116" s="1" t="n">
        <v>46094</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60997-2022</t>
        </is>
      </c>
      <c r="B117" s="1" t="n">
        <v>44914.70746527778</v>
      </c>
      <c r="C117" s="1" t="n">
        <v>46094</v>
      </c>
      <c r="D117" t="inlineStr">
        <is>
          <t>STOCKHOLMS LÄN</t>
        </is>
      </c>
      <c r="E117" t="inlineStr">
        <is>
          <t>VALLENTUNA</t>
        </is>
      </c>
      <c r="G117" t="n">
        <v>1.8</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46094</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46094</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14775-2024</t>
        </is>
      </c>
      <c r="B120" s="1" t="n">
        <v>45397.73675925926</v>
      </c>
      <c r="C120" s="1" t="n">
        <v>46094</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8565-2025</t>
        </is>
      </c>
      <c r="B121" s="1" t="n">
        <v>45709</v>
      </c>
      <c r="C121" s="1" t="n">
        <v>46094</v>
      </c>
      <c r="D121" t="inlineStr">
        <is>
          <t>STOCKHOLMS LÄN</t>
        </is>
      </c>
      <c r="E121" t="inlineStr">
        <is>
          <t>VALLENTUNA</t>
        </is>
      </c>
      <c r="F121" t="inlineStr">
        <is>
          <t>Kommuner</t>
        </is>
      </c>
      <c r="G121" t="n">
        <v>4.2</v>
      </c>
      <c r="H121" t="n">
        <v>0</v>
      </c>
      <c r="I121" t="n">
        <v>0</v>
      </c>
      <c r="J121" t="n">
        <v>0</v>
      </c>
      <c r="K121" t="n">
        <v>0</v>
      </c>
      <c r="L121" t="n">
        <v>0</v>
      </c>
      <c r="M121" t="n">
        <v>0</v>
      </c>
      <c r="N121" t="n">
        <v>0</v>
      </c>
      <c r="O121" t="n">
        <v>0</v>
      </c>
      <c r="P121" t="n">
        <v>0</v>
      </c>
      <c r="Q121" t="n">
        <v>0</v>
      </c>
      <c r="R121" s="2" t="inlineStr"/>
    </row>
    <row r="122" ht="15" customHeight="1">
      <c r="A122" t="inlineStr">
        <is>
          <t>A 19356-2025</t>
        </is>
      </c>
      <c r="B122" s="1" t="n">
        <v>45769.62061342593</v>
      </c>
      <c r="C122" s="1" t="n">
        <v>46094</v>
      </c>
      <c r="D122" t="inlineStr">
        <is>
          <t>STOCKHOLMS LÄN</t>
        </is>
      </c>
      <c r="E122" t="inlineStr">
        <is>
          <t>VALLENTUNA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8787-2024</t>
        </is>
      </c>
      <c r="B123" s="1" t="n">
        <v>45356</v>
      </c>
      <c r="C123" s="1" t="n">
        <v>46094</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11950-2025</t>
        </is>
      </c>
      <c r="B124" s="1" t="n">
        <v>45728.55622685186</v>
      </c>
      <c r="C124" s="1" t="n">
        <v>46094</v>
      </c>
      <c r="D124" t="inlineStr">
        <is>
          <t>STOCKHOLMS LÄN</t>
        </is>
      </c>
      <c r="E124" t="inlineStr">
        <is>
          <t>VALLENTUNA</t>
        </is>
      </c>
      <c r="G124" t="n">
        <v>1.4</v>
      </c>
      <c r="H124" t="n">
        <v>0</v>
      </c>
      <c r="I124" t="n">
        <v>0</v>
      </c>
      <c r="J124" t="n">
        <v>0</v>
      </c>
      <c r="K124" t="n">
        <v>0</v>
      </c>
      <c r="L124" t="n">
        <v>0</v>
      </c>
      <c r="M124" t="n">
        <v>0</v>
      </c>
      <c r="N124" t="n">
        <v>0</v>
      </c>
      <c r="O124" t="n">
        <v>0</v>
      </c>
      <c r="P124" t="n">
        <v>0</v>
      </c>
      <c r="Q124" t="n">
        <v>0</v>
      </c>
      <c r="R124" s="2" t="inlineStr"/>
    </row>
    <row r="125" ht="15" customHeight="1">
      <c r="A125" t="inlineStr">
        <is>
          <t>A 14782-2024</t>
        </is>
      </c>
      <c r="B125" s="1" t="n">
        <v>45397.74266203704</v>
      </c>
      <c r="C125" s="1" t="n">
        <v>46094</v>
      </c>
      <c r="D125" t="inlineStr">
        <is>
          <t>STOCKHOLMS LÄN</t>
        </is>
      </c>
      <c r="E125" t="inlineStr">
        <is>
          <t>VALLENTUNA</t>
        </is>
      </c>
      <c r="G125" t="n">
        <v>3.1</v>
      </c>
      <c r="H125" t="n">
        <v>0</v>
      </c>
      <c r="I125" t="n">
        <v>0</v>
      </c>
      <c r="J125" t="n">
        <v>0</v>
      </c>
      <c r="K125" t="n">
        <v>0</v>
      </c>
      <c r="L125" t="n">
        <v>0</v>
      </c>
      <c r="M125" t="n">
        <v>0</v>
      </c>
      <c r="N125" t="n">
        <v>0</v>
      </c>
      <c r="O125" t="n">
        <v>0</v>
      </c>
      <c r="P125" t="n">
        <v>0</v>
      </c>
      <c r="Q125" t="n">
        <v>0</v>
      </c>
      <c r="R125" s="2" t="inlineStr"/>
    </row>
    <row r="126" ht="15" customHeight="1">
      <c r="A126" t="inlineStr">
        <is>
          <t>A 52562-2023</t>
        </is>
      </c>
      <c r="B126" s="1" t="n">
        <v>45225</v>
      </c>
      <c r="C126" s="1" t="n">
        <v>46094</v>
      </c>
      <c r="D126" t="inlineStr">
        <is>
          <t>STOCKHOLMS LÄN</t>
        </is>
      </c>
      <c r="E126" t="inlineStr">
        <is>
          <t>VALLENTUNA</t>
        </is>
      </c>
      <c r="G126" t="n">
        <v>3.4</v>
      </c>
      <c r="H126" t="n">
        <v>0</v>
      </c>
      <c r="I126" t="n">
        <v>0</v>
      </c>
      <c r="J126" t="n">
        <v>0</v>
      </c>
      <c r="K126" t="n">
        <v>0</v>
      </c>
      <c r="L126" t="n">
        <v>0</v>
      </c>
      <c r="M126" t="n">
        <v>0</v>
      </c>
      <c r="N126" t="n">
        <v>0</v>
      </c>
      <c r="O126" t="n">
        <v>0</v>
      </c>
      <c r="P126" t="n">
        <v>0</v>
      </c>
      <c r="Q126" t="n">
        <v>0</v>
      </c>
      <c r="R126" s="2" t="inlineStr"/>
    </row>
    <row r="127" ht="15" customHeight="1">
      <c r="A127" t="inlineStr">
        <is>
          <t>A 49530-2023</t>
        </is>
      </c>
      <c r="B127" s="1" t="n">
        <v>45205</v>
      </c>
      <c r="C127" s="1" t="n">
        <v>46094</v>
      </c>
      <c r="D127" t="inlineStr">
        <is>
          <t>STOCKHOLMS LÄN</t>
        </is>
      </c>
      <c r="E127" t="inlineStr">
        <is>
          <t>VALLENTUNA</t>
        </is>
      </c>
      <c r="G127" t="n">
        <v>1.2</v>
      </c>
      <c r="H127" t="n">
        <v>0</v>
      </c>
      <c r="I127" t="n">
        <v>0</v>
      </c>
      <c r="J127" t="n">
        <v>0</v>
      </c>
      <c r="K127" t="n">
        <v>0</v>
      </c>
      <c r="L127" t="n">
        <v>0</v>
      </c>
      <c r="M127" t="n">
        <v>0</v>
      </c>
      <c r="N127" t="n">
        <v>0</v>
      </c>
      <c r="O127" t="n">
        <v>0</v>
      </c>
      <c r="P127" t="n">
        <v>0</v>
      </c>
      <c r="Q127" t="n">
        <v>0</v>
      </c>
      <c r="R127" s="2" t="inlineStr"/>
    </row>
    <row r="128" ht="15" customHeight="1">
      <c r="A128" t="inlineStr">
        <is>
          <t>A 52542-2023</t>
        </is>
      </c>
      <c r="B128" s="1" t="n">
        <v>45225</v>
      </c>
      <c r="C128" s="1" t="n">
        <v>46094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2318-2024</t>
        </is>
      </c>
      <c r="B129" s="1" t="n">
        <v>45310</v>
      </c>
      <c r="C129" s="1" t="n">
        <v>46094</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9063-2024</t>
        </is>
      </c>
      <c r="B130" s="1" t="n">
        <v>45357.72652777778</v>
      </c>
      <c r="C130" s="1" t="n">
        <v>46094</v>
      </c>
      <c r="D130" t="inlineStr">
        <is>
          <t>STOCKHOLMS LÄN</t>
        </is>
      </c>
      <c r="E130" t="inlineStr">
        <is>
          <t>VALLENTUNA</t>
        </is>
      </c>
      <c r="G130" t="n">
        <v>4.1</v>
      </c>
      <c r="H130" t="n">
        <v>0</v>
      </c>
      <c r="I130" t="n">
        <v>0</v>
      </c>
      <c r="J130" t="n">
        <v>0</v>
      </c>
      <c r="K130" t="n">
        <v>0</v>
      </c>
      <c r="L130" t="n">
        <v>0</v>
      </c>
      <c r="M130" t="n">
        <v>0</v>
      </c>
      <c r="N130" t="n">
        <v>0</v>
      </c>
      <c r="O130" t="n">
        <v>0</v>
      </c>
      <c r="P130" t="n">
        <v>0</v>
      </c>
      <c r="Q130" t="n">
        <v>0</v>
      </c>
      <c r="R130" s="2" t="inlineStr"/>
    </row>
    <row r="131" ht="15" customHeight="1">
      <c r="A131" t="inlineStr">
        <is>
          <t>A 21445-2023</t>
        </is>
      </c>
      <c r="B131" s="1" t="n">
        <v>45063</v>
      </c>
      <c r="C131" s="1" t="n">
        <v>46094</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44988-2025</t>
        </is>
      </c>
      <c r="B132" s="1" t="n">
        <v>45918.65505787037</v>
      </c>
      <c r="C132" s="1" t="n">
        <v>46094</v>
      </c>
      <c r="D132" t="inlineStr">
        <is>
          <t>STOCKHOLMS LÄN</t>
        </is>
      </c>
      <c r="E132" t="inlineStr">
        <is>
          <t>VALLENTUNA</t>
        </is>
      </c>
      <c r="G132" t="n">
        <v>1</v>
      </c>
      <c r="H132" t="n">
        <v>0</v>
      </c>
      <c r="I132" t="n">
        <v>0</v>
      </c>
      <c r="J132" t="n">
        <v>0</v>
      </c>
      <c r="K132" t="n">
        <v>0</v>
      </c>
      <c r="L132" t="n">
        <v>0</v>
      </c>
      <c r="M132" t="n">
        <v>0</v>
      </c>
      <c r="N132" t="n">
        <v>0</v>
      </c>
      <c r="O132" t="n">
        <v>0</v>
      </c>
      <c r="P132" t="n">
        <v>0</v>
      </c>
      <c r="Q132" t="n">
        <v>0</v>
      </c>
      <c r="R132" s="2" t="inlineStr"/>
    </row>
    <row r="133" ht="15" customHeight="1">
      <c r="A133" t="inlineStr">
        <is>
          <t>A 34441-2023</t>
        </is>
      </c>
      <c r="B133" s="1" t="n">
        <v>45139</v>
      </c>
      <c r="C133" s="1" t="n">
        <v>46094</v>
      </c>
      <c r="D133" t="inlineStr">
        <is>
          <t>STOCKHOLMS LÄN</t>
        </is>
      </c>
      <c r="E133" t="inlineStr">
        <is>
          <t>VALLENTUNA</t>
        </is>
      </c>
      <c r="G133" t="n">
        <v>1.6</v>
      </c>
      <c r="H133" t="n">
        <v>0</v>
      </c>
      <c r="I133" t="n">
        <v>0</v>
      </c>
      <c r="J133" t="n">
        <v>0</v>
      </c>
      <c r="K133" t="n">
        <v>0</v>
      </c>
      <c r="L133" t="n">
        <v>0</v>
      </c>
      <c r="M133" t="n">
        <v>0</v>
      </c>
      <c r="N133" t="n">
        <v>0</v>
      </c>
      <c r="O133" t="n">
        <v>0</v>
      </c>
      <c r="P133" t="n">
        <v>0</v>
      </c>
      <c r="Q133" t="n">
        <v>0</v>
      </c>
      <c r="R133" s="2" t="inlineStr"/>
    </row>
    <row r="134" ht="15" customHeight="1">
      <c r="A134" t="inlineStr">
        <is>
          <t>A 34445-2023</t>
        </is>
      </c>
      <c r="B134" s="1" t="n">
        <v>45139</v>
      </c>
      <c r="C134" s="1" t="n">
        <v>46094</v>
      </c>
      <c r="D134" t="inlineStr">
        <is>
          <t>STOCKHOLMS LÄN</t>
        </is>
      </c>
      <c r="E134" t="inlineStr">
        <is>
          <t>VALLENTUNA</t>
        </is>
      </c>
      <c r="G134" t="n">
        <v>0.9</v>
      </c>
      <c r="H134" t="n">
        <v>0</v>
      </c>
      <c r="I134" t="n">
        <v>0</v>
      </c>
      <c r="J134" t="n">
        <v>0</v>
      </c>
      <c r="K134" t="n">
        <v>0</v>
      </c>
      <c r="L134" t="n">
        <v>0</v>
      </c>
      <c r="M134" t="n">
        <v>0</v>
      </c>
      <c r="N134" t="n">
        <v>0</v>
      </c>
      <c r="O134" t="n">
        <v>0</v>
      </c>
      <c r="P134" t="n">
        <v>0</v>
      </c>
      <c r="Q134" t="n">
        <v>0</v>
      </c>
      <c r="R134" s="2" t="inlineStr"/>
    </row>
    <row r="135" ht="15" customHeight="1">
      <c r="A135" t="inlineStr">
        <is>
          <t>A 48014-2025</t>
        </is>
      </c>
      <c r="B135" s="1" t="n">
        <v>45932.64520833334</v>
      </c>
      <c r="C135" s="1" t="n">
        <v>46094</v>
      </c>
      <c r="D135" t="inlineStr">
        <is>
          <t>STOCKHOLMS LÄN</t>
        </is>
      </c>
      <c r="E135" t="inlineStr">
        <is>
          <t>VALLENTUNA</t>
        </is>
      </c>
      <c r="G135" t="n">
        <v>0.6</v>
      </c>
      <c r="H135" t="n">
        <v>0</v>
      </c>
      <c r="I135" t="n">
        <v>0</v>
      </c>
      <c r="J135" t="n">
        <v>0</v>
      </c>
      <c r="K135" t="n">
        <v>0</v>
      </c>
      <c r="L135" t="n">
        <v>0</v>
      </c>
      <c r="M135" t="n">
        <v>0</v>
      </c>
      <c r="N135" t="n">
        <v>0</v>
      </c>
      <c r="O135" t="n">
        <v>0</v>
      </c>
      <c r="P135" t="n">
        <v>0</v>
      </c>
      <c r="Q135" t="n">
        <v>0</v>
      </c>
      <c r="R135" s="2" t="inlineStr"/>
    </row>
    <row r="136" ht="15" customHeight="1">
      <c r="A136" t="inlineStr">
        <is>
          <t>A 48038-2025</t>
        </is>
      </c>
      <c r="B136" s="1" t="n">
        <v>45932.66008101852</v>
      </c>
      <c r="C136" s="1" t="n">
        <v>46094</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46094</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27868-2025</t>
        </is>
      </c>
      <c r="B138" s="1" t="n">
        <v>45817</v>
      </c>
      <c r="C138" s="1" t="n">
        <v>46094</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54460-2025</t>
        </is>
      </c>
      <c r="B139" s="1" t="n">
        <v>45965.56219907408</v>
      </c>
      <c r="C139" s="1" t="n">
        <v>46094</v>
      </c>
      <c r="D139" t="inlineStr">
        <is>
          <t>STOCKHOLMS LÄN</t>
        </is>
      </c>
      <c r="E139" t="inlineStr">
        <is>
          <t>VALLENTUNA</t>
        </is>
      </c>
      <c r="G139" t="n">
        <v>22.9</v>
      </c>
      <c r="H139" t="n">
        <v>0</v>
      </c>
      <c r="I139" t="n">
        <v>0</v>
      </c>
      <c r="J139" t="n">
        <v>0</v>
      </c>
      <c r="K139" t="n">
        <v>0</v>
      </c>
      <c r="L139" t="n">
        <v>0</v>
      </c>
      <c r="M139" t="n">
        <v>0</v>
      </c>
      <c r="N139" t="n">
        <v>0</v>
      </c>
      <c r="O139" t="n">
        <v>0</v>
      </c>
      <c r="P139" t="n">
        <v>0</v>
      </c>
      <c r="Q139" t="n">
        <v>0</v>
      </c>
      <c r="R139" s="2" t="inlineStr"/>
    </row>
    <row r="140" ht="15" customHeight="1">
      <c r="A140" t="inlineStr">
        <is>
          <t>A 54466-2025</t>
        </is>
      </c>
      <c r="B140" s="1" t="n">
        <v>45965.56984953704</v>
      </c>
      <c r="C140" s="1" t="n">
        <v>46094</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46094</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61646-2025</t>
        </is>
      </c>
      <c r="B142" s="1" t="n">
        <v>46002</v>
      </c>
      <c r="C142" s="1" t="n">
        <v>46094</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6298-2026</t>
        </is>
      </c>
      <c r="B143" s="1" t="n">
        <v>46055.5656712963</v>
      </c>
      <c r="C143" s="1" t="n">
        <v>46094</v>
      </c>
      <c r="D143" t="inlineStr">
        <is>
          <t>STOCKHOLMS LÄN</t>
        </is>
      </c>
      <c r="E143" t="inlineStr">
        <is>
          <t>VALLENTUNA</t>
        </is>
      </c>
      <c r="G143" t="n">
        <v>3.3</v>
      </c>
      <c r="H143" t="n">
        <v>0</v>
      </c>
      <c r="I143" t="n">
        <v>0</v>
      </c>
      <c r="J143" t="n">
        <v>0</v>
      </c>
      <c r="K143" t="n">
        <v>0</v>
      </c>
      <c r="L143" t="n">
        <v>0</v>
      </c>
      <c r="M143" t="n">
        <v>0</v>
      </c>
      <c r="N143" t="n">
        <v>0</v>
      </c>
      <c r="O143" t="n">
        <v>0</v>
      </c>
      <c r="P143" t="n">
        <v>0</v>
      </c>
      <c r="Q143" t="n">
        <v>0</v>
      </c>
      <c r="R143" s="2" t="inlineStr"/>
    </row>
    <row r="144" ht="15" customHeight="1">
      <c r="A144" t="inlineStr">
        <is>
          <t>A 414-2026</t>
        </is>
      </c>
      <c r="B144" s="1" t="n">
        <v>46028.76050925926</v>
      </c>
      <c r="C144" s="1" t="n">
        <v>46094</v>
      </c>
      <c r="D144" t="inlineStr">
        <is>
          <t>STOCKHOLMS LÄN</t>
        </is>
      </c>
      <c r="E144" t="inlineStr">
        <is>
          <t>VALLENTUNA</t>
        </is>
      </c>
      <c r="G144" t="n">
        <v>2.6</v>
      </c>
      <c r="H144" t="n">
        <v>0</v>
      </c>
      <c r="I144" t="n">
        <v>0</v>
      </c>
      <c r="J144" t="n">
        <v>0</v>
      </c>
      <c r="K144" t="n">
        <v>0</v>
      </c>
      <c r="L144" t="n">
        <v>0</v>
      </c>
      <c r="M144" t="n">
        <v>0</v>
      </c>
      <c r="N144" t="n">
        <v>0</v>
      </c>
      <c r="O144" t="n">
        <v>0</v>
      </c>
      <c r="P144" t="n">
        <v>0</v>
      </c>
      <c r="Q144" t="n">
        <v>0</v>
      </c>
      <c r="R144" s="2" t="inlineStr"/>
    </row>
    <row r="145" ht="15" customHeight="1">
      <c r="A145" t="inlineStr">
        <is>
          <t>A 12396-2026</t>
        </is>
      </c>
      <c r="B145" s="1" t="n">
        <v>46090.38930555555</v>
      </c>
      <c r="C145" s="1" t="n">
        <v>46094</v>
      </c>
      <c r="D145" t="inlineStr">
        <is>
          <t>STOCKHOLMS LÄN</t>
        </is>
      </c>
      <c r="E145" t="inlineStr">
        <is>
          <t>VALLENTUNA</t>
        </is>
      </c>
      <c r="G145" t="n">
        <v>3</v>
      </c>
      <c r="H145" t="n">
        <v>0</v>
      </c>
      <c r="I145" t="n">
        <v>0</v>
      </c>
      <c r="J145" t="n">
        <v>0</v>
      </c>
      <c r="K145" t="n">
        <v>0</v>
      </c>
      <c r="L145" t="n">
        <v>0</v>
      </c>
      <c r="M145" t="n">
        <v>0</v>
      </c>
      <c r="N145" t="n">
        <v>0</v>
      </c>
      <c r="O145" t="n">
        <v>0</v>
      </c>
      <c r="P145" t="n">
        <v>0</v>
      </c>
      <c r="Q145" t="n">
        <v>0</v>
      </c>
      <c r="R145" s="2" t="inlineStr"/>
    </row>
    <row r="146" ht="15" customHeight="1">
      <c r="A146" t="inlineStr">
        <is>
          <t>A 12400-2026</t>
        </is>
      </c>
      <c r="B146" s="1" t="n">
        <v>46090.39423611111</v>
      </c>
      <c r="C146" s="1" t="n">
        <v>46094</v>
      </c>
      <c r="D146" t="inlineStr">
        <is>
          <t>STOCKHOLMS LÄN</t>
        </is>
      </c>
      <c r="E146" t="inlineStr">
        <is>
          <t>VALLENTUNA</t>
        </is>
      </c>
      <c r="G146" t="n">
        <v>1.9</v>
      </c>
      <c r="H146" t="n">
        <v>0</v>
      </c>
      <c r="I146" t="n">
        <v>0</v>
      </c>
      <c r="J146" t="n">
        <v>0</v>
      </c>
      <c r="K146" t="n">
        <v>0</v>
      </c>
      <c r="L146" t="n">
        <v>0</v>
      </c>
      <c r="M146" t="n">
        <v>0</v>
      </c>
      <c r="N146" t="n">
        <v>0</v>
      </c>
      <c r="O146" t="n">
        <v>0</v>
      </c>
      <c r="P146" t="n">
        <v>0</v>
      </c>
      <c r="Q146" t="n">
        <v>0</v>
      </c>
      <c r="R146" s="2" t="inlineStr"/>
    </row>
    <row r="147" ht="15" customHeight="1">
      <c r="A147" t="inlineStr">
        <is>
          <t>A 12830-2026</t>
        </is>
      </c>
      <c r="B147" s="1" t="n">
        <v>46092.42290509259</v>
      </c>
      <c r="C147" s="1" t="n">
        <v>46094</v>
      </c>
      <c r="D147" t="inlineStr">
        <is>
          <t>STOCKHOLMS LÄN</t>
        </is>
      </c>
      <c r="E147" t="inlineStr">
        <is>
          <t>VALLENTUNA</t>
        </is>
      </c>
      <c r="G147" t="n">
        <v>1.6</v>
      </c>
      <c r="H147" t="n">
        <v>0</v>
      </c>
      <c r="I147" t="n">
        <v>0</v>
      </c>
      <c r="J147" t="n">
        <v>0</v>
      </c>
      <c r="K147" t="n">
        <v>0</v>
      </c>
      <c r="L147" t="n">
        <v>0</v>
      </c>
      <c r="M147" t="n">
        <v>0</v>
      </c>
      <c r="N147" t="n">
        <v>0</v>
      </c>
      <c r="O147" t="n">
        <v>0</v>
      </c>
      <c r="P147" t="n">
        <v>0</v>
      </c>
      <c r="Q147" t="n">
        <v>0</v>
      </c>
      <c r="R147" s="2" t="inlineStr"/>
    </row>
    <row r="148" ht="15" customHeight="1">
      <c r="A148" t="inlineStr">
        <is>
          <t>A 12819-2026</t>
        </is>
      </c>
      <c r="B148" s="1" t="n">
        <v>46092.40896990741</v>
      </c>
      <c r="C148" s="1" t="n">
        <v>46094</v>
      </c>
      <c r="D148" t="inlineStr">
        <is>
          <t>STOCKHOLMS LÄN</t>
        </is>
      </c>
      <c r="E148" t="inlineStr">
        <is>
          <t>VALLENTUNA</t>
        </is>
      </c>
      <c r="G148" t="n">
        <v>3.5</v>
      </c>
      <c r="H148" t="n">
        <v>0</v>
      </c>
      <c r="I148" t="n">
        <v>0</v>
      </c>
      <c r="J148" t="n">
        <v>0</v>
      </c>
      <c r="K148" t="n">
        <v>0</v>
      </c>
      <c r="L148" t="n">
        <v>0</v>
      </c>
      <c r="M148" t="n">
        <v>0</v>
      </c>
      <c r="N148" t="n">
        <v>0</v>
      </c>
      <c r="O148" t="n">
        <v>0</v>
      </c>
      <c r="P148" t="n">
        <v>0</v>
      </c>
      <c r="Q148" t="n">
        <v>0</v>
      </c>
      <c r="R148" s="2" t="inlineStr"/>
    </row>
    <row r="149" ht="15" customHeight="1">
      <c r="A149" t="inlineStr">
        <is>
          <t>A 12822-2026</t>
        </is>
      </c>
      <c r="B149" s="1" t="n">
        <v>46092.41358796296</v>
      </c>
      <c r="C149" s="1" t="n">
        <v>46094</v>
      </c>
      <c r="D149" t="inlineStr">
        <is>
          <t>STOCKHOLMS LÄN</t>
        </is>
      </c>
      <c r="E149" t="inlineStr">
        <is>
          <t>VALLENTUNA</t>
        </is>
      </c>
      <c r="G149" t="n">
        <v>2.7</v>
      </c>
      <c r="H149" t="n">
        <v>0</v>
      </c>
      <c r="I149" t="n">
        <v>0</v>
      </c>
      <c r="J149" t="n">
        <v>0</v>
      </c>
      <c r="K149" t="n">
        <v>0</v>
      </c>
      <c r="L149" t="n">
        <v>0</v>
      </c>
      <c r="M149" t="n">
        <v>0</v>
      </c>
      <c r="N149" t="n">
        <v>0</v>
      </c>
      <c r="O149" t="n">
        <v>0</v>
      </c>
      <c r="P149" t="n">
        <v>0</v>
      </c>
      <c r="Q149" t="n">
        <v>0</v>
      </c>
      <c r="R149" s="2" t="inlineStr"/>
    </row>
    <row r="150">
      <c r="A150" t="inlineStr">
        <is>
          <t>A 12828-2026</t>
        </is>
      </c>
      <c r="B150" s="1" t="n">
        <v>46092.41760416667</v>
      </c>
      <c r="C150" s="1" t="n">
        <v>46094</v>
      </c>
      <c r="D150" t="inlineStr">
        <is>
          <t>STOCKHOLMS LÄN</t>
        </is>
      </c>
      <c r="E150" t="inlineStr">
        <is>
          <t>VALLENTUNA</t>
        </is>
      </c>
      <c r="G150" t="n">
        <v>1</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2026-03-13T11:22:05Z</dcterms:created>
  <dcterms:modified xmlns:dcterms="http://purl.org/dc/terms/" xmlns:xsi="http://www.w3.org/2001/XMLSchema-instance" xsi:type="dcterms:W3CDTF">2026-03-13T11:22:05Z</dcterms:modified>
</cp:coreProperties>
</file>