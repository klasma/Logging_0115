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46298</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46298</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46298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46298</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46298</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46298</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46298</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46298</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46298</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46298</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46298</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46298</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46298</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9745-2022</t>
        </is>
      </c>
      <c r="B19" t="inlineStr">
        <is>
          <t>avverkningsanmälan</t>
        </is>
      </c>
      <c r="C19" t="inlineStr">
        <is>
          <t>Föryngringsavverkning</t>
        </is>
      </c>
      <c r="D19" s="1" t="n">
        <v>44618</v>
      </c>
      <c r="E19" s="1" t="n">
        <v>46298</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t="n">
        <v>4</v>
      </c>
      <c r="V19" s="2" t="inlineStr">
        <is>
          <t>Björksplintborre
Vedticka
Spillkråka</t>
        </is>
      </c>
      <c r="W19">
        <f>HYPERLINK("https://klasma.github.io/Logging_0115/artfynd/A 9745-2022 artfynd.xlsx", "A 9745-2022")</f>
        <v/>
      </c>
      <c r="X19">
        <f>HYPERLINK("https://klasma.github.io/Logging_0115/kartor/A 9745-2022 karta.png", "A 9745-2022")</f>
        <v/>
      </c>
      <c r="Y19">
        <f>HYPERLINK("https://klasma.github.io/Logging_0115/kartor_geotiff/A 9745-2022 georefererad karta.tif", "A 9745-2022")</f>
        <v/>
      </c>
      <c r="AA19">
        <f>HYPERLINK("https://klasma.github.io/Logging_0115/klagomål/A 9745-2022 FSC-klagomål.docx", "A 9745-2022")</f>
        <v/>
      </c>
      <c r="AB19">
        <f>HYPERLINK("https://klasma.github.io/Logging_0115/klagomålsmail/A 9745-2022 FSC-klagomål mail.docx", "A 9745-2022")</f>
        <v/>
      </c>
      <c r="AC19">
        <f>HYPERLINK("https://klasma.github.io/Logging_0115/tillsyn/A 9745-2022 tillsynsbegäran.docx", "A 9745-2022")</f>
        <v/>
      </c>
      <c r="AD19">
        <f>HYPERLINK("https://klasma.github.io/Logging_0115/tillsynsmail/A 9745-2022 tillsynsbegäran mail.docx", "A 9745-2022")</f>
        <v/>
      </c>
      <c r="AE19">
        <f>HYPERLINK("https://klasma.github.io/Logging_0115/fåglar/A 9745-2022 prioriterade fågelarter.docx", "A 9745-2022")</f>
        <v/>
      </c>
    </row>
    <row r="20" ht="15" customHeight="1">
      <c r="A20" t="inlineStr">
        <is>
          <t>A 37456-2023</t>
        </is>
      </c>
      <c r="B20" t="inlineStr">
        <is>
          <t>avverkningsanmälan</t>
        </is>
      </c>
      <c r="C20" t="inlineStr">
        <is>
          <t>Föryngringsavverkning</t>
        </is>
      </c>
      <c r="D20" s="1" t="n">
        <v>45156</v>
      </c>
      <c r="E20" s="1" t="n">
        <v>46298</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46298</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46298</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46298</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46298</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46298</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46298</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46298</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46298</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23009-2024</t>
        </is>
      </c>
      <c r="B30" t="inlineStr">
        <is>
          <t>avverkningsanmälan</t>
        </is>
      </c>
      <c r="C30" t="inlineStr">
        <is>
          <t>Föryngringsavverkning</t>
        </is>
      </c>
      <c r="D30" s="1" t="n">
        <v>45450</v>
      </c>
      <c r="E30" s="1" t="n">
        <v>46298</v>
      </c>
      <c r="F30" t="inlineStr">
        <is>
          <t>STOCKHOLMS LÄN</t>
        </is>
      </c>
      <c r="G30" t="inlineStr">
        <is>
          <t>VALLENTUNA</t>
        </is>
      </c>
      <c r="I30" t="n">
        <v>1.4</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23009-2024 artfynd.xlsx", "A 23009-2024")</f>
        <v/>
      </c>
      <c r="X30">
        <f>HYPERLINK("https://klasma.github.io/Logging_0115/kartor/A 23009-2024 karta.png", "A 23009-2024")</f>
        <v/>
      </c>
      <c r="Y30">
        <f>HYPERLINK("https://klasma.github.io/Logging_0115/kartor_geotiff/A 23009-2024 georefererad karta.tif", "A 23009-2024")</f>
        <v/>
      </c>
      <c r="AA30">
        <f>HYPERLINK("https://klasma.github.io/Logging_0115/klagomål/A 23009-2024 FSC-klagomål.docx", "A 23009-2024")</f>
        <v/>
      </c>
      <c r="AB30">
        <f>HYPERLINK("https://klasma.github.io/Logging_0115/klagomålsmail/A 23009-2024 FSC-klagomål mail.docx", "A 23009-2024")</f>
        <v/>
      </c>
      <c r="AC30">
        <f>HYPERLINK("https://klasma.github.io/Logging_0115/tillsyn/A 23009-2024 tillsynsbegäran.docx", "A 23009-2024")</f>
        <v/>
      </c>
      <c r="AD30">
        <f>HYPERLINK("https://klasma.github.io/Logging_0115/tillsynsmail/A 23009-2024 tillsynsbegäran mail.docx", "A 23009-2024")</f>
        <v/>
      </c>
    </row>
    <row r="31" ht="15" customHeight="1">
      <c r="A31" t="inlineStr">
        <is>
          <t>A 12401-2026</t>
        </is>
      </c>
      <c r="B31" t="inlineStr">
        <is>
          <t>avverkningsanmälan</t>
        </is>
      </c>
      <c r="C31" t="inlineStr">
        <is>
          <t>Föryngringsavverkning</t>
        </is>
      </c>
      <c r="D31" s="1" t="n">
        <v>46090</v>
      </c>
      <c r="E31" s="1" t="n">
        <v>46298</v>
      </c>
      <c r="F31" t="inlineStr">
        <is>
          <t>STOCKHOLMS LÄN</t>
        </is>
      </c>
      <c r="G31" t="inlineStr">
        <is>
          <t>VALLENTUNA</t>
        </is>
      </c>
      <c r="I31" t="n">
        <v>5.9</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HYPERLINK("https://klasma.github.io/Logging_0115/artfynd/A 12401-2026 artfynd.xlsx", "A 12401-2026")</f>
        <v/>
      </c>
      <c r="X31">
        <f>HYPERLINK("https://klasma.github.io/Logging_0115/kartor/A 12401-2026 karta.png", "A 12401-2026")</f>
        <v/>
      </c>
      <c r="Y31">
        <f>HYPERLINK("https://klasma.github.io/Logging_0115/kartor_geotiff/A 12401-2026 georefererad karta.tif", "A 12401-2026")</f>
        <v/>
      </c>
      <c r="AA31">
        <f>HYPERLINK("https://klasma.github.io/Logging_0115/klagomål/A 12401-2026 FSC-klagomål.docx", "A 12401-2026")</f>
        <v/>
      </c>
      <c r="AB31">
        <f>HYPERLINK("https://klasma.github.io/Logging_0115/klagomålsmail/A 12401-2026 FSC-klagomål mail.docx", "A 12401-2026")</f>
        <v/>
      </c>
      <c r="AC31">
        <f>HYPERLINK("https://klasma.github.io/Logging_0115/tillsyn/A 12401-2026 tillsynsbegäran.docx", "A 12401-2026")</f>
        <v/>
      </c>
      <c r="AD31">
        <f>HYPERLINK("https://klasma.github.io/Logging_0115/tillsynsmail/A 12401-2026 tillsynsbegäran mail.docx", "A 12401-2026")</f>
        <v/>
      </c>
      <c r="AE31">
        <f>HYPERLINK("https://klasma.github.io/Logging_0115/fåglar/A 12401-2026 prioriterade fågelarter.docx", "A 12401-2026")</f>
        <v/>
      </c>
    </row>
    <row r="32" ht="15" customHeight="1">
      <c r="A32" t="inlineStr">
        <is>
          <t>A 12396-2026</t>
        </is>
      </c>
      <c r="B32" t="inlineStr">
        <is>
          <t>avverkningsanmälan</t>
        </is>
      </c>
      <c r="C32" t="inlineStr">
        <is>
          <t>Föryngringsavverkning</t>
        </is>
      </c>
      <c r="D32" s="1" t="n">
        <v>46090</v>
      </c>
      <c r="E32" s="1" t="n">
        <v>46298</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54460-2025</t>
        </is>
      </c>
      <c r="B33" t="inlineStr">
        <is>
          <t>avverkningsanmälan</t>
        </is>
      </c>
      <c r="C33" t="inlineStr">
        <is>
          <t>Föryngringsavverkning</t>
        </is>
      </c>
      <c r="D33" s="1" t="n">
        <v>45965</v>
      </c>
      <c r="E33" s="1" t="n">
        <v>46298</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46298</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7890-2023</t>
        </is>
      </c>
      <c r="B35" t="inlineStr">
        <is>
          <t>avverkningsanmälan</t>
        </is>
      </c>
      <c r="C35" t="inlineStr">
        <is>
          <t>Föryngringsavverkning</t>
        </is>
      </c>
      <c r="D35" s="1" t="n">
        <v>44973</v>
      </c>
      <c r="E35" s="1" t="n">
        <v>46298</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22830-2024</t>
        </is>
      </c>
      <c r="B36" t="inlineStr">
        <is>
          <t>avverkningsanmälan</t>
        </is>
      </c>
      <c r="C36" t="inlineStr">
        <is>
          <t>Föryngringsavverkning</t>
        </is>
      </c>
      <c r="D36" s="1" t="n">
        <v>45448</v>
      </c>
      <c r="E36" s="1" t="n">
        <v>46298</v>
      </c>
      <c r="F36" t="inlineStr">
        <is>
          <t>STOCKHOLMS LÄN</t>
        </is>
      </c>
      <c r="G36" t="inlineStr">
        <is>
          <t>VALLENTUNA</t>
        </is>
      </c>
      <c r="I36" t="n">
        <v>0.3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HYPERLINK("https://klasma.github.io/Logging_0115/artfynd/A 22830-2024 artfynd.xlsx", "A 22830-2024")</f>
        <v/>
      </c>
      <c r="X36">
        <f>HYPERLINK("https://klasma.github.io/Logging_0115/kartor/A 22830-2024 karta.png", "A 22830-2024")</f>
        <v/>
      </c>
      <c r="Y36">
        <f>HYPERLINK("https://klasma.github.io/Logging_0115/kartor_geotiff/A 22830-2024 georefererad karta.tif", "A 22830-2024")</f>
        <v/>
      </c>
      <c r="AA36">
        <f>HYPERLINK("https://klasma.github.io/Logging_0115/klagomål/A 22830-2024 FSC-klagomål.docx", "A 22830-2024")</f>
        <v/>
      </c>
      <c r="AB36">
        <f>HYPERLINK("https://klasma.github.io/Logging_0115/klagomålsmail/A 22830-2024 FSC-klagomål mail.docx", "A 22830-2024")</f>
        <v/>
      </c>
      <c r="AC36">
        <f>HYPERLINK("https://klasma.github.io/Logging_0115/tillsyn/A 22830-2024 tillsynsbegäran.docx", "A 22830-2024")</f>
        <v/>
      </c>
      <c r="AD36">
        <f>HYPERLINK("https://klasma.github.io/Logging_0115/tillsynsmail/A 22830-2024 tillsynsbegäran mail.docx", "A 22830-2024")</f>
        <v/>
      </c>
    </row>
    <row r="37" ht="15" customHeight="1">
      <c r="A37" t="inlineStr">
        <is>
          <t>A 20910-2026</t>
        </is>
      </c>
      <c r="B37" t="inlineStr">
        <is>
          <t>avverkningsanmälan</t>
        </is>
      </c>
      <c r="C37" t="inlineStr">
        <is>
          <t>Föryngringsavverkning</t>
        </is>
      </c>
      <c r="D37" s="1" t="n">
        <v>46142</v>
      </c>
      <c r="E37" s="1" t="n">
        <v>46298</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17348-2025</t>
        </is>
      </c>
      <c r="B38" t="inlineStr">
        <is>
          <t>avverkningsanmälan</t>
        </is>
      </c>
      <c r="C38" t="inlineStr">
        <is>
          <t>Föryngringsavverkning</t>
        </is>
      </c>
      <c r="D38" s="1" t="n">
        <v>45756</v>
      </c>
      <c r="E38" s="1" t="n">
        <v>46298</v>
      </c>
      <c r="F38" t="inlineStr">
        <is>
          <t>STOCKHOLMS LÄN</t>
        </is>
      </c>
      <c r="G38" t="inlineStr">
        <is>
          <t>VALLENTUNA</t>
        </is>
      </c>
      <c r="H38" t="inlineStr">
        <is>
          <t>Övriga Aktiebolag</t>
        </is>
      </c>
      <c r="I38" t="n">
        <v>2.2</v>
      </c>
      <c r="J38" t="n">
        <v>0</v>
      </c>
      <c r="K38" t="n">
        <v>1</v>
      </c>
      <c r="L38" t="n">
        <v>0</v>
      </c>
      <c r="M38" t="n">
        <v>0</v>
      </c>
      <c r="N38" t="n">
        <v>0</v>
      </c>
      <c r="O38" t="n">
        <v>0</v>
      </c>
      <c r="P38" t="n">
        <v>0</v>
      </c>
      <c r="Q38" t="n">
        <v>0</v>
      </c>
      <c r="R38" t="n">
        <v>0</v>
      </c>
      <c r="S38" t="n">
        <v>1</v>
      </c>
      <c r="T38" t="n">
        <v>1</v>
      </c>
      <c r="U38" t="n">
        <v>0</v>
      </c>
      <c r="V38" s="2" t="inlineStr">
        <is>
          <t>Björksplintborre</t>
        </is>
      </c>
      <c r="W38">
        <f>HYPERLINK("https://klasma.github.io/Logging_0115/artfynd/A 17348-2025 artfynd.xlsx", "A 17348-2025")</f>
        <v/>
      </c>
      <c r="X38">
        <f>HYPERLINK("https://klasma.github.io/Logging_0115/kartor/A 17348-2025 karta.png", "A 17348-2025")</f>
        <v/>
      </c>
      <c r="Y38">
        <f>HYPERLINK("https://klasma.github.io/Logging_0115/kartor_geotiff/A 17348-2025 georefererad karta.tif", "A 17348-2025")</f>
        <v/>
      </c>
      <c r="AA38">
        <f>HYPERLINK("https://klasma.github.io/Logging_0115/klagomål/A 17348-2025 FSC-klagomål.docx", "A 17348-2025")</f>
        <v/>
      </c>
      <c r="AB38">
        <f>HYPERLINK("https://klasma.github.io/Logging_0115/klagomålsmail/A 17348-2025 FSC-klagomål mail.docx", "A 17348-2025")</f>
        <v/>
      </c>
      <c r="AC38">
        <f>HYPERLINK("https://klasma.github.io/Logging_0115/tillsyn/A 17348-2025 tillsynsbegäran.docx", "A 17348-2025")</f>
        <v/>
      </c>
      <c r="AD38">
        <f>HYPERLINK("https://klasma.github.io/Logging_0115/tillsynsmail/A 17348-2025 tillsynsbegäran mail.docx", "A 17348-2025")</f>
        <v/>
      </c>
    </row>
    <row r="39" ht="15" customHeight="1">
      <c r="A39" t="inlineStr">
        <is>
          <t>A 20914-2026</t>
        </is>
      </c>
      <c r="B39" t="inlineStr">
        <is>
          <t>avverkningsanmälan</t>
        </is>
      </c>
      <c r="C39" t="inlineStr">
        <is>
          <t>Avverkning för att bevara och utveckla /försöksver</t>
        </is>
      </c>
      <c r="D39" s="1" t="n">
        <v>46142</v>
      </c>
      <c r="E39" s="1" t="n">
        <v>46298</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34458-2023</t>
        </is>
      </c>
      <c r="B40" t="inlineStr">
        <is>
          <t>avverkningsanmälan</t>
        </is>
      </c>
      <c r="C40" t="inlineStr">
        <is>
          <t>Föryngringsavverkning</t>
        </is>
      </c>
      <c r="D40" s="1" t="n">
        <v>45139</v>
      </c>
      <c r="E40" s="1" t="n">
        <v>46298</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24068-2024</t>
        </is>
      </c>
      <c r="B41" t="inlineStr">
        <is>
          <t>avverkningsanmälan</t>
        </is>
      </c>
      <c r="C41" t="inlineStr">
        <is>
          <t>Föryngringsavverkning</t>
        </is>
      </c>
      <c r="D41" s="1" t="n">
        <v>45456</v>
      </c>
      <c r="E41" s="1" t="n">
        <v>46298</v>
      </c>
      <c r="F41" t="inlineStr">
        <is>
          <t>STOCKHOLMS LÄN</t>
        </is>
      </c>
      <c r="G41" t="inlineStr">
        <is>
          <t>VALLENTUNA</t>
        </is>
      </c>
      <c r="I41" t="n">
        <v>7.4</v>
      </c>
      <c r="J41" t="n">
        <v>0</v>
      </c>
      <c r="K41" t="n">
        <v>0</v>
      </c>
      <c r="L41" t="n">
        <v>1</v>
      </c>
      <c r="M41" t="n">
        <v>0</v>
      </c>
      <c r="N41" t="n">
        <v>0</v>
      </c>
      <c r="O41" t="n">
        <v>0</v>
      </c>
      <c r="P41" t="n">
        <v>0</v>
      </c>
      <c r="Q41" t="n">
        <v>1</v>
      </c>
      <c r="R41" t="n">
        <v>0</v>
      </c>
      <c r="S41" t="n">
        <v>1</v>
      </c>
      <c r="T41" t="n">
        <v>1</v>
      </c>
      <c r="U41" t="n">
        <v>1</v>
      </c>
      <c r="V41" s="2" t="inlineStr">
        <is>
          <t>Vedskivlav</t>
        </is>
      </c>
      <c r="W41">
        <f>HYPERLINK("https://klasma.github.io/Logging_0115/artfynd/A 24068-2024 artfynd.xlsx", "A 24068-2024")</f>
        <v/>
      </c>
      <c r="X41">
        <f>HYPERLINK("https://klasma.github.io/Logging_0115/kartor/A 24068-2024 karta.png", "A 24068-2024")</f>
        <v/>
      </c>
      <c r="Y41">
        <f>HYPERLINK("https://klasma.github.io/Logging_0115/kartor_geotiff/A 24068-2024 georefererad karta.tif", "A 24068-2024")</f>
        <v/>
      </c>
      <c r="AA41">
        <f>HYPERLINK("https://klasma.github.io/Logging_0115/klagomål/A 24068-2024 FSC-klagomål.docx", "A 24068-2024")</f>
        <v/>
      </c>
      <c r="AB41">
        <f>HYPERLINK("https://klasma.github.io/Logging_0115/klagomålsmail/A 24068-2024 FSC-klagomål mail.docx", "A 24068-2024")</f>
        <v/>
      </c>
      <c r="AC41">
        <f>HYPERLINK("https://klasma.github.io/Logging_0115/tillsyn/A 24068-2024 tillsynsbegäran.docx", "A 24068-2024")</f>
        <v/>
      </c>
      <c r="AD41">
        <f>HYPERLINK("https://klasma.github.io/Logging_0115/tillsynsmail/A 24068-2024 tillsynsbegäran mail.docx", "A 24068-2024")</f>
        <v/>
      </c>
    </row>
    <row r="42" ht="15" customHeight="1">
      <c r="A42" t="inlineStr">
        <is>
          <t>A 21-2022</t>
        </is>
      </c>
      <c r="B42" t="inlineStr">
        <is>
          <t>avverkningsanmälan</t>
        </is>
      </c>
      <c r="C42" t="inlineStr">
        <is>
          <t>Föryngringsavverkning</t>
        </is>
      </c>
      <c r="D42" s="1" t="n">
        <v>44560</v>
      </c>
      <c r="E42" s="1" t="n">
        <v>46298</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17341-2025</t>
        </is>
      </c>
      <c r="B43" t="inlineStr">
        <is>
          <t>avverkningsanmälan</t>
        </is>
      </c>
      <c r="C43" t="inlineStr">
        <is>
          <t>Föryngringsavverkning</t>
        </is>
      </c>
      <c r="D43" s="1" t="n">
        <v>45756</v>
      </c>
      <c r="E43" s="1" t="n">
        <v>46298</v>
      </c>
      <c r="F43" t="inlineStr">
        <is>
          <t>STOCKHOLMS LÄN</t>
        </is>
      </c>
      <c r="G43" t="inlineStr">
        <is>
          <t>VALLENTUNA</t>
        </is>
      </c>
      <c r="H43" t="inlineStr">
        <is>
          <t>Övriga Aktiebolag</t>
        </is>
      </c>
      <c r="I43" t="n">
        <v>5.2</v>
      </c>
      <c r="J43" t="n">
        <v>0</v>
      </c>
      <c r="K43" t="n">
        <v>1</v>
      </c>
      <c r="L43" t="n">
        <v>0</v>
      </c>
      <c r="M43" t="n">
        <v>0</v>
      </c>
      <c r="N43" t="n">
        <v>0</v>
      </c>
      <c r="O43" t="n">
        <v>0</v>
      </c>
      <c r="P43" t="n">
        <v>0</v>
      </c>
      <c r="Q43" t="n">
        <v>0</v>
      </c>
      <c r="R43" t="n">
        <v>0</v>
      </c>
      <c r="S43" t="n">
        <v>1</v>
      </c>
      <c r="T43" t="n">
        <v>2</v>
      </c>
      <c r="U43" t="n">
        <v>0</v>
      </c>
      <c r="V43" s="2" t="inlineStr">
        <is>
          <t>Björksplintborre</t>
        </is>
      </c>
      <c r="W43">
        <f>HYPERLINK("https://klasma.github.io/Logging_0115/artfynd/A 17341-2025 artfynd.xlsx", "A 17341-2025")</f>
        <v/>
      </c>
      <c r="X43">
        <f>HYPERLINK("https://klasma.github.io/Logging_0115/kartor/A 17341-2025 karta.png", "A 17341-2025")</f>
        <v/>
      </c>
      <c r="Y43">
        <f>HYPERLINK("https://klasma.github.io/Logging_0115/kartor_geotiff/A 17341-2025 georefererad karta.tif", "A 17341-2025")</f>
        <v/>
      </c>
      <c r="AA43">
        <f>HYPERLINK("https://klasma.github.io/Logging_0115/klagomål/A 17341-2025 FSC-klagomål.docx", "A 17341-2025")</f>
        <v/>
      </c>
      <c r="AB43">
        <f>HYPERLINK("https://klasma.github.io/Logging_0115/klagomålsmail/A 17341-2025 FSC-klagomål mail.docx", "A 17341-2025")</f>
        <v/>
      </c>
      <c r="AC43">
        <f>HYPERLINK("https://klasma.github.io/Logging_0115/tillsyn/A 17341-2025 tillsynsbegäran.docx", "A 17341-2025")</f>
        <v/>
      </c>
      <c r="AD43">
        <f>HYPERLINK("https://klasma.github.io/Logging_0115/tillsynsmail/A 17341-2025 tillsynsbegäran mail.docx", "A 17341-2025")</f>
        <v/>
      </c>
    </row>
    <row r="44" ht="15" customHeight="1">
      <c r="A44" t="inlineStr">
        <is>
          <t>A 8089-2022</t>
        </is>
      </c>
      <c r="B44" t="inlineStr">
        <is>
          <t>avverkningsanmälan</t>
        </is>
      </c>
      <c r="C44" t="inlineStr">
        <is>
          <t>Föryngringsavverkning</t>
        </is>
      </c>
      <c r="D44" s="1" t="n">
        <v>44609</v>
      </c>
      <c r="E44" s="1" t="n">
        <v>46298</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46298</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46298</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46298</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46298</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46298</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46298</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46298</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46298</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46381-2023</t>
        </is>
      </c>
      <c r="B53" t="inlineStr">
        <is>
          <t>avverkningsanmälan</t>
        </is>
      </c>
      <c r="C53" t="inlineStr">
        <is>
          <t>Föryngringsavverkning</t>
        </is>
      </c>
      <c r="D53" s="1" t="n">
        <v>45193</v>
      </c>
      <c r="E53" s="1" t="n">
        <v>46298</v>
      </c>
      <c r="F53" t="inlineStr">
        <is>
          <t>STOCKHOLMS LÄN</t>
        </is>
      </c>
      <c r="G53" t="inlineStr">
        <is>
          <t>VALLENTUNA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61027-2023</t>
        </is>
      </c>
      <c r="B54" t="inlineStr">
        <is>
          <t>avverkningsanmälan</t>
        </is>
      </c>
      <c r="C54" t="inlineStr">
        <is>
          <t>Föryngringsavverkning</t>
        </is>
      </c>
      <c r="D54" s="1" t="n">
        <v>45261</v>
      </c>
      <c r="E54" s="1" t="n">
        <v>46298</v>
      </c>
      <c r="F54" t="inlineStr">
        <is>
          <t>STOCKHOLMS LÄN</t>
        </is>
      </c>
      <c r="G54" t="inlineStr">
        <is>
          <t>VALLENTUNA</t>
        </is>
      </c>
      <c r="I54" t="n">
        <v>7.1</v>
      </c>
      <c r="J54" t="n">
        <v>0</v>
      </c>
      <c r="K54" t="n">
        <v>0</v>
      </c>
      <c r="L54" t="n">
        <v>0</v>
      </c>
      <c r="M54" t="n">
        <v>0</v>
      </c>
      <c r="N54" t="n">
        <v>0</v>
      </c>
      <c r="O54" t="n">
        <v>0</v>
      </c>
      <c r="P54" t="n">
        <v>0</v>
      </c>
      <c r="Q54" t="n">
        <v>0</v>
      </c>
      <c r="R54" t="n">
        <v>0</v>
      </c>
      <c r="S54" t="n">
        <v>0</v>
      </c>
      <c r="T54" t="n">
        <v>0</v>
      </c>
      <c r="U54" t="n">
        <v>0</v>
      </c>
      <c r="V54" s="2" t="inlineStr"/>
    </row>
    <row r="55" ht="15" customHeight="1">
      <c r="A55" t="inlineStr">
        <is>
          <t>A 61646-2025</t>
        </is>
      </c>
      <c r="B55" t="inlineStr">
        <is>
          <t>avverkningsanmälan</t>
        </is>
      </c>
      <c r="C55" t="inlineStr">
        <is>
          <t>Föryngringsavverkning</t>
        </is>
      </c>
      <c r="D55" s="1" t="n">
        <v>46002</v>
      </c>
      <c r="E55" s="1" t="n">
        <v>46298</v>
      </c>
      <c r="F55" t="inlineStr">
        <is>
          <t>STOCKHOLMS LÄN</t>
        </is>
      </c>
      <c r="G55" t="inlineStr">
        <is>
          <t>VALLENTUNA</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414-2026</t>
        </is>
      </c>
      <c r="B56" t="inlineStr">
        <is>
          <t>avverkningsanmälan</t>
        </is>
      </c>
      <c r="C56" t="inlineStr">
        <is>
          <t>Föryngringsavverkning</t>
        </is>
      </c>
      <c r="D56" s="1" t="n">
        <v>46028</v>
      </c>
      <c r="E56" s="1" t="n">
        <v>46298</v>
      </c>
      <c r="F56" t="inlineStr">
        <is>
          <t>STOCKHOLMS LÄN</t>
        </is>
      </c>
      <c r="G56" t="inlineStr">
        <is>
          <t>VALLENTUNA</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6298-2026</t>
        </is>
      </c>
      <c r="B57" t="inlineStr">
        <is>
          <t>avverkningsanmälan</t>
        </is>
      </c>
      <c r="C57" t="inlineStr">
        <is>
          <t>Föryngringsavverkning</t>
        </is>
      </c>
      <c r="D57" s="1" t="n">
        <v>46055</v>
      </c>
      <c r="E57" s="1" t="n">
        <v>46298</v>
      </c>
      <c r="F57" t="inlineStr">
        <is>
          <t>STOCKHOLMS LÄN</t>
        </is>
      </c>
      <c r="G57" t="inlineStr">
        <is>
          <t>VALLENTUNA</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61742-2022</t>
        </is>
      </c>
      <c r="B58" t="inlineStr">
        <is>
          <t>avverkningsanmälan</t>
        </is>
      </c>
      <c r="C58" t="inlineStr">
        <is>
          <t>Avverkning för annat ändamål</t>
        </is>
      </c>
      <c r="D58" s="1" t="n">
        <v>44917</v>
      </c>
      <c r="E58" s="1" t="n">
        <v>46298</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46298</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46298</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12562-2023</t>
        </is>
      </c>
      <c r="B61" t="inlineStr">
        <is>
          <t>avverkningsanmälan</t>
        </is>
      </c>
      <c r="C61" t="inlineStr">
        <is>
          <t>Föryngringsavverkning</t>
        </is>
      </c>
      <c r="D61" s="1" t="n">
        <v>45000</v>
      </c>
      <c r="E61" s="1" t="n">
        <v>46298</v>
      </c>
      <c r="F61" t="inlineStr">
        <is>
          <t>STOCKHOLMS LÄN</t>
        </is>
      </c>
      <c r="G61" t="inlineStr">
        <is>
          <t>VALLENTUNA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14480-2024</t>
        </is>
      </c>
      <c r="B62" t="inlineStr">
        <is>
          <t>avverkningsanmälan</t>
        </is>
      </c>
      <c r="C62" t="inlineStr">
        <is>
          <t>Föryngringsavverkning</t>
        </is>
      </c>
      <c r="D62" s="1" t="n">
        <v>45394</v>
      </c>
      <c r="E62" s="1" t="n">
        <v>46298</v>
      </c>
      <c r="F62" t="inlineStr">
        <is>
          <t>STOCKHOLMS LÄN</t>
        </is>
      </c>
      <c r="G62" t="inlineStr">
        <is>
          <t>VALLENTUNA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17340-2025</t>
        </is>
      </c>
      <c r="B63" t="inlineStr">
        <is>
          <t>avverkningsanmälan</t>
        </is>
      </c>
      <c r="C63" t="inlineStr">
        <is>
          <t>Föryngringsavverkning</t>
        </is>
      </c>
      <c r="D63" s="1" t="n">
        <v>45756</v>
      </c>
      <c r="E63" s="1" t="n">
        <v>46298</v>
      </c>
      <c r="F63" t="inlineStr">
        <is>
          <t>STOCKHOLMS LÄN</t>
        </is>
      </c>
      <c r="G63" t="inlineStr">
        <is>
          <t>VALLENTUNA</t>
        </is>
      </c>
      <c r="H63" t="inlineStr">
        <is>
          <t>Övriga Aktiebolag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45496-2023</t>
        </is>
      </c>
      <c r="B64" t="inlineStr">
        <is>
          <t>avverkningsanmälan</t>
        </is>
      </c>
      <c r="C64" t="inlineStr">
        <is>
          <t>Föryngringsavverkning</t>
        </is>
      </c>
      <c r="D64" s="1" t="n">
        <v>45194</v>
      </c>
      <c r="E64" s="1" t="n">
        <v>46298</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29704-2023</t>
        </is>
      </c>
      <c r="B65" t="inlineStr">
        <is>
          <t>avverkningsanmälan</t>
        </is>
      </c>
      <c r="C65" t="inlineStr">
        <is>
          <t>Föryngringsavverkning</t>
        </is>
      </c>
      <c r="D65" s="1" t="n">
        <v>45107</v>
      </c>
      <c r="E65" s="1" t="n">
        <v>46298</v>
      </c>
      <c r="F65" t="inlineStr">
        <is>
          <t>STOCKHOLMS LÄN</t>
        </is>
      </c>
      <c r="G65" t="inlineStr">
        <is>
          <t>VALLENTUNA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12400-2026</t>
        </is>
      </c>
      <c r="B66" t="inlineStr">
        <is>
          <t>avverkningsanmälan</t>
        </is>
      </c>
      <c r="C66" t="inlineStr">
        <is>
          <t>Föryngringsavverkning</t>
        </is>
      </c>
      <c r="D66" s="1" t="n">
        <v>46090</v>
      </c>
      <c r="E66" s="1" t="n">
        <v>46298</v>
      </c>
      <c r="F66" t="inlineStr">
        <is>
          <t>STOCKHOLMS LÄN</t>
        </is>
      </c>
      <c r="G66" t="inlineStr">
        <is>
          <t>VALLENTUNA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12609-2024</t>
        </is>
      </c>
      <c r="B67" t="inlineStr">
        <is>
          <t>avverkningsanmälan</t>
        </is>
      </c>
      <c r="C67" t="inlineStr">
        <is>
          <t>Avverkning för annat ändamål</t>
        </is>
      </c>
      <c r="D67" s="1" t="n">
        <v>45382</v>
      </c>
      <c r="E67" s="1" t="n">
        <v>46298</v>
      </c>
      <c r="F67" t="inlineStr">
        <is>
          <t>STOCKHOLMS LÄN</t>
        </is>
      </c>
      <c r="G67" t="inlineStr">
        <is>
          <t>VALLENTUNA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14799-2026</t>
        </is>
      </c>
      <c r="B68" t="inlineStr">
        <is>
          <t>avverkningsanmälan</t>
        </is>
      </c>
      <c r="C68" t="inlineStr">
        <is>
          <t>Föryngringsavverkning</t>
        </is>
      </c>
      <c r="D68" s="1" t="n">
        <v>46102</v>
      </c>
      <c r="E68" s="1" t="n">
        <v>46298</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13836-2022</t>
        </is>
      </c>
      <c r="B69" t="inlineStr">
        <is>
          <t>avverkningsanmälan</t>
        </is>
      </c>
      <c r="C69" t="inlineStr">
        <is>
          <t>Föryngringsavverkning</t>
        </is>
      </c>
      <c r="D69" s="1" t="n">
        <v>44649</v>
      </c>
      <c r="E69" s="1" t="n">
        <v>46298</v>
      </c>
      <c r="F69" t="inlineStr">
        <is>
          <t>STOCKHOLMS LÄN</t>
        </is>
      </c>
      <c r="G69" t="inlineStr">
        <is>
          <t>VALLENTUNA</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30902-2025</t>
        </is>
      </c>
      <c r="B70" t="inlineStr">
        <is>
          <t>avverkningsanmälan</t>
        </is>
      </c>
      <c r="C70" t="inlineStr">
        <is>
          <t>Föryngringsavverkning</t>
        </is>
      </c>
      <c r="D70" s="1" t="n">
        <v>45832</v>
      </c>
      <c r="E70" s="1" t="n">
        <v>46298</v>
      </c>
      <c r="F70" t="inlineStr">
        <is>
          <t>STOCKHOLMS LÄN</t>
        </is>
      </c>
      <c r="G70" t="inlineStr">
        <is>
          <t>VALLENTUNA</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24707-2023</t>
        </is>
      </c>
      <c r="B71" t="inlineStr">
        <is>
          <t>avverkningsanmälan</t>
        </is>
      </c>
      <c r="C71" t="inlineStr">
        <is>
          <t>Föryngringsavverkning</t>
        </is>
      </c>
      <c r="D71" s="1" t="n">
        <v>45084</v>
      </c>
      <c r="E71" s="1" t="n">
        <v>46298</v>
      </c>
      <c r="F71" t="inlineStr">
        <is>
          <t>STOCKHOLMS LÄN</t>
        </is>
      </c>
      <c r="G71" t="inlineStr">
        <is>
          <t>VALLENTUNA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4804-2024</t>
        </is>
      </c>
      <c r="B72" t="inlineStr">
        <is>
          <t>avverkningsanmälan</t>
        </is>
      </c>
      <c r="C72" t="inlineStr">
        <is>
          <t>Avverkning för annat ändamål</t>
        </is>
      </c>
      <c r="D72" s="1" t="n">
        <v>45328</v>
      </c>
      <c r="E72" s="1" t="n">
        <v>46298</v>
      </c>
      <c r="F72" t="inlineStr">
        <is>
          <t>STOCKHOLMS LÄN</t>
        </is>
      </c>
      <c r="G72" t="inlineStr">
        <is>
          <t>VALLENTUNA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28431-2025</t>
        </is>
      </c>
      <c r="B73" t="inlineStr">
        <is>
          <t>avverkningsanmälan</t>
        </is>
      </c>
      <c r="C73" t="inlineStr">
        <is>
          <t>Föryngringsavverkning</t>
        </is>
      </c>
      <c r="D73" s="1" t="n">
        <v>45819</v>
      </c>
      <c r="E73" s="1" t="n">
        <v>46298</v>
      </c>
      <c r="F73" t="inlineStr">
        <is>
          <t>STOCKHOLMS LÄN</t>
        </is>
      </c>
      <c r="G73" t="inlineStr">
        <is>
          <t>VALLENTUNA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46298</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60795-2023</t>
        </is>
      </c>
      <c r="B75" t="inlineStr">
        <is>
          <t>avverkningsanmälan</t>
        </is>
      </c>
      <c r="C75" t="inlineStr">
        <is>
          <t>Avverkning för annat ändamål</t>
        </is>
      </c>
      <c r="D75" s="1" t="n">
        <v>45260</v>
      </c>
      <c r="E75" s="1" t="n">
        <v>46298</v>
      </c>
      <c r="F75" t="inlineStr">
        <is>
          <t>STOCKHOLMS LÄN</t>
        </is>
      </c>
      <c r="G75" t="inlineStr">
        <is>
          <t>VALLENTUNA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14775-2024</t>
        </is>
      </c>
      <c r="B76" t="inlineStr">
        <is>
          <t>avverkningsanmälan</t>
        </is>
      </c>
      <c r="C76" t="inlineStr">
        <is>
          <t>Föryngringsavverkning</t>
        </is>
      </c>
      <c r="D76" s="1" t="n">
        <v>45397</v>
      </c>
      <c r="E76" s="1" t="n">
        <v>46298</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8787-2024</t>
        </is>
      </c>
      <c r="B77" t="inlineStr">
        <is>
          <t>avverkningsanmälan</t>
        </is>
      </c>
      <c r="C77" t="inlineStr">
        <is>
          <t>Avverkning för annat ändamål</t>
        </is>
      </c>
      <c r="D77" s="1" t="n">
        <v>45356</v>
      </c>
      <c r="E77" s="1" t="n">
        <v>46298</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14782-2024</t>
        </is>
      </c>
      <c r="B78" t="inlineStr">
        <is>
          <t>avverkningsanmälan</t>
        </is>
      </c>
      <c r="C78" t="inlineStr">
        <is>
          <t>Avverkning för att bevara och utveckla /försöksver</t>
        </is>
      </c>
      <c r="D78" s="1" t="n">
        <v>45397</v>
      </c>
      <c r="E78" s="1" t="n">
        <v>46298</v>
      </c>
      <c r="F78" t="inlineStr">
        <is>
          <t>STOCKHOLMS LÄN</t>
        </is>
      </c>
      <c r="G78" t="inlineStr">
        <is>
          <t>VALLENTUNA</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52562-2023</t>
        </is>
      </c>
      <c r="B79" t="inlineStr">
        <is>
          <t>avverkningsanmälan</t>
        </is>
      </c>
      <c r="C79" t="inlineStr">
        <is>
          <t>Föryngringsavverkning</t>
        </is>
      </c>
      <c r="D79" s="1" t="n">
        <v>45225</v>
      </c>
      <c r="E79" s="1" t="n">
        <v>46298</v>
      </c>
      <c r="F79" t="inlineStr">
        <is>
          <t>STOCKHOLMS LÄN</t>
        </is>
      </c>
      <c r="G79" t="inlineStr">
        <is>
          <t>VALLENTUNA</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49530-2023</t>
        </is>
      </c>
      <c r="B80" t="inlineStr">
        <is>
          <t>avverkningsanmälan</t>
        </is>
      </c>
      <c r="C80" t="inlineStr">
        <is>
          <t>Föryngringsavverkning</t>
        </is>
      </c>
      <c r="D80" s="1" t="n">
        <v>45205</v>
      </c>
      <c r="E80" s="1" t="n">
        <v>46298</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46298</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2318-2024</t>
        </is>
      </c>
      <c r="B82" t="inlineStr">
        <is>
          <t>avverkningsanmälan</t>
        </is>
      </c>
      <c r="C82" t="inlineStr">
        <is>
          <t>Föryngringsavverkning</t>
        </is>
      </c>
      <c r="D82" s="1" t="n">
        <v>45310</v>
      </c>
      <c r="E82" s="1" t="n">
        <v>46298</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21445-2023</t>
        </is>
      </c>
      <c r="B83" t="inlineStr">
        <is>
          <t>avverkningsanmälan</t>
        </is>
      </c>
      <c r="C83" t="inlineStr">
        <is>
          <t>Föryngringsavverkning</t>
        </is>
      </c>
      <c r="D83" s="1" t="n">
        <v>45063</v>
      </c>
      <c r="E83" s="1" t="n">
        <v>46298</v>
      </c>
      <c r="F83" t="inlineStr">
        <is>
          <t>STOCKHOLMS LÄN</t>
        </is>
      </c>
      <c r="G83" t="inlineStr">
        <is>
          <t>VALLENTUNA</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34441-2023</t>
        </is>
      </c>
      <c r="B84" t="inlineStr">
        <is>
          <t>avverkningsanmälan</t>
        </is>
      </c>
      <c r="C84" t="inlineStr">
        <is>
          <t>Föryngringsavverkning</t>
        </is>
      </c>
      <c r="D84" s="1" t="n">
        <v>45139</v>
      </c>
      <c r="E84" s="1" t="n">
        <v>46298</v>
      </c>
      <c r="F84" t="inlineStr">
        <is>
          <t>STOCKHOLMS LÄN</t>
        </is>
      </c>
      <c r="G84" t="inlineStr">
        <is>
          <t>VALLENTUNA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34445-2023</t>
        </is>
      </c>
      <c r="B85" t="inlineStr">
        <is>
          <t>avverkningsanmälan</t>
        </is>
      </c>
      <c r="C85" t="inlineStr">
        <is>
          <t>Föryngringsavverkning</t>
        </is>
      </c>
      <c r="D85" s="1" t="n">
        <v>45139</v>
      </c>
      <c r="E85" s="1" t="n">
        <v>46298</v>
      </c>
      <c r="F85" t="inlineStr">
        <is>
          <t>STOCKHOLMS LÄN</t>
        </is>
      </c>
      <c r="G85" t="inlineStr">
        <is>
          <t>VALLENTUNA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12585-2023</t>
        </is>
      </c>
      <c r="B86" t="inlineStr">
        <is>
          <t>avverkningsanmälan</t>
        </is>
      </c>
      <c r="C86" t="inlineStr">
        <is>
          <t>Föryngringsavverkning</t>
        </is>
      </c>
      <c r="D86" s="1" t="n">
        <v>45000</v>
      </c>
      <c r="E86" s="1" t="n">
        <v>46298</v>
      </c>
      <c r="F86" t="inlineStr">
        <is>
          <t>STOCKHOLMS LÄN</t>
        </is>
      </c>
      <c r="G86" t="inlineStr">
        <is>
          <t>VALLENTUNA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24740-2026</t>
        </is>
      </c>
      <c r="B87" t="inlineStr">
        <is>
          <t>avverkningsanmälan</t>
        </is>
      </c>
      <c r="C87" t="inlineStr">
        <is>
          <t>Föryngringsavverkning</t>
        </is>
      </c>
      <c r="D87" s="1" t="n">
        <v>46171</v>
      </c>
      <c r="E87" s="1" t="n">
        <v>46298</v>
      </c>
      <c r="F87" t="inlineStr">
        <is>
          <t>STOCKHOLMS LÄN</t>
        </is>
      </c>
      <c r="G87" t="inlineStr">
        <is>
          <t>VALLENTUNA</t>
        </is>
      </c>
      <c r="H87" t="inlineStr">
        <is>
          <t>Övriga Aktiebolag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25740-2026</t>
        </is>
      </c>
      <c r="B88" t="inlineStr">
        <is>
          <t>avverkningsanmälan</t>
        </is>
      </c>
      <c r="C88" t="inlineStr">
        <is>
          <t>Föryngringsavverkning</t>
        </is>
      </c>
      <c r="D88" s="1" t="n">
        <v>46178</v>
      </c>
      <c r="E88" s="1" t="n">
        <v>46298</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8077-2022</t>
        </is>
      </c>
      <c r="B89" t="inlineStr">
        <is>
          <t>avverkningsanmälan</t>
        </is>
      </c>
      <c r="C89" t="inlineStr">
        <is>
          <t>Föryngringsavverkning</t>
        </is>
      </c>
      <c r="D89" s="1" t="n">
        <v>44609</v>
      </c>
      <c r="E89" s="1" t="n">
        <v>46298</v>
      </c>
      <c r="F89" t="inlineStr">
        <is>
          <t>STOCKHOLMS LÄN</t>
        </is>
      </c>
      <c r="G89" t="inlineStr">
        <is>
          <t>VALLENTUNA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25752-2026</t>
        </is>
      </c>
      <c r="B90" t="inlineStr">
        <is>
          <t>avverkningsanmälan</t>
        </is>
      </c>
      <c r="C90" t="inlineStr">
        <is>
          <t>Föryngringsavverkning</t>
        </is>
      </c>
      <c r="D90" s="1" t="n">
        <v>46178</v>
      </c>
      <c r="E90" s="1" t="n">
        <v>46298</v>
      </c>
      <c r="F90" t="inlineStr">
        <is>
          <t>STOCKHOLMS LÄN</t>
        </is>
      </c>
      <c r="G90" t="inlineStr">
        <is>
          <t>VALLENTUNA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47140-2024</t>
        </is>
      </c>
      <c r="B91" t="inlineStr">
        <is>
          <t>avverkningsanmälan</t>
        </is>
      </c>
      <c r="C91" t="inlineStr">
        <is>
          <t>Föryngringsavverkning</t>
        </is>
      </c>
      <c r="D91" s="1" t="n">
        <v>45586</v>
      </c>
      <c r="E91" s="1" t="n">
        <v>46298</v>
      </c>
      <c r="F91" t="inlineStr">
        <is>
          <t>STOCKHOLMS LÄN</t>
        </is>
      </c>
      <c r="G91" t="inlineStr">
        <is>
          <t>VALLENTUNA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12819-2026</t>
        </is>
      </c>
      <c r="B92" t="inlineStr">
        <is>
          <t>avverkningsanmälan</t>
        </is>
      </c>
      <c r="C92" t="inlineStr">
        <is>
          <t>Föryngringsavverkning</t>
        </is>
      </c>
      <c r="D92" s="1" t="n">
        <v>46092</v>
      </c>
      <c r="E92" s="1" t="n">
        <v>46298</v>
      </c>
      <c r="F92" t="inlineStr">
        <is>
          <t>STOCKHOLMS LÄN</t>
        </is>
      </c>
      <c r="G92" t="inlineStr">
        <is>
          <t>VALLENTUNA</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21765-2023</t>
        </is>
      </c>
      <c r="B93" t="inlineStr">
        <is>
          <t>avverkningsanmälan</t>
        </is>
      </c>
      <c r="C93" t="inlineStr">
        <is>
          <t>Föryngringsavverkning</t>
        </is>
      </c>
      <c r="D93" s="1" t="n">
        <v>45064</v>
      </c>
      <c r="E93" s="1" t="n">
        <v>46298</v>
      </c>
      <c r="F93" t="inlineStr">
        <is>
          <t>STOCKHOLMS LÄN</t>
        </is>
      </c>
      <c r="G93" t="inlineStr">
        <is>
          <t>VALLENTUNA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46298</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23986-2023</t>
        </is>
      </c>
      <c r="B95" t="inlineStr">
        <is>
          <t>avverkningsanmälan</t>
        </is>
      </c>
      <c r="C95" t="inlineStr">
        <is>
          <t>Föryngringsavverkning</t>
        </is>
      </c>
      <c r="D95" s="1" t="n">
        <v>45078</v>
      </c>
      <c r="E95" s="1" t="n">
        <v>46298</v>
      </c>
      <c r="F95" t="inlineStr">
        <is>
          <t>STOCKHOLMS LÄN</t>
        </is>
      </c>
      <c r="G95" t="inlineStr">
        <is>
          <t>VALLENTUNA</t>
        </is>
      </c>
      <c r="H95" t="inlineStr">
        <is>
          <t>Kyrkan</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34720-2026</t>
        </is>
      </c>
      <c r="B96" t="inlineStr">
        <is>
          <t>avverkningsanmälan</t>
        </is>
      </c>
      <c r="C96" t="inlineStr">
        <is>
          <t>Föryngringsavverkning</t>
        </is>
      </c>
      <c r="D96" s="1" t="n">
        <v>46258</v>
      </c>
      <c r="E96" s="1" t="n">
        <v>46298</v>
      </c>
      <c r="F96" t="inlineStr">
        <is>
          <t>STOCKHOLMS LÄN</t>
        </is>
      </c>
      <c r="G96" t="inlineStr">
        <is>
          <t>VALLENTUNA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34736-2026</t>
        </is>
      </c>
      <c r="B97" t="inlineStr">
        <is>
          <t>avverkningsanmälan</t>
        </is>
      </c>
      <c r="C97" t="inlineStr">
        <is>
          <t>Föryngringsavverkning</t>
        </is>
      </c>
      <c r="D97" s="1" t="n">
        <v>46258</v>
      </c>
      <c r="E97" s="1" t="n">
        <v>46298</v>
      </c>
      <c r="F97" t="inlineStr">
        <is>
          <t>STOCKHOLMS LÄN</t>
        </is>
      </c>
      <c r="G97" t="inlineStr">
        <is>
          <t>VALLENTUNA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34750-2026</t>
        </is>
      </c>
      <c r="B98" t="inlineStr">
        <is>
          <t>avverkningsanmälan</t>
        </is>
      </c>
      <c r="C98" t="inlineStr">
        <is>
          <t>Föryngringsavverkning</t>
        </is>
      </c>
      <c r="D98" s="1" t="n">
        <v>46258</v>
      </c>
      <c r="E98" s="1" t="n">
        <v>46298</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3937-2022</t>
        </is>
      </c>
      <c r="B99" t="inlineStr">
        <is>
          <t>avverkningsanmälan</t>
        </is>
      </c>
      <c r="C99" t="inlineStr">
        <is>
          <t>Föryngringsavverkning</t>
        </is>
      </c>
      <c r="D99" s="1" t="n">
        <v>44587</v>
      </c>
      <c r="E99" s="1" t="n">
        <v>46298</v>
      </c>
      <c r="F99" t="inlineStr">
        <is>
          <t>STOCKHOLMS LÄN</t>
        </is>
      </c>
      <c r="G99" t="inlineStr">
        <is>
          <t>VALLENTUNA</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23013-2024</t>
        </is>
      </c>
      <c r="B100" t="inlineStr">
        <is>
          <t>avverkningsanmälan</t>
        </is>
      </c>
      <c r="C100" t="inlineStr">
        <is>
          <t>Föryngringsavverkning</t>
        </is>
      </c>
      <c r="D100" s="1" t="n">
        <v>45450</v>
      </c>
      <c r="E100" s="1" t="n">
        <v>46298</v>
      </c>
      <c r="F100" t="inlineStr">
        <is>
          <t>STOCKHOLMS LÄN</t>
        </is>
      </c>
      <c r="G100" t="inlineStr">
        <is>
          <t>VALLENTUNA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3078-2023</t>
        </is>
      </c>
      <c r="B101" t="inlineStr">
        <is>
          <t>avverkningsanmälan</t>
        </is>
      </c>
      <c r="C101" t="inlineStr">
        <is>
          <t>Föryngringsavverkning</t>
        </is>
      </c>
      <c r="D101" s="1" t="n">
        <v>44946</v>
      </c>
      <c r="E101" s="1" t="n">
        <v>46298</v>
      </c>
      <c r="F101" t="inlineStr">
        <is>
          <t>STOCKHOLMS LÄN</t>
        </is>
      </c>
      <c r="G101" t="inlineStr">
        <is>
          <t>VALLENTUNA</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19503-2023</t>
        </is>
      </c>
      <c r="B102" t="inlineStr">
        <is>
          <t>avverkningsanmälan</t>
        </is>
      </c>
      <c r="C102" t="inlineStr">
        <is>
          <t>Föryngringsavverkning</t>
        </is>
      </c>
      <c r="D102" s="1" t="n">
        <v>45050</v>
      </c>
      <c r="E102" s="1" t="n">
        <v>46298</v>
      </c>
      <c r="F102" t="inlineStr">
        <is>
          <t>STOCKHOLMS LÄN</t>
        </is>
      </c>
      <c r="G102" t="inlineStr">
        <is>
          <t>VALLENTUNA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4803-2024</t>
        </is>
      </c>
      <c r="B103" t="inlineStr">
        <is>
          <t>avverkningsanmälan</t>
        </is>
      </c>
      <c r="C103" t="inlineStr">
        <is>
          <t>Avverkning för annat ändamål</t>
        </is>
      </c>
      <c r="D103" s="1" t="n">
        <v>45328</v>
      </c>
      <c r="E103" s="1" t="n">
        <v>46298</v>
      </c>
      <c r="F103" t="inlineStr">
        <is>
          <t>STOCKHOLMS LÄN</t>
        </is>
      </c>
      <c r="G103" t="inlineStr">
        <is>
          <t>VALLENTUNA</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3698-2022</t>
        </is>
      </c>
      <c r="B104" t="inlineStr">
        <is>
          <t>avverkningsanmälan</t>
        </is>
      </c>
      <c r="C104" t="inlineStr">
        <is>
          <t>Föryngringsavverkning</t>
        </is>
      </c>
      <c r="D104" s="1" t="n">
        <v>44586</v>
      </c>
      <c r="E104" s="1" t="n">
        <v>46298</v>
      </c>
      <c r="F104" t="inlineStr">
        <is>
          <t>STOCKHOLMS LÄN</t>
        </is>
      </c>
      <c r="G104" t="inlineStr">
        <is>
          <t>VALLENTUNA</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39163-2026</t>
        </is>
      </c>
      <c r="B105" t="inlineStr">
        <is>
          <t>avverkningsanmälan</t>
        </is>
      </c>
      <c r="C105" t="inlineStr">
        <is>
          <t>Föryngringsavverkning</t>
        </is>
      </c>
      <c r="D105" s="1" t="n">
        <v>46287</v>
      </c>
      <c r="E105" s="1" t="n">
        <v>46298</v>
      </c>
      <c r="F105" t="inlineStr">
        <is>
          <t>STOCKHOLMS LÄN</t>
        </is>
      </c>
      <c r="G105" t="inlineStr">
        <is>
          <t>VALLENTUNA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38102-2024</t>
        </is>
      </c>
      <c r="B106" t="inlineStr">
        <is>
          <t>avverkningsanmälan</t>
        </is>
      </c>
      <c r="C106" t="inlineStr">
        <is>
          <t>Föryngringsavverkning</t>
        </is>
      </c>
      <c r="D106" s="1" t="n">
        <v>45545</v>
      </c>
      <c r="E106" s="1" t="n">
        <v>46298</v>
      </c>
      <c r="F106" t="inlineStr">
        <is>
          <t>STOCKHOLMS LÄN</t>
        </is>
      </c>
      <c r="G106" t="inlineStr">
        <is>
          <t>VALLENTUNA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12234-2022</t>
        </is>
      </c>
      <c r="B107" t="inlineStr">
        <is>
          <t>avverkningsanmälan</t>
        </is>
      </c>
      <c r="C107" t="inlineStr">
        <is>
          <t>Föryngringsavverkning</t>
        </is>
      </c>
      <c r="D107" s="1" t="n">
        <v>44637</v>
      </c>
      <c r="E107" s="1" t="n">
        <v>46298</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24943-2024</t>
        </is>
      </c>
      <c r="B108" t="inlineStr">
        <is>
          <t>avverkningsanmälan</t>
        </is>
      </c>
      <c r="C108" t="inlineStr">
        <is>
          <t>Föryngringsavverkning</t>
        </is>
      </c>
      <c r="D108" s="1" t="n">
        <v>45461</v>
      </c>
      <c r="E108" s="1" t="n">
        <v>46298</v>
      </c>
      <c r="F108" t="inlineStr">
        <is>
          <t>STOCKHOLMS LÄN</t>
        </is>
      </c>
      <c r="G108" t="inlineStr">
        <is>
          <t>VALLENTUNA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40566-2026</t>
        </is>
      </c>
      <c r="B109" t="inlineStr">
        <is>
          <t>avverkningsanmälan</t>
        </is>
      </c>
      <c r="C109" t="inlineStr">
        <is>
          <t>Föryngringsavverkning</t>
        </is>
      </c>
      <c r="D109" s="1" t="n">
        <v>46295</v>
      </c>
      <c r="E109" s="1" t="n">
        <v>46298</v>
      </c>
      <c r="F109" t="inlineStr">
        <is>
          <t>STOCKHOLMS LÄN</t>
        </is>
      </c>
      <c r="G109" t="inlineStr">
        <is>
          <t>VALLENTUNA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22683-2023</t>
        </is>
      </c>
      <c r="B110" t="inlineStr">
        <is>
          <t>avverkningsanmälan</t>
        </is>
      </c>
      <c r="C110" t="inlineStr">
        <is>
          <t>Föryngringsavverkning</t>
        </is>
      </c>
      <c r="D110" s="1" t="n">
        <v>45071</v>
      </c>
      <c r="E110" s="1" t="n">
        <v>46298</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46298</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46298</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60818-2023</t>
        </is>
      </c>
      <c r="B113" t="inlineStr">
        <is>
          <t>avverkningsanmälan</t>
        </is>
      </c>
      <c r="C113" t="inlineStr">
        <is>
          <t>Föryngringsavverkning</t>
        </is>
      </c>
      <c r="D113" s="1" t="n">
        <v>45259</v>
      </c>
      <c r="E113" s="1" t="n">
        <v>46298</v>
      </c>
      <c r="F113" t="inlineStr">
        <is>
          <t>STOCKHOLMS LÄN</t>
        </is>
      </c>
      <c r="G113" t="inlineStr">
        <is>
          <t>VALLENTUNA</t>
        </is>
      </c>
      <c r="I113" t="n">
        <v>9.4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7264-2022</t>
        </is>
      </c>
      <c r="B114" t="inlineStr">
        <is>
          <t>avverkningsanmälan</t>
        </is>
      </c>
      <c r="C114" t="inlineStr">
        <is>
          <t>Föryngringsavverkning</t>
        </is>
      </c>
      <c r="D114" s="1" t="n">
        <v>44606</v>
      </c>
      <c r="E114" s="1" t="n">
        <v>46298</v>
      </c>
      <c r="F114" t="inlineStr">
        <is>
          <t>STOCKHOLMS LÄN</t>
        </is>
      </c>
      <c r="G114" t="inlineStr">
        <is>
          <t>VALLENTUNA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19356-2025</t>
        </is>
      </c>
      <c r="B115" t="inlineStr">
        <is>
          <t>avverkningsanmälan</t>
        </is>
      </c>
      <c r="C115" t="inlineStr">
        <is>
          <t>Föryngringsavverkning</t>
        </is>
      </c>
      <c r="D115" s="1" t="n">
        <v>45769</v>
      </c>
      <c r="E115" s="1" t="n">
        <v>46298</v>
      </c>
      <c r="F115" t="inlineStr">
        <is>
          <t>STOCKHOLMS LÄN</t>
        </is>
      </c>
      <c r="G115" t="inlineStr">
        <is>
          <t>VALLENTUNA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11950-2025</t>
        </is>
      </c>
      <c r="B116" t="inlineStr">
        <is>
          <t>avverkningsanmälan</t>
        </is>
      </c>
      <c r="C116" t="inlineStr">
        <is>
          <t>Föryngringsavverkning</t>
        </is>
      </c>
      <c r="D116" s="1" t="n">
        <v>45728</v>
      </c>
      <c r="E116" s="1" t="n">
        <v>46298</v>
      </c>
      <c r="F116" t="inlineStr">
        <is>
          <t>STOCKHOLMS LÄN</t>
        </is>
      </c>
      <c r="G116" t="inlineStr">
        <is>
          <t>VALLENTUNA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14489-2024</t>
        </is>
      </c>
      <c r="B117" t="inlineStr">
        <is>
          <t>avverkningsanmälan</t>
        </is>
      </c>
      <c r="C117" t="inlineStr">
        <is>
          <t>Föryngringsavverkning</t>
        </is>
      </c>
      <c r="D117" s="1" t="n">
        <v>45394</v>
      </c>
      <c r="E117" s="1" t="n">
        <v>46298</v>
      </c>
      <c r="F117" t="inlineStr">
        <is>
          <t>STOCKHOLMS LÄN</t>
        </is>
      </c>
      <c r="G117" t="inlineStr">
        <is>
          <t>VALLENTUNA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45499-2023</t>
        </is>
      </c>
      <c r="B118" t="inlineStr">
        <is>
          <t>avverkningsanmälan</t>
        </is>
      </c>
      <c r="C118" t="inlineStr">
        <is>
          <t>Föryngringsavverkning</t>
        </is>
      </c>
      <c r="D118" s="1" t="n">
        <v>45194</v>
      </c>
      <c r="E118" s="1" t="n">
        <v>46298</v>
      </c>
      <c r="F118" t="inlineStr">
        <is>
          <t>STOCKHOLMS LÄN</t>
        </is>
      </c>
      <c r="G118" t="inlineStr">
        <is>
          <t>VALLENTUNA</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10073-2024</t>
        </is>
      </c>
      <c r="B119" t="inlineStr">
        <is>
          <t>avverkningsanmälan</t>
        </is>
      </c>
      <c r="C119" t="inlineStr">
        <is>
          <t>Föryngringsavverkning</t>
        </is>
      </c>
      <c r="D119" s="1" t="n">
        <v>45364</v>
      </c>
      <c r="E119" s="1" t="n">
        <v>46298</v>
      </c>
      <c r="F119" t="inlineStr">
        <is>
          <t>STOCKHOLMS LÄN</t>
        </is>
      </c>
      <c r="G119" t="inlineStr">
        <is>
          <t>VALLENTUNA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12621-2024</t>
        </is>
      </c>
      <c r="B120" t="inlineStr">
        <is>
          <t>avverkningsanmälan</t>
        </is>
      </c>
      <c r="C120" t="inlineStr">
        <is>
          <t>Föryngringsavverkning</t>
        </is>
      </c>
      <c r="D120" s="1" t="n">
        <v>45383</v>
      </c>
      <c r="E120" s="1" t="n">
        <v>46298</v>
      </c>
      <c r="F120" t="inlineStr">
        <is>
          <t>STOCKHOLMS LÄN</t>
        </is>
      </c>
      <c r="G120" t="inlineStr">
        <is>
          <t>VALLENTUNA</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46298</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46298</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2026-10-03T02:02:01Z</dcterms:created>
  <dcterms:modified xmlns:dcterms="http://purl.org/dc/terms/" xmlns:xsi="http://www.w3.org/2001/XMLSchema-instance" xsi:type="dcterms:W3CDTF">2026-10-03T02:02:01Z</dcterms:modified>
</cp:coreProperties>
</file>