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45965</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45965</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45965</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45965</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45965</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45965</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45965</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45965</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45965</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45965</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45965</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45965</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8817-2025</t>
        </is>
      </c>
      <c r="B25" s="1" t="n">
        <v>45712.70987268518</v>
      </c>
      <c r="C25" s="1" t="n">
        <v>45965</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45965</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45965</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34460-2023</t>
        </is>
      </c>
      <c r="B28" s="1" t="n">
        <v>45139</v>
      </c>
      <c r="C28" s="1" t="n">
        <v>45965</v>
      </c>
      <c r="D28" t="inlineStr">
        <is>
          <t>STOCKHOLMS LÄN</t>
        </is>
      </c>
      <c r="E28" t="inlineStr">
        <is>
          <t>VALLENTUNA</t>
        </is>
      </c>
      <c r="G28" t="n">
        <v>1.7</v>
      </c>
      <c r="H28" t="n">
        <v>0</v>
      </c>
      <c r="I28" t="n">
        <v>0</v>
      </c>
      <c r="J28" t="n">
        <v>1</v>
      </c>
      <c r="K28" t="n">
        <v>0</v>
      </c>
      <c r="L28" t="n">
        <v>0</v>
      </c>
      <c r="M28" t="n">
        <v>0</v>
      </c>
      <c r="N28" t="n">
        <v>0</v>
      </c>
      <c r="O28" t="n">
        <v>1</v>
      </c>
      <c r="P28" t="n">
        <v>0</v>
      </c>
      <c r="Q28" t="n">
        <v>1</v>
      </c>
      <c r="R28" s="2" t="inlineStr">
        <is>
          <t>Orange taggsvamp</t>
        </is>
      </c>
      <c r="S28">
        <f>HYPERLINK("https://klasma.github.io/Logging_0115/artfynd/A 34460-2023 artfynd.xlsx", "A 34460-2023")</f>
        <v/>
      </c>
      <c r="T28">
        <f>HYPERLINK("https://klasma.github.io/Logging_0115/kartor/A 34460-2023 karta.png", "A 34460-2023")</f>
        <v/>
      </c>
      <c r="V28">
        <f>HYPERLINK("https://klasma.github.io/Logging_0115/klagomål/A 34460-2023 FSC-klagomål.docx", "A 34460-2023")</f>
        <v/>
      </c>
      <c r="W28">
        <f>HYPERLINK("https://klasma.github.io/Logging_0115/klagomålsmail/A 34460-2023 FSC-klagomål mail.docx", "A 34460-2023")</f>
        <v/>
      </c>
      <c r="X28">
        <f>HYPERLINK("https://klasma.github.io/Logging_0115/tillsyn/A 34460-2023 tillsynsbegäran.docx", "A 34460-2023")</f>
        <v/>
      </c>
      <c r="Y28">
        <f>HYPERLINK("https://klasma.github.io/Logging_0115/tillsynsmail/A 34460-2023 tillsynsbegäran mail.docx", "A 34460-2023")</f>
        <v/>
      </c>
    </row>
    <row r="29" ht="15" customHeight="1">
      <c r="A29" t="inlineStr">
        <is>
          <t>A 22830-2024</t>
        </is>
      </c>
      <c r="B29" s="1" t="n">
        <v>45448.56583333333</v>
      </c>
      <c r="C29" s="1" t="n">
        <v>45965</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21439-2025</t>
        </is>
      </c>
      <c r="B30" s="1" t="n">
        <v>45782.52939814814</v>
      </c>
      <c r="C30" s="1" t="n">
        <v>45965</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21-2022</t>
        </is>
      </c>
      <c r="B31" s="1" t="n">
        <v>44560</v>
      </c>
      <c r="C31" s="1" t="n">
        <v>45965</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22936-2025</t>
        </is>
      </c>
      <c r="B32" s="1" t="n">
        <v>45790.45738425926</v>
      </c>
      <c r="C32" s="1" t="n">
        <v>45965</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7890-2023</t>
        </is>
      </c>
      <c r="B33" s="1" t="n">
        <v>44973</v>
      </c>
      <c r="C33" s="1" t="n">
        <v>45965</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17341-2025</t>
        </is>
      </c>
      <c r="B34" s="1" t="n">
        <v>45756</v>
      </c>
      <c r="C34" s="1" t="n">
        <v>45965</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34458-2023</t>
        </is>
      </c>
      <c r="B35" s="1" t="n">
        <v>45139</v>
      </c>
      <c r="C35" s="1" t="n">
        <v>45965</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20612-2021</t>
        </is>
      </c>
      <c r="B36" s="1" t="n">
        <v>44315</v>
      </c>
      <c r="C36" s="1" t="n">
        <v>45965</v>
      </c>
      <c r="D36" t="inlineStr">
        <is>
          <t>STOCKHOLMS LÄN</t>
        </is>
      </c>
      <c r="E36" t="inlineStr">
        <is>
          <t>VALLENTUNA</t>
        </is>
      </c>
      <c r="F36" t="inlineStr">
        <is>
          <t>Övriga Aktiebolag</t>
        </is>
      </c>
      <c r="G36" t="n">
        <v>1.2</v>
      </c>
      <c r="H36" t="n">
        <v>0</v>
      </c>
      <c r="I36" t="n">
        <v>0</v>
      </c>
      <c r="J36" t="n">
        <v>0</v>
      </c>
      <c r="K36" t="n">
        <v>0</v>
      </c>
      <c r="L36" t="n">
        <v>0</v>
      </c>
      <c r="M36" t="n">
        <v>0</v>
      </c>
      <c r="N36" t="n">
        <v>0</v>
      </c>
      <c r="O36" t="n">
        <v>0</v>
      </c>
      <c r="P36" t="n">
        <v>0</v>
      </c>
      <c r="Q36" t="n">
        <v>0</v>
      </c>
      <c r="R36" s="2" t="inlineStr"/>
    </row>
    <row r="37" ht="15" customHeight="1">
      <c r="A37" t="inlineStr">
        <is>
          <t>A 8089-2022</t>
        </is>
      </c>
      <c r="B37" s="1" t="n">
        <v>44609.53716435185</v>
      </c>
      <c r="C37" s="1" t="n">
        <v>45965</v>
      </c>
      <c r="D37" t="inlineStr">
        <is>
          <t>STOCKHOLMS LÄN</t>
        </is>
      </c>
      <c r="E37" t="inlineStr">
        <is>
          <t>VALLENTUNA</t>
        </is>
      </c>
      <c r="G37" t="n">
        <v>3.3</v>
      </c>
      <c r="H37" t="n">
        <v>0</v>
      </c>
      <c r="I37" t="n">
        <v>0</v>
      </c>
      <c r="J37" t="n">
        <v>0</v>
      </c>
      <c r="K37" t="n">
        <v>0</v>
      </c>
      <c r="L37" t="n">
        <v>0</v>
      </c>
      <c r="M37" t="n">
        <v>0</v>
      </c>
      <c r="N37" t="n">
        <v>0</v>
      </c>
      <c r="O37" t="n">
        <v>0</v>
      </c>
      <c r="P37" t="n">
        <v>0</v>
      </c>
      <c r="Q37" t="n">
        <v>0</v>
      </c>
      <c r="R37" s="2" t="inlineStr"/>
    </row>
    <row r="38" ht="15" customHeight="1">
      <c r="A38" t="inlineStr">
        <is>
          <t>A 8791-2021</t>
        </is>
      </c>
      <c r="B38" s="1" t="n">
        <v>44246</v>
      </c>
      <c r="C38" s="1" t="n">
        <v>45965</v>
      </c>
      <c r="D38" t="inlineStr">
        <is>
          <t>STOCKHOLMS LÄN</t>
        </is>
      </c>
      <c r="E38" t="inlineStr">
        <is>
          <t>VALLENTUNA</t>
        </is>
      </c>
      <c r="G38" t="n">
        <v>0.8</v>
      </c>
      <c r="H38" t="n">
        <v>0</v>
      </c>
      <c r="I38" t="n">
        <v>0</v>
      </c>
      <c r="J38" t="n">
        <v>0</v>
      </c>
      <c r="K38" t="n">
        <v>0</v>
      </c>
      <c r="L38" t="n">
        <v>0</v>
      </c>
      <c r="M38" t="n">
        <v>0</v>
      </c>
      <c r="N38" t="n">
        <v>0</v>
      </c>
      <c r="O38" t="n">
        <v>0</v>
      </c>
      <c r="P38" t="n">
        <v>0</v>
      </c>
      <c r="Q38" t="n">
        <v>0</v>
      </c>
      <c r="R38" s="2" t="inlineStr"/>
    </row>
    <row r="39" ht="15" customHeight="1">
      <c r="A39" t="inlineStr">
        <is>
          <t>A 9442-2022</t>
        </is>
      </c>
      <c r="B39" s="1" t="n">
        <v>44616</v>
      </c>
      <c r="C39" s="1" t="n">
        <v>45965</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14434-2021</t>
        </is>
      </c>
      <c r="B40" s="1" t="n">
        <v>44279</v>
      </c>
      <c r="C40" s="1" t="n">
        <v>45965</v>
      </c>
      <c r="D40" t="inlineStr">
        <is>
          <t>STOCKHOLMS LÄN</t>
        </is>
      </c>
      <c r="E40" t="inlineStr">
        <is>
          <t>VALLENTUNA</t>
        </is>
      </c>
      <c r="G40" t="n">
        <v>2</v>
      </c>
      <c r="H40" t="n">
        <v>0</v>
      </c>
      <c r="I40" t="n">
        <v>0</v>
      </c>
      <c r="J40" t="n">
        <v>0</v>
      </c>
      <c r="K40" t="n">
        <v>0</v>
      </c>
      <c r="L40" t="n">
        <v>0</v>
      </c>
      <c r="M40" t="n">
        <v>0</v>
      </c>
      <c r="N40" t="n">
        <v>0</v>
      </c>
      <c r="O40" t="n">
        <v>0</v>
      </c>
      <c r="P40" t="n">
        <v>0</v>
      </c>
      <c r="Q40" t="n">
        <v>0</v>
      </c>
      <c r="R40" s="2" t="inlineStr"/>
    </row>
    <row r="41" ht="15" customHeight="1">
      <c r="A41" t="inlineStr">
        <is>
          <t>A 65804-2020</t>
        </is>
      </c>
      <c r="B41" s="1" t="n">
        <v>44172</v>
      </c>
      <c r="C41" s="1" t="n">
        <v>45965</v>
      </c>
      <c r="D41" t="inlineStr">
        <is>
          <t>STOCKHOLMS LÄN</t>
        </is>
      </c>
      <c r="E41" t="inlineStr">
        <is>
          <t>VALLENTUNA</t>
        </is>
      </c>
      <c r="G41" t="n">
        <v>2.9</v>
      </c>
      <c r="H41" t="n">
        <v>0</v>
      </c>
      <c r="I41" t="n">
        <v>0</v>
      </c>
      <c r="J41" t="n">
        <v>0</v>
      </c>
      <c r="K41" t="n">
        <v>0</v>
      </c>
      <c r="L41" t="n">
        <v>0</v>
      </c>
      <c r="M41" t="n">
        <v>0</v>
      </c>
      <c r="N41" t="n">
        <v>0</v>
      </c>
      <c r="O41" t="n">
        <v>0</v>
      </c>
      <c r="P41" t="n">
        <v>0</v>
      </c>
      <c r="Q41" t="n">
        <v>0</v>
      </c>
      <c r="R41" s="2" t="inlineStr"/>
    </row>
    <row r="42" ht="15" customHeight="1">
      <c r="A42" t="inlineStr">
        <is>
          <t>A 178-2022</t>
        </is>
      </c>
      <c r="B42" s="1" t="n">
        <v>44560</v>
      </c>
      <c r="C42" s="1" t="n">
        <v>45965</v>
      </c>
      <c r="D42" t="inlineStr">
        <is>
          <t>STOCKHOLMS LÄN</t>
        </is>
      </c>
      <c r="E42" t="inlineStr">
        <is>
          <t>VALLENTUNA</t>
        </is>
      </c>
      <c r="F42" t="inlineStr">
        <is>
          <t>Övriga Aktiebolag</t>
        </is>
      </c>
      <c r="G42" t="n">
        <v>1.5</v>
      </c>
      <c r="H42" t="n">
        <v>0</v>
      </c>
      <c r="I42" t="n">
        <v>0</v>
      </c>
      <c r="J42" t="n">
        <v>0</v>
      </c>
      <c r="K42" t="n">
        <v>0</v>
      </c>
      <c r="L42" t="n">
        <v>0</v>
      </c>
      <c r="M42" t="n">
        <v>0</v>
      </c>
      <c r="N42" t="n">
        <v>0</v>
      </c>
      <c r="O42" t="n">
        <v>0</v>
      </c>
      <c r="P42" t="n">
        <v>0</v>
      </c>
      <c r="Q42" t="n">
        <v>0</v>
      </c>
      <c r="R42" s="2" t="inlineStr"/>
    </row>
    <row r="43" ht="15" customHeight="1">
      <c r="A43" t="inlineStr">
        <is>
          <t>A 22060-2021</t>
        </is>
      </c>
      <c r="B43" s="1" t="n">
        <v>44323</v>
      </c>
      <c r="C43" s="1" t="n">
        <v>45965</v>
      </c>
      <c r="D43" t="inlineStr">
        <is>
          <t>STOCKHOLMS LÄN</t>
        </is>
      </c>
      <c r="E43" t="inlineStr">
        <is>
          <t>VALLENTUNA</t>
        </is>
      </c>
      <c r="G43" t="n">
        <v>3</v>
      </c>
      <c r="H43" t="n">
        <v>0</v>
      </c>
      <c r="I43" t="n">
        <v>0</v>
      </c>
      <c r="J43" t="n">
        <v>0</v>
      </c>
      <c r="K43" t="n">
        <v>0</v>
      </c>
      <c r="L43" t="n">
        <v>0</v>
      </c>
      <c r="M43" t="n">
        <v>0</v>
      </c>
      <c r="N43" t="n">
        <v>0</v>
      </c>
      <c r="O43" t="n">
        <v>0</v>
      </c>
      <c r="P43" t="n">
        <v>0</v>
      </c>
      <c r="Q43" t="n">
        <v>0</v>
      </c>
      <c r="R43" s="2" t="inlineStr"/>
    </row>
    <row r="44" ht="15" customHeight="1">
      <c r="A44" t="inlineStr">
        <is>
          <t>A 242-2022</t>
        </is>
      </c>
      <c r="B44" s="1" t="n">
        <v>44560</v>
      </c>
      <c r="C44" s="1" t="n">
        <v>45965</v>
      </c>
      <c r="D44" t="inlineStr">
        <is>
          <t>STOCKHOLMS LÄN</t>
        </is>
      </c>
      <c r="E44" t="inlineStr">
        <is>
          <t>VALLENTUNA</t>
        </is>
      </c>
      <c r="F44" t="inlineStr">
        <is>
          <t>Övriga Aktiebolag</t>
        </is>
      </c>
      <c r="G44" t="n">
        <v>1</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45965</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37657-2021</t>
        </is>
      </c>
      <c r="B46" s="1" t="n">
        <v>44400</v>
      </c>
      <c r="C46" s="1" t="n">
        <v>45965</v>
      </c>
      <c r="D46" t="inlineStr">
        <is>
          <t>STOCKHOLMS LÄN</t>
        </is>
      </c>
      <c r="E46" t="inlineStr">
        <is>
          <t>VALLENTUNA</t>
        </is>
      </c>
      <c r="G46" t="n">
        <v>2.9</v>
      </c>
      <c r="H46" t="n">
        <v>0</v>
      </c>
      <c r="I46" t="n">
        <v>0</v>
      </c>
      <c r="J46" t="n">
        <v>0</v>
      </c>
      <c r="K46" t="n">
        <v>0</v>
      </c>
      <c r="L46" t="n">
        <v>0</v>
      </c>
      <c r="M46" t="n">
        <v>0</v>
      </c>
      <c r="N46" t="n">
        <v>0</v>
      </c>
      <c r="O46" t="n">
        <v>0</v>
      </c>
      <c r="P46" t="n">
        <v>0</v>
      </c>
      <c r="Q46" t="n">
        <v>0</v>
      </c>
      <c r="R46" s="2" t="inlineStr"/>
    </row>
    <row r="47" ht="15" customHeight="1">
      <c r="A47" t="inlineStr">
        <is>
          <t>A 14725-2022</t>
        </is>
      </c>
      <c r="B47" s="1" t="n">
        <v>44655</v>
      </c>
      <c r="C47" s="1" t="n">
        <v>45965</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45965</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45965</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48078-2021</t>
        </is>
      </c>
      <c r="B50" s="1" t="n">
        <v>44449.42578703703</v>
      </c>
      <c r="C50" s="1" t="n">
        <v>45965</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45965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45965</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45965</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45965</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45965</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45965</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19503-2023</t>
        </is>
      </c>
      <c r="B57" s="1" t="n">
        <v>45050.47333333334</v>
      </c>
      <c r="C57" s="1" t="n">
        <v>45965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45965</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45965</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45965</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21612-2021</t>
        </is>
      </c>
      <c r="B61" s="1" t="n">
        <v>44321</v>
      </c>
      <c r="C61" s="1" t="n">
        <v>45965</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34441-2023</t>
        </is>
      </c>
      <c r="B62" s="1" t="n">
        <v>45139</v>
      </c>
      <c r="C62" s="1" t="n">
        <v>45965</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34445-2023</t>
        </is>
      </c>
      <c r="B63" s="1" t="n">
        <v>45139</v>
      </c>
      <c r="C63" s="1" t="n">
        <v>45965</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21445-2023</t>
        </is>
      </c>
      <c r="B64" s="1" t="n">
        <v>45063</v>
      </c>
      <c r="C64" s="1" t="n">
        <v>45965</v>
      </c>
      <c r="D64" t="inlineStr">
        <is>
          <t>STOCKHOLMS LÄN</t>
        </is>
      </c>
      <c r="E64" t="inlineStr">
        <is>
          <t>VALLENTUNA</t>
        </is>
      </c>
      <c r="G64" t="n">
        <v>3.1</v>
      </c>
      <c r="H64" t="n">
        <v>0</v>
      </c>
      <c r="I64" t="n">
        <v>0</v>
      </c>
      <c r="J64" t="n">
        <v>0</v>
      </c>
      <c r="K64" t="n">
        <v>0</v>
      </c>
      <c r="L64" t="n">
        <v>0</v>
      </c>
      <c r="M64" t="n">
        <v>0</v>
      </c>
      <c r="N64" t="n">
        <v>0</v>
      </c>
      <c r="O64" t="n">
        <v>0</v>
      </c>
      <c r="P64" t="n">
        <v>0</v>
      </c>
      <c r="Q64" t="n">
        <v>0</v>
      </c>
      <c r="R64" s="2" t="inlineStr"/>
    </row>
    <row r="65" ht="15" customHeight="1">
      <c r="A65" t="inlineStr">
        <is>
          <t>A 23986-2023</t>
        </is>
      </c>
      <c r="B65" s="1" t="n">
        <v>45078</v>
      </c>
      <c r="C65" s="1" t="n">
        <v>45965</v>
      </c>
      <c r="D65" t="inlineStr">
        <is>
          <t>STOCKHOLMS LÄN</t>
        </is>
      </c>
      <c r="E65" t="inlineStr">
        <is>
          <t>VALLENTUNA</t>
        </is>
      </c>
      <c r="F65" t="inlineStr">
        <is>
          <t>Kyrkan</t>
        </is>
      </c>
      <c r="G65" t="n">
        <v>5.7</v>
      </c>
      <c r="H65" t="n">
        <v>0</v>
      </c>
      <c r="I65" t="n">
        <v>0</v>
      </c>
      <c r="J65" t="n">
        <v>0</v>
      </c>
      <c r="K65" t="n">
        <v>0</v>
      </c>
      <c r="L65" t="n">
        <v>0</v>
      </c>
      <c r="M65" t="n">
        <v>0</v>
      </c>
      <c r="N65" t="n">
        <v>0</v>
      </c>
      <c r="O65" t="n">
        <v>0</v>
      </c>
      <c r="P65" t="n">
        <v>0</v>
      </c>
      <c r="Q65" t="n">
        <v>0</v>
      </c>
      <c r="R65" s="2" t="inlineStr"/>
    </row>
    <row r="66" ht="15" customHeight="1">
      <c r="A66" t="inlineStr">
        <is>
          <t>A 22683-2023</t>
        </is>
      </c>
      <c r="B66" s="1" t="n">
        <v>45071</v>
      </c>
      <c r="C66" s="1" t="n">
        <v>45965</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15300-2023</t>
        </is>
      </c>
      <c r="B67" s="1" t="n">
        <v>45019</v>
      </c>
      <c r="C67" s="1" t="n">
        <v>45965</v>
      </c>
      <c r="D67" t="inlineStr">
        <is>
          <t>STOCKHOLMS LÄN</t>
        </is>
      </c>
      <c r="E67" t="inlineStr">
        <is>
          <t>VALLENTUNA</t>
        </is>
      </c>
      <c r="G67" t="n">
        <v>1.7</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45965</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24943-2024</t>
        </is>
      </c>
      <c r="B69" s="1" t="n">
        <v>45461.62585648148</v>
      </c>
      <c r="C69" s="1" t="n">
        <v>45965</v>
      </c>
      <c r="D69" t="inlineStr">
        <is>
          <t>STOCKHOLMS LÄN</t>
        </is>
      </c>
      <c r="E69" t="inlineStr">
        <is>
          <t>VALLENTUNA</t>
        </is>
      </c>
      <c r="G69" t="n">
        <v>2</v>
      </c>
      <c r="H69" t="n">
        <v>0</v>
      </c>
      <c r="I69" t="n">
        <v>0</v>
      </c>
      <c r="J69" t="n">
        <v>0</v>
      </c>
      <c r="K69" t="n">
        <v>0</v>
      </c>
      <c r="L69" t="n">
        <v>0</v>
      </c>
      <c r="M69" t="n">
        <v>0</v>
      </c>
      <c r="N69" t="n">
        <v>0</v>
      </c>
      <c r="O69" t="n">
        <v>0</v>
      </c>
      <c r="P69" t="n">
        <v>0</v>
      </c>
      <c r="Q69" t="n">
        <v>0</v>
      </c>
      <c r="R69" s="2" t="inlineStr"/>
    </row>
    <row r="70" ht="15" customHeight="1">
      <c r="A70" t="inlineStr">
        <is>
          <t>A 5910-2022</t>
        </is>
      </c>
      <c r="B70" s="1" t="n">
        <v>44597</v>
      </c>
      <c r="C70" s="1" t="n">
        <v>45965</v>
      </c>
      <c r="D70" t="inlineStr">
        <is>
          <t>STOCKHOLMS LÄN</t>
        </is>
      </c>
      <c r="E70" t="inlineStr">
        <is>
          <t>VALLENTUNA</t>
        </is>
      </c>
      <c r="G70" t="n">
        <v>0.6</v>
      </c>
      <c r="H70" t="n">
        <v>0</v>
      </c>
      <c r="I70" t="n">
        <v>0</v>
      </c>
      <c r="J70" t="n">
        <v>0</v>
      </c>
      <c r="K70" t="n">
        <v>0</v>
      </c>
      <c r="L70" t="n">
        <v>0</v>
      </c>
      <c r="M70" t="n">
        <v>0</v>
      </c>
      <c r="N70" t="n">
        <v>0</v>
      </c>
      <c r="O70" t="n">
        <v>0</v>
      </c>
      <c r="P70" t="n">
        <v>0</v>
      </c>
      <c r="Q70" t="n">
        <v>0</v>
      </c>
      <c r="R70" s="2" t="inlineStr"/>
    </row>
    <row r="71" ht="15" customHeight="1">
      <c r="A71" t="inlineStr">
        <is>
          <t>A 8077-2022</t>
        </is>
      </c>
      <c r="B71" s="1" t="n">
        <v>44609</v>
      </c>
      <c r="C71" s="1" t="n">
        <v>45965</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13836-2022</t>
        </is>
      </c>
      <c r="B72" s="1" t="n">
        <v>44649</v>
      </c>
      <c r="C72" s="1" t="n">
        <v>45965</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45965</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45965</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29704-2023</t>
        </is>
      </c>
      <c r="B75" s="1" t="n">
        <v>45107</v>
      </c>
      <c r="C75" s="1" t="n">
        <v>45965</v>
      </c>
      <c r="D75" t="inlineStr">
        <is>
          <t>STOCKHOLMS LÄN</t>
        </is>
      </c>
      <c r="E75" t="inlineStr">
        <is>
          <t>VALLENTUNA</t>
        </is>
      </c>
      <c r="G75" t="n">
        <v>3.7</v>
      </c>
      <c r="H75" t="n">
        <v>0</v>
      </c>
      <c r="I75" t="n">
        <v>0</v>
      </c>
      <c r="J75" t="n">
        <v>0</v>
      </c>
      <c r="K75" t="n">
        <v>0</v>
      </c>
      <c r="L75" t="n">
        <v>0</v>
      </c>
      <c r="M75" t="n">
        <v>0</v>
      </c>
      <c r="N75" t="n">
        <v>0</v>
      </c>
      <c r="O75" t="n">
        <v>0</v>
      </c>
      <c r="P75" t="n">
        <v>0</v>
      </c>
      <c r="Q75" t="n">
        <v>0</v>
      </c>
      <c r="R75" s="2" t="inlineStr"/>
    </row>
    <row r="76" ht="15" customHeight="1">
      <c r="A76" t="inlineStr">
        <is>
          <t>A 21765-2023</t>
        </is>
      </c>
      <c r="B76" s="1" t="n">
        <v>45064</v>
      </c>
      <c r="C76" s="1" t="n">
        <v>45965</v>
      </c>
      <c r="D76" t="inlineStr">
        <is>
          <t>STOCKHOLMS LÄN</t>
        </is>
      </c>
      <c r="E76" t="inlineStr">
        <is>
          <t>VALLENTUNA</t>
        </is>
      </c>
      <c r="G76" t="n">
        <v>1.1</v>
      </c>
      <c r="H76" t="n">
        <v>0</v>
      </c>
      <c r="I76" t="n">
        <v>0</v>
      </c>
      <c r="J76" t="n">
        <v>0</v>
      </c>
      <c r="K76" t="n">
        <v>0</v>
      </c>
      <c r="L76" t="n">
        <v>0</v>
      </c>
      <c r="M76" t="n">
        <v>0</v>
      </c>
      <c r="N76" t="n">
        <v>0</v>
      </c>
      <c r="O76" t="n">
        <v>0</v>
      </c>
      <c r="P76" t="n">
        <v>0</v>
      </c>
      <c r="Q76" t="n">
        <v>0</v>
      </c>
      <c r="R76" s="2" t="inlineStr"/>
    </row>
    <row r="77" ht="15" customHeight="1">
      <c r="A77" t="inlineStr">
        <is>
          <t>A 45496-2023</t>
        </is>
      </c>
      <c r="B77" s="1" t="n">
        <v>45194</v>
      </c>
      <c r="C77" s="1" t="n">
        <v>45965</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45499-2023</t>
        </is>
      </c>
      <c r="B78" s="1" t="n">
        <v>45194</v>
      </c>
      <c r="C78" s="1" t="n">
        <v>45965</v>
      </c>
      <c r="D78" t="inlineStr">
        <is>
          <t>STOCKHOLMS LÄN</t>
        </is>
      </c>
      <c r="E78" t="inlineStr">
        <is>
          <t>VALLENTUNA</t>
        </is>
      </c>
      <c r="G78" t="n">
        <v>2.5</v>
      </c>
      <c r="H78" t="n">
        <v>0</v>
      </c>
      <c r="I78" t="n">
        <v>0</v>
      </c>
      <c r="J78" t="n">
        <v>0</v>
      </c>
      <c r="K78" t="n">
        <v>0</v>
      </c>
      <c r="L78" t="n">
        <v>0</v>
      </c>
      <c r="M78" t="n">
        <v>0</v>
      </c>
      <c r="N78" t="n">
        <v>0</v>
      </c>
      <c r="O78" t="n">
        <v>0</v>
      </c>
      <c r="P78" t="n">
        <v>0</v>
      </c>
      <c r="Q78" t="n">
        <v>0</v>
      </c>
      <c r="R78" s="2" t="inlineStr"/>
    </row>
    <row r="79" ht="15" customHeight="1">
      <c r="A79" t="inlineStr">
        <is>
          <t>A 14782-2024</t>
        </is>
      </c>
      <c r="B79" s="1" t="n">
        <v>45397.74266203704</v>
      </c>
      <c r="C79" s="1" t="n">
        <v>45965</v>
      </c>
      <c r="D79" t="inlineStr">
        <is>
          <t>STOCKHOLMS LÄN</t>
        </is>
      </c>
      <c r="E79" t="inlineStr">
        <is>
          <t>VALLENTUNA</t>
        </is>
      </c>
      <c r="G79" t="n">
        <v>3.1</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45965</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1385-2024</t>
        </is>
      </c>
      <c r="B81" s="1" t="n">
        <v>45303</v>
      </c>
      <c r="C81" s="1" t="n">
        <v>45965</v>
      </c>
      <c r="D81" t="inlineStr">
        <is>
          <t>STOCKHOLMS LÄN</t>
        </is>
      </c>
      <c r="E81" t="inlineStr">
        <is>
          <t>VALLENTUNA</t>
        </is>
      </c>
      <c r="G81" t="n">
        <v>2.6</v>
      </c>
      <c r="H81" t="n">
        <v>0</v>
      </c>
      <c r="I81" t="n">
        <v>0</v>
      </c>
      <c r="J81" t="n">
        <v>0</v>
      </c>
      <c r="K81" t="n">
        <v>0</v>
      </c>
      <c r="L81" t="n">
        <v>0</v>
      </c>
      <c r="M81" t="n">
        <v>0</v>
      </c>
      <c r="N81" t="n">
        <v>0</v>
      </c>
      <c r="O81" t="n">
        <v>0</v>
      </c>
      <c r="P81" t="n">
        <v>0</v>
      </c>
      <c r="Q81" t="n">
        <v>0</v>
      </c>
      <c r="R81" s="2" t="inlineStr"/>
    </row>
    <row r="82" ht="15" customHeight="1">
      <c r="A82" t="inlineStr">
        <is>
          <t>A 14775-2024</t>
        </is>
      </c>
      <c r="B82" s="1" t="n">
        <v>45397.73675925926</v>
      </c>
      <c r="C82" s="1" t="n">
        <v>45965</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26390-2023</t>
        </is>
      </c>
      <c r="B83" s="1" t="n">
        <v>45086</v>
      </c>
      <c r="C83" s="1" t="n">
        <v>45965</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735-2024</t>
        </is>
      </c>
      <c r="B84" s="1" t="n">
        <v>45300</v>
      </c>
      <c r="C84" s="1" t="n">
        <v>45965</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17411-2023</t>
        </is>
      </c>
      <c r="B85" s="1" t="n">
        <v>45035.82512731481</v>
      </c>
      <c r="C85" s="1" t="n">
        <v>45965</v>
      </c>
      <c r="D85" t="inlineStr">
        <is>
          <t>STOCKHOLMS LÄN</t>
        </is>
      </c>
      <c r="E85" t="inlineStr">
        <is>
          <t>VALLENTUNA</t>
        </is>
      </c>
      <c r="G85" t="n">
        <v>0.7</v>
      </c>
      <c r="H85" t="n">
        <v>0</v>
      </c>
      <c r="I85" t="n">
        <v>0</v>
      </c>
      <c r="J85" t="n">
        <v>0</v>
      </c>
      <c r="K85" t="n">
        <v>0</v>
      </c>
      <c r="L85" t="n">
        <v>0</v>
      </c>
      <c r="M85" t="n">
        <v>0</v>
      </c>
      <c r="N85" t="n">
        <v>0</v>
      </c>
      <c r="O85" t="n">
        <v>0</v>
      </c>
      <c r="P85" t="n">
        <v>0</v>
      </c>
      <c r="Q85" t="n">
        <v>0</v>
      </c>
      <c r="R85" s="2" t="inlineStr"/>
    </row>
    <row r="86" ht="15" customHeight="1">
      <c r="A86" t="inlineStr">
        <is>
          <t>A 48068-2021</t>
        </is>
      </c>
      <c r="B86" s="1" t="n">
        <v>44449.42270833333</v>
      </c>
      <c r="C86" s="1" t="n">
        <v>45965</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15268-2023</t>
        </is>
      </c>
      <c r="B87" s="1" t="n">
        <v>45019.41045138889</v>
      </c>
      <c r="C87" s="1" t="n">
        <v>45965</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45965</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60818-2023</t>
        </is>
      </c>
      <c r="B89" s="1" t="n">
        <v>45259</v>
      </c>
      <c r="C89" s="1" t="n">
        <v>45965</v>
      </c>
      <c r="D89" t="inlineStr">
        <is>
          <t>STOCKHOLMS LÄN</t>
        </is>
      </c>
      <c r="E89" t="inlineStr">
        <is>
          <t>VALLENTUNA</t>
        </is>
      </c>
      <c r="G89" t="n">
        <v>9.4</v>
      </c>
      <c r="H89" t="n">
        <v>0</v>
      </c>
      <c r="I89" t="n">
        <v>0</v>
      </c>
      <c r="J89" t="n">
        <v>0</v>
      </c>
      <c r="K89" t="n">
        <v>0</v>
      </c>
      <c r="L89" t="n">
        <v>0</v>
      </c>
      <c r="M89" t="n">
        <v>0</v>
      </c>
      <c r="N89" t="n">
        <v>0</v>
      </c>
      <c r="O89" t="n">
        <v>0</v>
      </c>
      <c r="P89" t="n">
        <v>0</v>
      </c>
      <c r="Q89" t="n">
        <v>0</v>
      </c>
      <c r="R89" s="2" t="inlineStr"/>
    </row>
    <row r="90" ht="15" customHeight="1">
      <c r="A90" t="inlineStr">
        <is>
          <t>A 38102-2024</t>
        </is>
      </c>
      <c r="B90" s="1" t="n">
        <v>45545.36349537037</v>
      </c>
      <c r="C90" s="1" t="n">
        <v>45965</v>
      </c>
      <c r="D90" t="inlineStr">
        <is>
          <t>STOCKHOLMS LÄN</t>
        </is>
      </c>
      <c r="E90" t="inlineStr">
        <is>
          <t>VALLENTUNA</t>
        </is>
      </c>
      <c r="G90" t="n">
        <v>3.2</v>
      </c>
      <c r="H90" t="n">
        <v>0</v>
      </c>
      <c r="I90" t="n">
        <v>0</v>
      </c>
      <c r="J90" t="n">
        <v>0</v>
      </c>
      <c r="K90" t="n">
        <v>0</v>
      </c>
      <c r="L90" t="n">
        <v>0</v>
      </c>
      <c r="M90" t="n">
        <v>0</v>
      </c>
      <c r="N90" t="n">
        <v>0</v>
      </c>
      <c r="O90" t="n">
        <v>0</v>
      </c>
      <c r="P90" t="n">
        <v>0</v>
      </c>
      <c r="Q90" t="n">
        <v>0</v>
      </c>
      <c r="R90" s="2" t="inlineStr"/>
    </row>
    <row r="91" ht="15" customHeight="1">
      <c r="A91" t="inlineStr">
        <is>
          <t>A 24707-2023</t>
        </is>
      </c>
      <c r="B91" s="1" t="n">
        <v>45084</v>
      </c>
      <c r="C91" s="1" t="n">
        <v>45965</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17340-2025</t>
        </is>
      </c>
      <c r="B92" s="1" t="n">
        <v>45756</v>
      </c>
      <c r="C92" s="1" t="n">
        <v>45965</v>
      </c>
      <c r="D92" t="inlineStr">
        <is>
          <t>STOCKHOLMS LÄN</t>
        </is>
      </c>
      <c r="E92" t="inlineStr">
        <is>
          <t>VALLENTUNA</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12609-2024</t>
        </is>
      </c>
      <c r="B93" s="1" t="n">
        <v>45382.8109375</v>
      </c>
      <c r="C93" s="1" t="n">
        <v>45965</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20791-2025</t>
        </is>
      </c>
      <c r="B94" s="1" t="n">
        <v>45776.62738425926</v>
      </c>
      <c r="C94" s="1" t="n">
        <v>45965</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45965</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47140-2024</t>
        </is>
      </c>
      <c r="B96" s="1" t="n">
        <v>45586.58753472222</v>
      </c>
      <c r="C96" s="1" t="n">
        <v>45965</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45965</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12621-2024</t>
        </is>
      </c>
      <c r="B98" s="1" t="n">
        <v>45383.6325</v>
      </c>
      <c r="C98" s="1" t="n">
        <v>45965</v>
      </c>
      <c r="D98" t="inlineStr">
        <is>
          <t>STOCKHOLMS LÄN</t>
        </is>
      </c>
      <c r="E98" t="inlineStr">
        <is>
          <t>VALLENTUNA</t>
        </is>
      </c>
      <c r="G98" t="n">
        <v>4.4</v>
      </c>
      <c r="H98" t="n">
        <v>0</v>
      </c>
      <c r="I98" t="n">
        <v>0</v>
      </c>
      <c r="J98" t="n">
        <v>0</v>
      </c>
      <c r="K98" t="n">
        <v>0</v>
      </c>
      <c r="L98" t="n">
        <v>0</v>
      </c>
      <c r="M98" t="n">
        <v>0</v>
      </c>
      <c r="N98" t="n">
        <v>0</v>
      </c>
      <c r="O98" t="n">
        <v>0</v>
      </c>
      <c r="P98" t="n">
        <v>0</v>
      </c>
      <c r="Q98" t="n">
        <v>0</v>
      </c>
      <c r="R98" s="2" t="inlineStr"/>
    </row>
    <row r="99" ht="15" customHeight="1">
      <c r="A99" t="inlineStr">
        <is>
          <t>A 7264-2022</t>
        </is>
      </c>
      <c r="B99" s="1" t="n">
        <v>44606</v>
      </c>
      <c r="C99" s="1" t="n">
        <v>45965</v>
      </c>
      <c r="D99" t="inlineStr">
        <is>
          <t>STOCKHOLMS LÄN</t>
        </is>
      </c>
      <c r="E99" t="inlineStr">
        <is>
          <t>VALLENTUNA</t>
        </is>
      </c>
      <c r="G99" t="n">
        <v>2.4</v>
      </c>
      <c r="H99" t="n">
        <v>0</v>
      </c>
      <c r="I99" t="n">
        <v>0</v>
      </c>
      <c r="J99" t="n">
        <v>0</v>
      </c>
      <c r="K99" t="n">
        <v>0</v>
      </c>
      <c r="L99" t="n">
        <v>0</v>
      </c>
      <c r="M99" t="n">
        <v>0</v>
      </c>
      <c r="N99" t="n">
        <v>0</v>
      </c>
      <c r="O99" t="n">
        <v>0</v>
      </c>
      <c r="P99" t="n">
        <v>0</v>
      </c>
      <c r="Q99" t="n">
        <v>0</v>
      </c>
      <c r="R99" s="2" t="inlineStr"/>
    </row>
    <row r="100" ht="15" customHeight="1">
      <c r="A100" t="inlineStr">
        <is>
          <t>A 68935-2020</t>
        </is>
      </c>
      <c r="B100" s="1" t="n">
        <v>44187</v>
      </c>
      <c r="C100" s="1" t="n">
        <v>45965</v>
      </c>
      <c r="D100" t="inlineStr">
        <is>
          <t>STOCKHOLMS LÄN</t>
        </is>
      </c>
      <c r="E100" t="inlineStr">
        <is>
          <t>VALLENTUNA</t>
        </is>
      </c>
      <c r="G100" t="n">
        <v>7.8</v>
      </c>
      <c r="H100" t="n">
        <v>0</v>
      </c>
      <c r="I100" t="n">
        <v>0</v>
      </c>
      <c r="J100" t="n">
        <v>0</v>
      </c>
      <c r="K100" t="n">
        <v>0</v>
      </c>
      <c r="L100" t="n">
        <v>0</v>
      </c>
      <c r="M100" t="n">
        <v>0</v>
      </c>
      <c r="N100" t="n">
        <v>0</v>
      </c>
      <c r="O100" t="n">
        <v>0</v>
      </c>
      <c r="P100" t="n">
        <v>0</v>
      </c>
      <c r="Q100" t="n">
        <v>0</v>
      </c>
      <c r="R100" s="2" t="inlineStr"/>
    </row>
    <row r="101" ht="15" customHeight="1">
      <c r="A101" t="inlineStr">
        <is>
          <t>A 46381-2023</t>
        </is>
      </c>
      <c r="B101" s="1" t="n">
        <v>45193</v>
      </c>
      <c r="C101" s="1" t="n">
        <v>45965</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8565-2025</t>
        </is>
      </c>
      <c r="B102" s="1" t="n">
        <v>45709</v>
      </c>
      <c r="C102" s="1" t="n">
        <v>45965</v>
      </c>
      <c r="D102" t="inlineStr">
        <is>
          <t>STOCKHOLMS LÄN</t>
        </is>
      </c>
      <c r="E102" t="inlineStr">
        <is>
          <t>VALLENTUNA</t>
        </is>
      </c>
      <c r="F102" t="inlineStr">
        <is>
          <t>Kommuner</t>
        </is>
      </c>
      <c r="G102" t="n">
        <v>4.2</v>
      </c>
      <c r="H102" t="n">
        <v>0</v>
      </c>
      <c r="I102" t="n">
        <v>0</v>
      </c>
      <c r="J102" t="n">
        <v>0</v>
      </c>
      <c r="K102" t="n">
        <v>0</v>
      </c>
      <c r="L102" t="n">
        <v>0</v>
      </c>
      <c r="M102" t="n">
        <v>0</v>
      </c>
      <c r="N102" t="n">
        <v>0</v>
      </c>
      <c r="O102" t="n">
        <v>0</v>
      </c>
      <c r="P102" t="n">
        <v>0</v>
      </c>
      <c r="Q102" t="n">
        <v>0</v>
      </c>
      <c r="R102" s="2" t="inlineStr"/>
    </row>
    <row r="103" ht="15" customHeight="1">
      <c r="A103" t="inlineStr">
        <is>
          <t>A 61027-2023</t>
        </is>
      </c>
      <c r="B103" s="1" t="n">
        <v>45261</v>
      </c>
      <c r="C103" s="1" t="n">
        <v>45965</v>
      </c>
      <c r="D103" t="inlineStr">
        <is>
          <t>STOCKHOLMS LÄN</t>
        </is>
      </c>
      <c r="E103" t="inlineStr">
        <is>
          <t>VALLENTUNA</t>
        </is>
      </c>
      <c r="G103" t="n">
        <v>7.1</v>
      </c>
      <c r="H103" t="n">
        <v>0</v>
      </c>
      <c r="I103" t="n">
        <v>0</v>
      </c>
      <c r="J103" t="n">
        <v>0</v>
      </c>
      <c r="K103" t="n">
        <v>0</v>
      </c>
      <c r="L103" t="n">
        <v>0</v>
      </c>
      <c r="M103" t="n">
        <v>0</v>
      </c>
      <c r="N103" t="n">
        <v>0</v>
      </c>
      <c r="O103" t="n">
        <v>0</v>
      </c>
      <c r="P103" t="n">
        <v>0</v>
      </c>
      <c r="Q103" t="n">
        <v>0</v>
      </c>
      <c r="R103" s="2" t="inlineStr"/>
    </row>
    <row r="104" ht="15" customHeight="1">
      <c r="A104" t="inlineStr">
        <is>
          <t>A 19356-2025</t>
        </is>
      </c>
      <c r="B104" s="1" t="n">
        <v>45769.62061342593</v>
      </c>
      <c r="C104" s="1" t="n">
        <v>45965</v>
      </c>
      <c r="D104" t="inlineStr">
        <is>
          <t>STOCKHOLMS LÄN</t>
        </is>
      </c>
      <c r="E104" t="inlineStr">
        <is>
          <t>VALLENTUNA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45965</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48014-2025</t>
        </is>
      </c>
      <c r="B106" s="1" t="n">
        <v>45932.64520833334</v>
      </c>
      <c r="C106" s="1" t="n">
        <v>45965</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48040-2025</t>
        </is>
      </c>
      <c r="B107" s="1" t="n">
        <v>45932.6628125</v>
      </c>
      <c r="C107" s="1" t="n">
        <v>45965</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48038-2025</t>
        </is>
      </c>
      <c r="B108" s="1" t="n">
        <v>45932.66008101852</v>
      </c>
      <c r="C108" s="1" t="n">
        <v>45965</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45965</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23009-2024</t>
        </is>
      </c>
      <c r="B110" s="1" t="n">
        <v>45450.34506944445</v>
      </c>
      <c r="C110" s="1" t="n">
        <v>45965</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4803-2024</t>
        </is>
      </c>
      <c r="B111" s="1" t="n">
        <v>45328</v>
      </c>
      <c r="C111" s="1" t="n">
        <v>45965</v>
      </c>
      <c r="D111" t="inlineStr">
        <is>
          <t>STOCKHOLMS LÄN</t>
        </is>
      </c>
      <c r="E111" t="inlineStr">
        <is>
          <t>VALLENTUNA</t>
        </is>
      </c>
      <c r="G111" t="n">
        <v>4.6</v>
      </c>
      <c r="H111" t="n">
        <v>0</v>
      </c>
      <c r="I111" t="n">
        <v>0</v>
      </c>
      <c r="J111" t="n">
        <v>0</v>
      </c>
      <c r="K111" t="n">
        <v>0</v>
      </c>
      <c r="L111" t="n">
        <v>0</v>
      </c>
      <c r="M111" t="n">
        <v>0</v>
      </c>
      <c r="N111" t="n">
        <v>0</v>
      </c>
      <c r="O111" t="n">
        <v>0</v>
      </c>
      <c r="P111" t="n">
        <v>0</v>
      </c>
      <c r="Q111" t="n">
        <v>0</v>
      </c>
      <c r="R111" s="2" t="inlineStr"/>
    </row>
    <row r="112" ht="15" customHeight="1">
      <c r="A112" t="inlineStr">
        <is>
          <t>A 6593-2021</t>
        </is>
      </c>
      <c r="B112" s="1" t="n">
        <v>44236</v>
      </c>
      <c r="C112" s="1" t="n">
        <v>45965</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52542-2023</t>
        </is>
      </c>
      <c r="B113" s="1" t="n">
        <v>45225</v>
      </c>
      <c r="C113" s="1" t="n">
        <v>45965</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23923-2025</t>
        </is>
      </c>
      <c r="B114" s="1" t="n">
        <v>45795.39648148148</v>
      </c>
      <c r="C114" s="1" t="n">
        <v>45965</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45965</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61655-2020</t>
        </is>
      </c>
      <c r="B116" s="1" t="n">
        <v>44158</v>
      </c>
      <c r="C116" s="1" t="n">
        <v>45965</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25984-2025</t>
        </is>
      </c>
      <c r="B117" s="1" t="n">
        <v>45804.64016203704</v>
      </c>
      <c r="C117" s="1" t="n">
        <v>45965</v>
      </c>
      <c r="D117" t="inlineStr">
        <is>
          <t>STOCKHOLMS LÄN</t>
        </is>
      </c>
      <c r="E117" t="inlineStr">
        <is>
          <t>VALLENTUNA</t>
        </is>
      </c>
      <c r="G117" t="n">
        <v>2.5</v>
      </c>
      <c r="H117" t="n">
        <v>0</v>
      </c>
      <c r="I117" t="n">
        <v>0</v>
      </c>
      <c r="J117" t="n">
        <v>0</v>
      </c>
      <c r="K117" t="n">
        <v>0</v>
      </c>
      <c r="L117" t="n">
        <v>0</v>
      </c>
      <c r="M117" t="n">
        <v>0</v>
      </c>
      <c r="N117" t="n">
        <v>0</v>
      </c>
      <c r="O117" t="n">
        <v>0</v>
      </c>
      <c r="P117" t="n">
        <v>0</v>
      </c>
      <c r="Q117" t="n">
        <v>0</v>
      </c>
      <c r="R117" s="2" t="inlineStr"/>
    </row>
    <row r="118" ht="15" customHeight="1">
      <c r="A118" t="inlineStr">
        <is>
          <t>A 61442-2024</t>
        </is>
      </c>
      <c r="B118" s="1" t="n">
        <v>45646.47003472222</v>
      </c>
      <c r="C118" s="1" t="n">
        <v>45965</v>
      </c>
      <c r="D118" t="inlineStr">
        <is>
          <t>STOCKHOLMS LÄN</t>
        </is>
      </c>
      <c r="E118" t="inlineStr">
        <is>
          <t>VALLENTUNA</t>
        </is>
      </c>
      <c r="G118" t="n">
        <v>4.6</v>
      </c>
      <c r="H118" t="n">
        <v>0</v>
      </c>
      <c r="I118" t="n">
        <v>0</v>
      </c>
      <c r="J118" t="n">
        <v>0</v>
      </c>
      <c r="K118" t="n">
        <v>0</v>
      </c>
      <c r="L118" t="n">
        <v>0</v>
      </c>
      <c r="M118" t="n">
        <v>0</v>
      </c>
      <c r="N118" t="n">
        <v>0</v>
      </c>
      <c r="O118" t="n">
        <v>0</v>
      </c>
      <c r="P118" t="n">
        <v>0</v>
      </c>
      <c r="Q118" t="n">
        <v>0</v>
      </c>
      <c r="R118" s="2" t="inlineStr"/>
    </row>
    <row r="119" ht="15" customHeight="1">
      <c r="A119" t="inlineStr">
        <is>
          <t>A 11950-2025</t>
        </is>
      </c>
      <c r="B119" s="1" t="n">
        <v>45728.55622685186</v>
      </c>
      <c r="C119" s="1" t="n">
        <v>45965</v>
      </c>
      <c r="D119" t="inlineStr">
        <is>
          <t>STOCKHOLMS LÄN</t>
        </is>
      </c>
      <c r="E119" t="inlineStr">
        <is>
          <t>VALLENTUNA</t>
        </is>
      </c>
      <c r="G119" t="n">
        <v>1.4</v>
      </c>
      <c r="H119" t="n">
        <v>0</v>
      </c>
      <c r="I119" t="n">
        <v>0</v>
      </c>
      <c r="J119" t="n">
        <v>0</v>
      </c>
      <c r="K119" t="n">
        <v>0</v>
      </c>
      <c r="L119" t="n">
        <v>0</v>
      </c>
      <c r="M119" t="n">
        <v>0</v>
      </c>
      <c r="N119" t="n">
        <v>0</v>
      </c>
      <c r="O119" t="n">
        <v>0</v>
      </c>
      <c r="P119" t="n">
        <v>0</v>
      </c>
      <c r="Q119" t="n">
        <v>0</v>
      </c>
      <c r="R119" s="2" t="inlineStr"/>
    </row>
    <row r="120" ht="15" customHeight="1">
      <c r="A120" t="inlineStr">
        <is>
          <t>A 68938-2020</t>
        </is>
      </c>
      <c r="B120" s="1" t="n">
        <v>44187</v>
      </c>
      <c r="C120" s="1" t="n">
        <v>45965</v>
      </c>
      <c r="D120" t="inlineStr">
        <is>
          <t>STOCKHOLMS LÄN</t>
        </is>
      </c>
      <c r="E120" t="inlineStr">
        <is>
          <t>VALLENTUNA</t>
        </is>
      </c>
      <c r="G120" t="n">
        <v>3</v>
      </c>
      <c r="H120" t="n">
        <v>0</v>
      </c>
      <c r="I120" t="n">
        <v>0</v>
      </c>
      <c r="J120" t="n">
        <v>0</v>
      </c>
      <c r="K120" t="n">
        <v>0</v>
      </c>
      <c r="L120" t="n">
        <v>0</v>
      </c>
      <c r="M120" t="n">
        <v>0</v>
      </c>
      <c r="N120" t="n">
        <v>0</v>
      </c>
      <c r="O120" t="n">
        <v>0</v>
      </c>
      <c r="P120" t="n">
        <v>0</v>
      </c>
      <c r="Q120" t="n">
        <v>0</v>
      </c>
      <c r="R120" s="2" t="inlineStr"/>
    </row>
    <row r="121" ht="15" customHeight="1">
      <c r="A121" t="inlineStr">
        <is>
          <t>A 14489-2024</t>
        </is>
      </c>
      <c r="B121" s="1" t="n">
        <v>45394.58053240741</v>
      </c>
      <c r="C121" s="1" t="n">
        <v>45965</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52562-2023</t>
        </is>
      </c>
      <c r="B122" s="1" t="n">
        <v>45225</v>
      </c>
      <c r="C122" s="1" t="n">
        <v>45965</v>
      </c>
      <c r="D122" t="inlineStr">
        <is>
          <t>STOCKHOLMS LÄN</t>
        </is>
      </c>
      <c r="E122" t="inlineStr">
        <is>
          <t>VALLENTUNA</t>
        </is>
      </c>
      <c r="G122" t="n">
        <v>3.4</v>
      </c>
      <c r="H122" t="n">
        <v>0</v>
      </c>
      <c r="I122" t="n">
        <v>0</v>
      </c>
      <c r="J122" t="n">
        <v>0</v>
      </c>
      <c r="K122" t="n">
        <v>0</v>
      </c>
      <c r="L122" t="n">
        <v>0</v>
      </c>
      <c r="M122" t="n">
        <v>0</v>
      </c>
      <c r="N122" t="n">
        <v>0</v>
      </c>
      <c r="O122" t="n">
        <v>0</v>
      </c>
      <c r="P122" t="n">
        <v>0</v>
      </c>
      <c r="Q122" t="n">
        <v>0</v>
      </c>
      <c r="R122" s="2" t="inlineStr"/>
    </row>
    <row r="123" ht="15" customHeight="1">
      <c r="A123" t="inlineStr">
        <is>
          <t>A 4804-2024</t>
        </is>
      </c>
      <c r="B123" s="1" t="n">
        <v>45328</v>
      </c>
      <c r="C123" s="1" t="n">
        <v>45965</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30902-2025</t>
        </is>
      </c>
      <c r="B124" s="1" t="n">
        <v>45832.36104166666</v>
      </c>
      <c r="C124" s="1" t="n">
        <v>45965</v>
      </c>
      <c r="D124" t="inlineStr">
        <is>
          <t>STOCKHOLMS LÄN</t>
        </is>
      </c>
      <c r="E124" t="inlineStr">
        <is>
          <t>VALLENTUNA</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23013-2024</t>
        </is>
      </c>
      <c r="B125" s="1" t="n">
        <v>45450.35116898148</v>
      </c>
      <c r="C125" s="1" t="n">
        <v>45965</v>
      </c>
      <c r="D125" t="inlineStr">
        <is>
          <t>STOCKHOLMS LÄN</t>
        </is>
      </c>
      <c r="E125" t="inlineStr">
        <is>
          <t>VALLENTUNA</t>
        </is>
      </c>
      <c r="G125" t="n">
        <v>0.4</v>
      </c>
      <c r="H125" t="n">
        <v>0</v>
      </c>
      <c r="I125" t="n">
        <v>0</v>
      </c>
      <c r="J125" t="n">
        <v>0</v>
      </c>
      <c r="K125" t="n">
        <v>0</v>
      </c>
      <c r="L125" t="n">
        <v>0</v>
      </c>
      <c r="M125" t="n">
        <v>0</v>
      </c>
      <c r="N125" t="n">
        <v>0</v>
      </c>
      <c r="O125" t="n">
        <v>0</v>
      </c>
      <c r="P125" t="n">
        <v>0</v>
      </c>
      <c r="Q125" t="n">
        <v>0</v>
      </c>
      <c r="R125" s="2" t="inlineStr"/>
    </row>
    <row r="126" ht="15" customHeight="1">
      <c r="A126" t="inlineStr">
        <is>
          <t>A 2318-2024</t>
        </is>
      </c>
      <c r="B126" s="1" t="n">
        <v>45310</v>
      </c>
      <c r="C126" s="1" t="n">
        <v>45965</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41206-2025</t>
        </is>
      </c>
      <c r="B127" s="1" t="n">
        <v>45898</v>
      </c>
      <c r="C127" s="1" t="n">
        <v>45965</v>
      </c>
      <c r="D127" t="inlineStr">
        <is>
          <t>STOCKHOLMS LÄN</t>
        </is>
      </c>
      <c r="E127" t="inlineStr">
        <is>
          <t>VALLENTUNA</t>
        </is>
      </c>
      <c r="G127" t="n">
        <v>10</v>
      </c>
      <c r="H127" t="n">
        <v>0</v>
      </c>
      <c r="I127" t="n">
        <v>0</v>
      </c>
      <c r="J127" t="n">
        <v>0</v>
      </c>
      <c r="K127" t="n">
        <v>0</v>
      </c>
      <c r="L127" t="n">
        <v>0</v>
      </c>
      <c r="M127" t="n">
        <v>0</v>
      </c>
      <c r="N127" t="n">
        <v>0</v>
      </c>
      <c r="O127" t="n">
        <v>0</v>
      </c>
      <c r="P127" t="n">
        <v>0</v>
      </c>
      <c r="Q127" t="n">
        <v>0</v>
      </c>
      <c r="R127" s="2" t="inlineStr"/>
    </row>
    <row r="128" ht="15" customHeight="1">
      <c r="A128" t="inlineStr">
        <is>
          <t>A 28431-2025</t>
        </is>
      </c>
      <c r="B128" s="1" t="n">
        <v>45819.38072916667</v>
      </c>
      <c r="C128" s="1" t="n">
        <v>45965</v>
      </c>
      <c r="D128" t="inlineStr">
        <is>
          <t>STOCKHOLMS LÄN</t>
        </is>
      </c>
      <c r="E128" t="inlineStr">
        <is>
          <t>VALLENTUNA</t>
        </is>
      </c>
      <c r="G128" t="n">
        <v>1.5</v>
      </c>
      <c r="H128" t="n">
        <v>0</v>
      </c>
      <c r="I128" t="n">
        <v>0</v>
      </c>
      <c r="J128" t="n">
        <v>0</v>
      </c>
      <c r="K128" t="n">
        <v>0</v>
      </c>
      <c r="L128" t="n">
        <v>0</v>
      </c>
      <c r="M128" t="n">
        <v>0</v>
      </c>
      <c r="N128" t="n">
        <v>0</v>
      </c>
      <c r="O128" t="n">
        <v>0</v>
      </c>
      <c r="P128" t="n">
        <v>0</v>
      </c>
      <c r="Q128" t="n">
        <v>0</v>
      </c>
      <c r="R128" s="2" t="inlineStr"/>
    </row>
    <row r="129" ht="15" customHeight="1">
      <c r="A129" t="inlineStr">
        <is>
          <t>A 61742-2022</t>
        </is>
      </c>
      <c r="B129" s="1" t="n">
        <v>44917</v>
      </c>
      <c r="C129" s="1" t="n">
        <v>45965</v>
      </c>
      <c r="D129" t="inlineStr">
        <is>
          <t>STOCKHOLMS LÄN</t>
        </is>
      </c>
      <c r="E129" t="inlineStr">
        <is>
          <t>VALLENTUNA</t>
        </is>
      </c>
      <c r="G129" t="n">
        <v>0.5</v>
      </c>
      <c r="H129" t="n">
        <v>0</v>
      </c>
      <c r="I129" t="n">
        <v>0</v>
      </c>
      <c r="J129" t="n">
        <v>0</v>
      </c>
      <c r="K129" t="n">
        <v>0</v>
      </c>
      <c r="L129" t="n">
        <v>0</v>
      </c>
      <c r="M129" t="n">
        <v>0</v>
      </c>
      <c r="N129" t="n">
        <v>0</v>
      </c>
      <c r="O129" t="n">
        <v>0</v>
      </c>
      <c r="P129" t="n">
        <v>0</v>
      </c>
      <c r="Q129" t="n">
        <v>0</v>
      </c>
      <c r="R129" s="2" t="inlineStr"/>
    </row>
    <row r="130" ht="15" customHeight="1">
      <c r="A130" t="inlineStr">
        <is>
          <t>A 3698-2022</t>
        </is>
      </c>
      <c r="B130" s="1" t="n">
        <v>44586</v>
      </c>
      <c r="C130" s="1" t="n">
        <v>45965</v>
      </c>
      <c r="D130" t="inlineStr">
        <is>
          <t>STOCKHOLMS LÄN</t>
        </is>
      </c>
      <c r="E130" t="inlineStr">
        <is>
          <t>VALLENTUNA</t>
        </is>
      </c>
      <c r="G130" t="n">
        <v>2.9</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44914.70746527778</v>
      </c>
      <c r="C131" s="1" t="n">
        <v>45965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12234-2022</t>
        </is>
      </c>
      <c r="B132" s="1" t="n">
        <v>44637</v>
      </c>
      <c r="C132" s="1" t="n">
        <v>45965</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21614-2022</t>
        </is>
      </c>
      <c r="B133" s="1" t="n">
        <v>44706</v>
      </c>
      <c r="C133" s="1" t="n">
        <v>45965</v>
      </c>
      <c r="D133" t="inlineStr">
        <is>
          <t>STOCKHOLMS LÄN</t>
        </is>
      </c>
      <c r="E133" t="inlineStr">
        <is>
          <t>VALLENTUNA</t>
        </is>
      </c>
      <c r="G133" t="n">
        <v>4</v>
      </c>
      <c r="H133" t="n">
        <v>0</v>
      </c>
      <c r="I133" t="n">
        <v>0</v>
      </c>
      <c r="J133" t="n">
        <v>0</v>
      </c>
      <c r="K133" t="n">
        <v>0</v>
      </c>
      <c r="L133" t="n">
        <v>0</v>
      </c>
      <c r="M133" t="n">
        <v>0</v>
      </c>
      <c r="N133" t="n">
        <v>0</v>
      </c>
      <c r="O133" t="n">
        <v>0</v>
      </c>
      <c r="P133" t="n">
        <v>0</v>
      </c>
      <c r="Q133" t="n">
        <v>0</v>
      </c>
      <c r="R133" s="2" t="inlineStr"/>
    </row>
    <row r="134" ht="15" customHeight="1">
      <c r="A134" t="inlineStr">
        <is>
          <t>A 12585-2023</t>
        </is>
      </c>
      <c r="B134" s="1" t="n">
        <v>45000.41373842592</v>
      </c>
      <c r="C134" s="1" t="n">
        <v>45965</v>
      </c>
      <c r="D134" t="inlineStr">
        <is>
          <t>STOCKHOLMS LÄN</t>
        </is>
      </c>
      <c r="E134" t="inlineStr">
        <is>
          <t>VALLENTUNA</t>
        </is>
      </c>
      <c r="G134" t="n">
        <v>3.7</v>
      </c>
      <c r="H134" t="n">
        <v>0</v>
      </c>
      <c r="I134" t="n">
        <v>0</v>
      </c>
      <c r="J134" t="n">
        <v>0</v>
      </c>
      <c r="K134" t="n">
        <v>0</v>
      </c>
      <c r="L134" t="n">
        <v>0</v>
      </c>
      <c r="M134" t="n">
        <v>0</v>
      </c>
      <c r="N134" t="n">
        <v>0</v>
      </c>
      <c r="O134" t="n">
        <v>0</v>
      </c>
      <c r="P134" t="n">
        <v>0</v>
      </c>
      <c r="Q134" t="n">
        <v>0</v>
      </c>
      <c r="R134" s="2" t="inlineStr"/>
    </row>
    <row r="135" ht="15" customHeight="1">
      <c r="A135" t="inlineStr">
        <is>
          <t>A 8787-2024</t>
        </is>
      </c>
      <c r="B135" s="1" t="n">
        <v>45356</v>
      </c>
      <c r="C135" s="1" t="n">
        <v>45965</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50784-2025</t>
        </is>
      </c>
      <c r="B136" s="1" t="n">
        <v>45946</v>
      </c>
      <c r="C136" s="1" t="n">
        <v>45965</v>
      </c>
      <c r="D136" t="inlineStr">
        <is>
          <t>STOCKHOLMS LÄN</t>
        </is>
      </c>
      <c r="E136" t="inlineStr">
        <is>
          <t>VALLENTUNA</t>
        </is>
      </c>
      <c r="G136" t="n">
        <v>1</v>
      </c>
      <c r="H136" t="n">
        <v>0</v>
      </c>
      <c r="I136" t="n">
        <v>0</v>
      </c>
      <c r="J136" t="n">
        <v>0</v>
      </c>
      <c r="K136" t="n">
        <v>0</v>
      </c>
      <c r="L136" t="n">
        <v>0</v>
      </c>
      <c r="M136" t="n">
        <v>0</v>
      </c>
      <c r="N136" t="n">
        <v>0</v>
      </c>
      <c r="O136" t="n">
        <v>0</v>
      </c>
      <c r="P136" t="n">
        <v>0</v>
      </c>
      <c r="Q136" t="n">
        <v>0</v>
      </c>
      <c r="R136" s="2" t="inlineStr"/>
    </row>
    <row r="137" ht="15" customHeight="1">
      <c r="A137" t="inlineStr">
        <is>
          <t>A 44346-2021</t>
        </is>
      </c>
      <c r="B137" s="1" t="n">
        <v>44434</v>
      </c>
      <c r="C137" s="1" t="n">
        <v>45965</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27870-2025</t>
        </is>
      </c>
      <c r="B138" s="1" t="n">
        <v>45817</v>
      </c>
      <c r="C138" s="1" t="n">
        <v>45965</v>
      </c>
      <c r="D138" t="inlineStr">
        <is>
          <t>STOCKHOLMS LÄN</t>
        </is>
      </c>
      <c r="E138" t="inlineStr">
        <is>
          <t>VALLENTUNA</t>
        </is>
      </c>
      <c r="G138" t="n">
        <v>2.3</v>
      </c>
      <c r="H138" t="n">
        <v>0</v>
      </c>
      <c r="I138" t="n">
        <v>0</v>
      </c>
      <c r="J138" t="n">
        <v>0</v>
      </c>
      <c r="K138" t="n">
        <v>0</v>
      </c>
      <c r="L138" t="n">
        <v>0</v>
      </c>
      <c r="M138" t="n">
        <v>0</v>
      </c>
      <c r="N138" t="n">
        <v>0</v>
      </c>
      <c r="O138" t="n">
        <v>0</v>
      </c>
      <c r="P138" t="n">
        <v>0</v>
      </c>
      <c r="Q138" t="n">
        <v>0</v>
      </c>
      <c r="R138" s="2" t="inlineStr"/>
    </row>
    <row r="139" ht="15" customHeight="1">
      <c r="A139" t="inlineStr">
        <is>
          <t>A 27868-2025</t>
        </is>
      </c>
      <c r="B139" s="1" t="n">
        <v>45817</v>
      </c>
      <c r="C139" s="1" t="n">
        <v>45965</v>
      </c>
      <c r="D139" t="inlineStr">
        <is>
          <t>STOCKHOLMS LÄN</t>
        </is>
      </c>
      <c r="E139" t="inlineStr">
        <is>
          <t>VALLENTUNA</t>
        </is>
      </c>
      <c r="G139" t="n">
        <v>2.1</v>
      </c>
      <c r="H139" t="n">
        <v>0</v>
      </c>
      <c r="I139" t="n">
        <v>0</v>
      </c>
      <c r="J139" t="n">
        <v>0</v>
      </c>
      <c r="K139" t="n">
        <v>0</v>
      </c>
      <c r="L139" t="n">
        <v>0</v>
      </c>
      <c r="M139" t="n">
        <v>0</v>
      </c>
      <c r="N139" t="n">
        <v>0</v>
      </c>
      <c r="O139" t="n">
        <v>0</v>
      </c>
      <c r="P139" t="n">
        <v>0</v>
      </c>
      <c r="Q139" t="n">
        <v>0</v>
      </c>
      <c r="R139" s="2" t="inlineStr"/>
    </row>
    <row r="140">
      <c r="A140" t="inlineStr">
        <is>
          <t>A 44988-2025</t>
        </is>
      </c>
      <c r="B140" s="1" t="n">
        <v>45918.65505787037</v>
      </c>
      <c r="C140" s="1" t="n">
        <v>45965</v>
      </c>
      <c r="D140" t="inlineStr">
        <is>
          <t>STOCKHOLMS LÄN</t>
        </is>
      </c>
      <c r="E140" t="inlineStr">
        <is>
          <t>VALLENTUNA</t>
        </is>
      </c>
      <c r="G140" t="n">
        <v>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2025-11-04T10:08:48Z</dcterms:created>
  <dcterms:modified xmlns:dcterms="http://purl.org/dc/terms/" xmlns:xsi="http://www.w3.org/2001/XMLSchema-instance" xsi:type="dcterms:W3CDTF">2025-11-04T10:08:48Z</dcterms:modified>
</cp:coreProperties>
</file>