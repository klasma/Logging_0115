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45882</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45882</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45882</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45882</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45882</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45882</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45882</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45882</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45882</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45882</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41021-2023</t>
        </is>
      </c>
      <c r="B18" s="1" t="n">
        <v>45173</v>
      </c>
      <c r="C18" s="1" t="n">
        <v>45882</v>
      </c>
      <c r="D18" t="inlineStr">
        <is>
          <t>STOCKHOLMS LÄN</t>
        </is>
      </c>
      <c r="E18" t="inlineStr">
        <is>
          <t>VALLENTUNA</t>
        </is>
      </c>
      <c r="G18" t="n">
        <v>3</v>
      </c>
      <c r="H18" t="n">
        <v>0</v>
      </c>
      <c r="I18" t="n">
        <v>1</v>
      </c>
      <c r="J18" t="n">
        <v>1</v>
      </c>
      <c r="K18" t="n">
        <v>0</v>
      </c>
      <c r="L18" t="n">
        <v>0</v>
      </c>
      <c r="M18" t="n">
        <v>0</v>
      </c>
      <c r="N18" t="n">
        <v>0</v>
      </c>
      <c r="O18" t="n">
        <v>1</v>
      </c>
      <c r="P18" t="n">
        <v>0</v>
      </c>
      <c r="Q18" t="n">
        <v>2</v>
      </c>
      <c r="R18" s="2" t="inlineStr">
        <is>
          <t>Orange taggsvamp
Fjällig taggsvamp s.str.</t>
        </is>
      </c>
      <c r="S18">
        <f>HYPERLINK("https://klasma.github.io/Logging_0115/artfynd/A 41021-2023 artfynd.xlsx", "A 41021-2023")</f>
        <v/>
      </c>
      <c r="T18">
        <f>HYPERLINK("https://klasma.github.io/Logging_0115/kartor/A 41021-2023 karta.png", "A 41021-2023")</f>
        <v/>
      </c>
      <c r="V18">
        <f>HYPERLINK("https://klasma.github.io/Logging_0115/klagomål/A 41021-2023 FSC-klagomål.docx", "A 41021-2023")</f>
        <v/>
      </c>
      <c r="W18">
        <f>HYPERLINK("https://klasma.github.io/Logging_0115/klagomålsmail/A 41021-2023 FSC-klagomål mail.docx", "A 41021-2023")</f>
        <v/>
      </c>
      <c r="X18">
        <f>HYPERLINK("https://klasma.github.io/Logging_0115/tillsyn/A 41021-2023 tillsynsbegäran.docx", "A 41021-2023")</f>
        <v/>
      </c>
      <c r="Y18">
        <f>HYPERLINK("https://klasma.github.io/Logging_0115/tillsynsmail/A 41021-2023 tillsynsbegäran mail.docx", "A 41021-2023")</f>
        <v/>
      </c>
    </row>
    <row r="19" ht="15" customHeight="1">
      <c r="A19" t="inlineStr">
        <is>
          <t>A 46-2022</t>
        </is>
      </c>
      <c r="B19" s="1" t="n">
        <v>44560</v>
      </c>
      <c r="C19" s="1" t="n">
        <v>45882</v>
      </c>
      <c r="D19" t="inlineStr">
        <is>
          <t>STOCKHOLMS LÄN</t>
        </is>
      </c>
      <c r="E19" t="inlineStr">
        <is>
          <t>VALLENTUNA</t>
        </is>
      </c>
      <c r="F19" t="inlineStr">
        <is>
          <t>Övriga Aktiebolag</t>
        </is>
      </c>
      <c r="G19" t="n">
        <v>7.9</v>
      </c>
      <c r="H19" t="n">
        <v>1</v>
      </c>
      <c r="I19" t="n">
        <v>1</v>
      </c>
      <c r="J19" t="n">
        <v>0</v>
      </c>
      <c r="K19" t="n">
        <v>0</v>
      </c>
      <c r="L19" t="n">
        <v>0</v>
      </c>
      <c r="M19" t="n">
        <v>0</v>
      </c>
      <c r="N19" t="n">
        <v>0</v>
      </c>
      <c r="O19" t="n">
        <v>0</v>
      </c>
      <c r="P19" t="n">
        <v>0</v>
      </c>
      <c r="Q19" t="n">
        <v>2</v>
      </c>
      <c r="R19" s="2" t="inlineStr">
        <is>
          <t>Fällmossa
Blåsippa</t>
        </is>
      </c>
      <c r="S19">
        <f>HYPERLINK("https://klasma.github.io/Logging_0115/artfynd/A 46-2022 artfynd.xlsx", "A 46-2022")</f>
        <v/>
      </c>
      <c r="T19">
        <f>HYPERLINK("https://klasma.github.io/Logging_0115/kartor/A 46-2022 karta.png", "A 46-2022")</f>
        <v/>
      </c>
      <c r="V19">
        <f>HYPERLINK("https://klasma.github.io/Logging_0115/klagomål/A 46-2022 FSC-klagomål.docx", "A 46-2022")</f>
        <v/>
      </c>
      <c r="W19">
        <f>HYPERLINK("https://klasma.github.io/Logging_0115/klagomålsmail/A 46-2022 FSC-klagomål mail.docx", "A 46-2022")</f>
        <v/>
      </c>
      <c r="X19">
        <f>HYPERLINK("https://klasma.github.io/Logging_0115/tillsyn/A 46-2022 tillsynsbegäran.docx", "A 46-2022")</f>
        <v/>
      </c>
      <c r="Y19">
        <f>HYPERLINK("https://klasma.github.io/Logging_0115/tillsynsmail/A 46-2022 tillsynsbegäran mail.docx", "A 46-2022")</f>
        <v/>
      </c>
    </row>
    <row r="20" ht="15" customHeight="1">
      <c r="A20" t="inlineStr">
        <is>
          <t>A 9745-2022</t>
        </is>
      </c>
      <c r="B20" s="1" t="n">
        <v>44618</v>
      </c>
      <c r="C20" s="1" t="n">
        <v>45882</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45882</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17341-2025</t>
        </is>
      </c>
      <c r="B22" s="1" t="n">
        <v>45756</v>
      </c>
      <c r="C22" s="1" t="n">
        <v>45882</v>
      </c>
      <c r="D22" t="inlineStr">
        <is>
          <t>STOCKHOLMS LÄN</t>
        </is>
      </c>
      <c r="E22" t="inlineStr">
        <is>
          <t>VALLENTUNA</t>
        </is>
      </c>
      <c r="F22" t="inlineStr">
        <is>
          <t>Övriga Aktiebolag</t>
        </is>
      </c>
      <c r="G22" t="n">
        <v>5.2</v>
      </c>
      <c r="H22" t="n">
        <v>0</v>
      </c>
      <c r="I22" t="n">
        <v>1</v>
      </c>
      <c r="J22" t="n">
        <v>0</v>
      </c>
      <c r="K22" t="n">
        <v>0</v>
      </c>
      <c r="L22" t="n">
        <v>0</v>
      </c>
      <c r="M22" t="n">
        <v>0</v>
      </c>
      <c r="N22" t="n">
        <v>0</v>
      </c>
      <c r="O22" t="n">
        <v>0</v>
      </c>
      <c r="P22" t="n">
        <v>0</v>
      </c>
      <c r="Q22" t="n">
        <v>1</v>
      </c>
      <c r="R22" s="2" t="inlineStr">
        <is>
          <t>Björksplintborre</t>
        </is>
      </c>
      <c r="S22">
        <f>HYPERLINK("https://klasma.github.io/Logging_0115/artfynd/A 17341-2025 artfynd.xlsx", "A 17341-2025")</f>
        <v/>
      </c>
      <c r="T22">
        <f>HYPERLINK("https://klasma.github.io/Logging_0115/kartor/A 17341-2025 karta.png", "A 17341-2025")</f>
        <v/>
      </c>
      <c r="V22">
        <f>HYPERLINK("https://klasma.github.io/Logging_0115/klagomål/A 17341-2025 FSC-klagomål.docx", "A 17341-2025")</f>
        <v/>
      </c>
      <c r="W22">
        <f>HYPERLINK("https://klasma.github.io/Logging_0115/klagomålsmail/A 17341-2025 FSC-klagomål mail.docx", "A 17341-2025")</f>
        <v/>
      </c>
      <c r="X22">
        <f>HYPERLINK("https://klasma.github.io/Logging_0115/tillsyn/A 17341-2025 tillsynsbegäran.docx", "A 17341-2025")</f>
        <v/>
      </c>
      <c r="Y22">
        <f>HYPERLINK("https://klasma.github.io/Logging_0115/tillsynsmail/A 17341-2025 tillsynsbegäran mail.docx", "A 17341-2025")</f>
        <v/>
      </c>
    </row>
    <row r="23" ht="15" customHeight="1">
      <c r="A23" t="inlineStr">
        <is>
          <t>A 8817-2025</t>
        </is>
      </c>
      <c r="B23" s="1" t="n">
        <v>45712.70987268518</v>
      </c>
      <c r="C23" s="1" t="n">
        <v>45882</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14508-2024</t>
        </is>
      </c>
      <c r="B24" s="1" t="n">
        <v>45394.61583333334</v>
      </c>
      <c r="C24" s="1" t="n">
        <v>45882</v>
      </c>
      <c r="D24" t="inlineStr">
        <is>
          <t>STOCKHOLMS LÄN</t>
        </is>
      </c>
      <c r="E24" t="inlineStr">
        <is>
          <t>VALLENTUNA</t>
        </is>
      </c>
      <c r="G24" t="n">
        <v>1.7</v>
      </c>
      <c r="H24" t="n">
        <v>1</v>
      </c>
      <c r="I24" t="n">
        <v>0</v>
      </c>
      <c r="J24" t="n">
        <v>1</v>
      </c>
      <c r="K24" t="n">
        <v>0</v>
      </c>
      <c r="L24" t="n">
        <v>0</v>
      </c>
      <c r="M24" t="n">
        <v>0</v>
      </c>
      <c r="N24" t="n">
        <v>0</v>
      </c>
      <c r="O24" t="n">
        <v>1</v>
      </c>
      <c r="P24" t="n">
        <v>0</v>
      </c>
      <c r="Q24" t="n">
        <v>1</v>
      </c>
      <c r="R24" s="2" t="inlineStr">
        <is>
          <t>Mindre hackspett</t>
        </is>
      </c>
      <c r="S24">
        <f>HYPERLINK("https://klasma.github.io/Logging_0115/artfynd/A 14508-2024 artfynd.xlsx", "A 14508-2024")</f>
        <v/>
      </c>
      <c r="T24">
        <f>HYPERLINK("https://klasma.github.io/Logging_0115/kartor/A 14508-2024 karta.png", "A 14508-2024")</f>
        <v/>
      </c>
      <c r="V24">
        <f>HYPERLINK("https://klasma.github.io/Logging_0115/klagomål/A 14508-2024 FSC-klagomål.docx", "A 14508-2024")</f>
        <v/>
      </c>
      <c r="W24">
        <f>HYPERLINK("https://klasma.github.io/Logging_0115/klagomålsmail/A 14508-2024 FSC-klagomål mail.docx", "A 14508-2024")</f>
        <v/>
      </c>
      <c r="X24">
        <f>HYPERLINK("https://klasma.github.io/Logging_0115/tillsyn/A 14508-2024 tillsynsbegäran.docx", "A 14508-2024")</f>
        <v/>
      </c>
      <c r="Y24">
        <f>HYPERLINK("https://klasma.github.io/Logging_0115/tillsynsmail/A 14508-2024 tillsynsbegäran mail.docx", "A 14508-2024")</f>
        <v/>
      </c>
      <c r="Z24">
        <f>HYPERLINK("https://klasma.github.io/Logging_0115/fåglar/A 14508-2024 prioriterade fågelarter.docx", "A 14508-2024")</f>
        <v/>
      </c>
    </row>
    <row r="25" ht="15" customHeight="1">
      <c r="A25" t="inlineStr">
        <is>
          <t>A 21439-2025</t>
        </is>
      </c>
      <c r="B25" s="1" t="n">
        <v>45782.52939814814</v>
      </c>
      <c r="C25" s="1" t="n">
        <v>45882</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17348-2025</t>
        </is>
      </c>
      <c r="B26" s="1" t="n">
        <v>45756</v>
      </c>
      <c r="C26" s="1" t="n">
        <v>45882</v>
      </c>
      <c r="D26" t="inlineStr">
        <is>
          <t>STOCKHOLMS LÄN</t>
        </is>
      </c>
      <c r="E26" t="inlineStr">
        <is>
          <t>VALLENTUNA</t>
        </is>
      </c>
      <c r="F26" t="inlineStr">
        <is>
          <t>Övriga Aktiebolag</t>
        </is>
      </c>
      <c r="G26" t="n">
        <v>2.2</v>
      </c>
      <c r="H26" t="n">
        <v>0</v>
      </c>
      <c r="I26" t="n">
        <v>1</v>
      </c>
      <c r="J26" t="n">
        <v>0</v>
      </c>
      <c r="K26" t="n">
        <v>0</v>
      </c>
      <c r="L26" t="n">
        <v>0</v>
      </c>
      <c r="M26" t="n">
        <v>0</v>
      </c>
      <c r="N26" t="n">
        <v>0</v>
      </c>
      <c r="O26" t="n">
        <v>0</v>
      </c>
      <c r="P26" t="n">
        <v>0</v>
      </c>
      <c r="Q26" t="n">
        <v>1</v>
      </c>
      <c r="R26" s="2" t="inlineStr">
        <is>
          <t>Björksplintborre</t>
        </is>
      </c>
      <c r="S26">
        <f>HYPERLINK("https://klasma.github.io/Logging_0115/artfynd/A 17348-2025 artfynd.xlsx", "A 17348-2025")</f>
        <v/>
      </c>
      <c r="T26">
        <f>HYPERLINK("https://klasma.github.io/Logging_0115/kartor/A 17348-2025 karta.png", "A 17348-2025")</f>
        <v/>
      </c>
      <c r="V26">
        <f>HYPERLINK("https://klasma.github.io/Logging_0115/klagomål/A 17348-2025 FSC-klagomål.docx", "A 17348-2025")</f>
        <v/>
      </c>
      <c r="W26">
        <f>HYPERLINK("https://klasma.github.io/Logging_0115/klagomålsmail/A 17348-2025 FSC-klagomål mail.docx", "A 17348-2025")</f>
        <v/>
      </c>
      <c r="X26">
        <f>HYPERLINK("https://klasma.github.io/Logging_0115/tillsyn/A 17348-2025 tillsynsbegäran.docx", "A 17348-2025")</f>
        <v/>
      </c>
      <c r="Y26">
        <f>HYPERLINK("https://klasma.github.io/Logging_0115/tillsynsmail/A 17348-2025 tillsynsbegäran mail.docx", "A 17348-2025")</f>
        <v/>
      </c>
    </row>
    <row r="27" ht="15" customHeight="1">
      <c r="A27" t="inlineStr">
        <is>
          <t>A 22936-2025</t>
        </is>
      </c>
      <c r="B27" s="1" t="n">
        <v>45790.45738425926</v>
      </c>
      <c r="C27" s="1" t="n">
        <v>45882</v>
      </c>
      <c r="D27" t="inlineStr">
        <is>
          <t>STOCKHOLMS LÄN</t>
        </is>
      </c>
      <c r="E27" t="inlineStr">
        <is>
          <t>VALLENTUNA</t>
        </is>
      </c>
      <c r="G27" t="n">
        <v>2.7</v>
      </c>
      <c r="H27" t="n">
        <v>0</v>
      </c>
      <c r="I27" t="n">
        <v>1</v>
      </c>
      <c r="J27" t="n">
        <v>0</v>
      </c>
      <c r="K27" t="n">
        <v>0</v>
      </c>
      <c r="L27" t="n">
        <v>0</v>
      </c>
      <c r="M27" t="n">
        <v>0</v>
      </c>
      <c r="N27" t="n">
        <v>0</v>
      </c>
      <c r="O27" t="n">
        <v>0</v>
      </c>
      <c r="P27" t="n">
        <v>0</v>
      </c>
      <c r="Q27" t="n">
        <v>1</v>
      </c>
      <c r="R27" s="2" t="inlineStr">
        <is>
          <t>Björksplintborre</t>
        </is>
      </c>
      <c r="S27">
        <f>HYPERLINK("https://klasma.github.io/Logging_0115/artfynd/A 22936-2025 artfynd.xlsx", "A 22936-2025")</f>
        <v/>
      </c>
      <c r="T27">
        <f>HYPERLINK("https://klasma.github.io/Logging_0115/kartor/A 22936-2025 karta.png", "A 22936-2025")</f>
        <v/>
      </c>
      <c r="V27">
        <f>HYPERLINK("https://klasma.github.io/Logging_0115/klagomål/A 22936-2025 FSC-klagomål.docx", "A 22936-2025")</f>
        <v/>
      </c>
      <c r="W27">
        <f>HYPERLINK("https://klasma.github.io/Logging_0115/klagomålsmail/A 22936-2025 FSC-klagomål mail.docx", "A 22936-2025")</f>
        <v/>
      </c>
      <c r="X27">
        <f>HYPERLINK("https://klasma.github.io/Logging_0115/tillsyn/A 22936-2025 tillsynsbegäran.docx", "A 22936-2025")</f>
        <v/>
      </c>
      <c r="Y27">
        <f>HYPERLINK("https://klasma.github.io/Logging_0115/tillsynsmail/A 22936-2025 tillsynsbegäran mail.docx", "A 22936-2025")</f>
        <v/>
      </c>
    </row>
    <row r="28" ht="15" customHeight="1">
      <c r="A28" t="inlineStr">
        <is>
          <t>A 21-2022</t>
        </is>
      </c>
      <c r="B28" s="1" t="n">
        <v>44560</v>
      </c>
      <c r="C28" s="1" t="n">
        <v>45882</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27870-2025</t>
        </is>
      </c>
      <c r="B29" s="1" t="n">
        <v>45817</v>
      </c>
      <c r="C29" s="1" t="n">
        <v>45882</v>
      </c>
      <c r="D29" t="inlineStr">
        <is>
          <t>STOCKHOLMS LÄN</t>
        </is>
      </c>
      <c r="E29" t="inlineStr">
        <is>
          <t>VALLENTUNA</t>
        </is>
      </c>
      <c r="G29" t="n">
        <v>5</v>
      </c>
      <c r="H29" t="n">
        <v>0</v>
      </c>
      <c r="I29" t="n">
        <v>0</v>
      </c>
      <c r="J29" t="n">
        <v>1</v>
      </c>
      <c r="K29" t="n">
        <v>0</v>
      </c>
      <c r="L29" t="n">
        <v>0</v>
      </c>
      <c r="M29" t="n">
        <v>0</v>
      </c>
      <c r="N29" t="n">
        <v>0</v>
      </c>
      <c r="O29" t="n">
        <v>1</v>
      </c>
      <c r="P29" t="n">
        <v>0</v>
      </c>
      <c r="Q29" t="n">
        <v>1</v>
      </c>
      <c r="R29" s="2" t="inlineStr">
        <is>
          <t>Bronspraktbagge</t>
        </is>
      </c>
      <c r="S29">
        <f>HYPERLINK("https://klasma.github.io/Logging_0115/artfynd/A 27870-2025 artfynd.xlsx", "A 27870-2025")</f>
        <v/>
      </c>
      <c r="T29">
        <f>HYPERLINK("https://klasma.github.io/Logging_0115/kartor/A 27870-2025 karta.png", "A 27870-2025")</f>
        <v/>
      </c>
      <c r="V29">
        <f>HYPERLINK("https://klasma.github.io/Logging_0115/klagomål/A 27870-2025 FSC-klagomål.docx", "A 27870-2025")</f>
        <v/>
      </c>
      <c r="W29">
        <f>HYPERLINK("https://klasma.github.io/Logging_0115/klagomålsmail/A 27870-2025 FSC-klagomål mail.docx", "A 27870-2025")</f>
        <v/>
      </c>
      <c r="X29">
        <f>HYPERLINK("https://klasma.github.io/Logging_0115/tillsyn/A 27870-2025 tillsynsbegäran.docx", "A 27870-2025")</f>
        <v/>
      </c>
      <c r="Y29">
        <f>HYPERLINK("https://klasma.github.io/Logging_0115/tillsynsmail/A 27870-2025 tillsynsbegäran mail.docx", "A 27870-2025")</f>
        <v/>
      </c>
    </row>
    <row r="30" ht="15" customHeight="1">
      <c r="A30" t="inlineStr">
        <is>
          <t>A 7890-2023</t>
        </is>
      </c>
      <c r="B30" s="1" t="n">
        <v>44973</v>
      </c>
      <c r="C30" s="1" t="n">
        <v>45882</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22830-2024</t>
        </is>
      </c>
      <c r="B31" s="1" t="n">
        <v>45448.56583333333</v>
      </c>
      <c r="C31" s="1" t="n">
        <v>45882</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8946-2025</t>
        </is>
      </c>
      <c r="B32" s="1" t="n">
        <v>45712</v>
      </c>
      <c r="C32" s="1" t="n">
        <v>45882</v>
      </c>
      <c r="D32" t="inlineStr">
        <is>
          <t>STOCKHOLMS LÄN</t>
        </is>
      </c>
      <c r="E32" t="inlineStr">
        <is>
          <t>VALLENTUNA</t>
        </is>
      </c>
      <c r="G32" t="n">
        <v>4.4</v>
      </c>
      <c r="H32" t="n">
        <v>0</v>
      </c>
      <c r="I32" t="n">
        <v>0</v>
      </c>
      <c r="J32" t="n">
        <v>1</v>
      </c>
      <c r="K32" t="n">
        <v>0</v>
      </c>
      <c r="L32" t="n">
        <v>0</v>
      </c>
      <c r="M32" t="n">
        <v>0</v>
      </c>
      <c r="N32" t="n">
        <v>0</v>
      </c>
      <c r="O32" t="n">
        <v>1</v>
      </c>
      <c r="P32" t="n">
        <v>0</v>
      </c>
      <c r="Q32" t="n">
        <v>1</v>
      </c>
      <c r="R32" s="2" t="inlineStr">
        <is>
          <t>Granticka</t>
        </is>
      </c>
      <c r="S32">
        <f>HYPERLINK("https://klasma.github.io/Logging_0115/artfynd/A 8946-2025 artfynd.xlsx", "A 8946-2025")</f>
        <v/>
      </c>
      <c r="T32">
        <f>HYPERLINK("https://klasma.github.io/Logging_0115/kartor/A 8946-2025 karta.png", "A 8946-2025")</f>
        <v/>
      </c>
      <c r="V32">
        <f>HYPERLINK("https://klasma.github.io/Logging_0115/klagomål/A 8946-2025 FSC-klagomål.docx", "A 8946-2025")</f>
        <v/>
      </c>
      <c r="W32">
        <f>HYPERLINK("https://klasma.github.io/Logging_0115/klagomålsmail/A 8946-2025 FSC-klagomål mail.docx", "A 8946-2025")</f>
        <v/>
      </c>
      <c r="X32">
        <f>HYPERLINK("https://klasma.github.io/Logging_0115/tillsyn/A 8946-2025 tillsynsbegäran.docx", "A 8946-2025")</f>
        <v/>
      </c>
      <c r="Y32">
        <f>HYPERLINK("https://klasma.github.io/Logging_0115/tillsynsmail/A 8946-2025 tillsynsbegäran mail.docx", "A 8946-2025")</f>
        <v/>
      </c>
    </row>
    <row r="33" ht="15" customHeight="1">
      <c r="A33" t="inlineStr">
        <is>
          <t>A 20612-2021</t>
        </is>
      </c>
      <c r="B33" s="1" t="n">
        <v>44315</v>
      </c>
      <c r="C33" s="1" t="n">
        <v>45882</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45882</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45882</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45882</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45882</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45882</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45882</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45882</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45882</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45882</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37657-2021</t>
        </is>
      </c>
      <c r="B43" s="1" t="n">
        <v>44400</v>
      </c>
      <c r="C43" s="1" t="n">
        <v>45882</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44346-2021</t>
        </is>
      </c>
      <c r="B44" s="1" t="n">
        <v>44434</v>
      </c>
      <c r="C44" s="1" t="n">
        <v>45882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14725-2022</t>
        </is>
      </c>
      <c r="B45" s="1" t="n">
        <v>44655</v>
      </c>
      <c r="C45" s="1" t="n">
        <v>45882</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7276-2022</t>
        </is>
      </c>
      <c r="B46" s="1" t="n">
        <v>44606</v>
      </c>
      <c r="C46" s="1" t="n">
        <v>45882</v>
      </c>
      <c r="D46" t="inlineStr">
        <is>
          <t>STOCKHOLMS LÄN</t>
        </is>
      </c>
      <c r="E46" t="inlineStr">
        <is>
          <t>VALLENTUNA</t>
        </is>
      </c>
      <c r="G46" t="n">
        <v>1.7</v>
      </c>
      <c r="H46" t="n">
        <v>0</v>
      </c>
      <c r="I46" t="n">
        <v>0</v>
      </c>
      <c r="J46" t="n">
        <v>0</v>
      </c>
      <c r="K46" t="n">
        <v>0</v>
      </c>
      <c r="L46" t="n">
        <v>0</v>
      </c>
      <c r="M46" t="n">
        <v>0</v>
      </c>
      <c r="N46" t="n">
        <v>0</v>
      </c>
      <c r="O46" t="n">
        <v>0</v>
      </c>
      <c r="P46" t="n">
        <v>0</v>
      </c>
      <c r="Q46" t="n">
        <v>0</v>
      </c>
      <c r="R46" s="2" t="inlineStr"/>
    </row>
    <row r="47" ht="15" customHeight="1">
      <c r="A47" t="inlineStr">
        <is>
          <t>A 7085-2022</t>
        </is>
      </c>
      <c r="B47" s="1" t="n">
        <v>44603</v>
      </c>
      <c r="C47" s="1" t="n">
        <v>45882</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45882</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48078-2021</t>
        </is>
      </c>
      <c r="B49" s="1" t="n">
        <v>44449.42578703703</v>
      </c>
      <c r="C49" s="1" t="n">
        <v>45882</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42624-2021</t>
        </is>
      </c>
      <c r="B50" s="1" t="n">
        <v>44428</v>
      </c>
      <c r="C50" s="1" t="n">
        <v>45882</v>
      </c>
      <c r="D50" t="inlineStr">
        <is>
          <t>STOCKHOLMS LÄN</t>
        </is>
      </c>
      <c r="E50" t="inlineStr">
        <is>
          <t>VALLENTUNA</t>
        </is>
      </c>
      <c r="G50" t="n">
        <v>0.7</v>
      </c>
      <c r="H50" t="n">
        <v>0</v>
      </c>
      <c r="I50" t="n">
        <v>0</v>
      </c>
      <c r="J50" t="n">
        <v>0</v>
      </c>
      <c r="K50" t="n">
        <v>0</v>
      </c>
      <c r="L50" t="n">
        <v>0</v>
      </c>
      <c r="M50" t="n">
        <v>0</v>
      </c>
      <c r="N50" t="n">
        <v>0</v>
      </c>
      <c r="O50" t="n">
        <v>0</v>
      </c>
      <c r="P50" t="n">
        <v>0</v>
      </c>
      <c r="Q50" t="n">
        <v>0</v>
      </c>
      <c r="R50" s="2" t="inlineStr"/>
    </row>
    <row r="51" ht="15" customHeight="1">
      <c r="A51" t="inlineStr">
        <is>
          <t>A 14430-2021</t>
        </is>
      </c>
      <c r="B51" s="1" t="n">
        <v>44279.4665625</v>
      </c>
      <c r="C51" s="1" t="n">
        <v>45882</v>
      </c>
      <c r="D51" t="inlineStr">
        <is>
          <t>STOCKHOLMS LÄN</t>
        </is>
      </c>
      <c r="E51" t="inlineStr">
        <is>
          <t>VALLENTUNA</t>
        </is>
      </c>
      <c r="G51" t="n">
        <v>1.1</v>
      </c>
      <c r="H51" t="n">
        <v>0</v>
      </c>
      <c r="I51" t="n">
        <v>0</v>
      </c>
      <c r="J51" t="n">
        <v>0</v>
      </c>
      <c r="K51" t="n">
        <v>0</v>
      </c>
      <c r="L51" t="n">
        <v>0</v>
      </c>
      <c r="M51" t="n">
        <v>0</v>
      </c>
      <c r="N51" t="n">
        <v>0</v>
      </c>
      <c r="O51" t="n">
        <v>0</v>
      </c>
      <c r="P51" t="n">
        <v>0</v>
      </c>
      <c r="Q51" t="n">
        <v>0</v>
      </c>
      <c r="R51" s="2" t="inlineStr"/>
    </row>
    <row r="52" ht="15" customHeight="1">
      <c r="A52" t="inlineStr">
        <is>
          <t>A 14443-2021</t>
        </is>
      </c>
      <c r="B52" s="1" t="n">
        <v>44279</v>
      </c>
      <c r="C52" s="1" t="n">
        <v>45882</v>
      </c>
      <c r="D52" t="inlineStr">
        <is>
          <t>STOCKHOLMS LÄN</t>
        </is>
      </c>
      <c r="E52" t="inlineStr">
        <is>
          <t>VALLENTUNA</t>
        </is>
      </c>
      <c r="G52" t="n">
        <v>3.5</v>
      </c>
      <c r="H52" t="n">
        <v>0</v>
      </c>
      <c r="I52" t="n">
        <v>0</v>
      </c>
      <c r="J52" t="n">
        <v>0</v>
      </c>
      <c r="K52" t="n">
        <v>0</v>
      </c>
      <c r="L52" t="n">
        <v>0</v>
      </c>
      <c r="M52" t="n">
        <v>0</v>
      </c>
      <c r="N52" t="n">
        <v>0</v>
      </c>
      <c r="O52" t="n">
        <v>0</v>
      </c>
      <c r="P52" t="n">
        <v>0</v>
      </c>
      <c r="Q52" t="n">
        <v>0</v>
      </c>
      <c r="R52" s="2" t="inlineStr"/>
    </row>
    <row r="53" ht="15" customHeight="1">
      <c r="A53" t="inlineStr">
        <is>
          <t>A 14447-2021</t>
        </is>
      </c>
      <c r="B53" s="1" t="n">
        <v>44279</v>
      </c>
      <c r="C53" s="1" t="n">
        <v>45882</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52377-2021</t>
        </is>
      </c>
      <c r="B54" s="1" t="n">
        <v>44465</v>
      </c>
      <c r="C54" s="1" t="n">
        <v>45882</v>
      </c>
      <c r="D54" t="inlineStr">
        <is>
          <t>STOCKHOLMS LÄN</t>
        </is>
      </c>
      <c r="E54" t="inlineStr">
        <is>
          <t>VALLENTUNA</t>
        </is>
      </c>
      <c r="G54" t="n">
        <v>1.4</v>
      </c>
      <c r="H54" t="n">
        <v>0</v>
      </c>
      <c r="I54" t="n">
        <v>0</v>
      </c>
      <c r="J54" t="n">
        <v>0</v>
      </c>
      <c r="K54" t="n">
        <v>0</v>
      </c>
      <c r="L54" t="n">
        <v>0</v>
      </c>
      <c r="M54" t="n">
        <v>0</v>
      </c>
      <c r="N54" t="n">
        <v>0</v>
      </c>
      <c r="O54" t="n">
        <v>0</v>
      </c>
      <c r="P54" t="n">
        <v>0</v>
      </c>
      <c r="Q54" t="n">
        <v>0</v>
      </c>
      <c r="R54" s="2" t="inlineStr"/>
    </row>
    <row r="55" ht="15" customHeight="1">
      <c r="A55" t="inlineStr">
        <is>
          <t>A 22683-2023</t>
        </is>
      </c>
      <c r="B55" s="1" t="n">
        <v>45071</v>
      </c>
      <c r="C55" s="1" t="n">
        <v>45882</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60795-2023</t>
        </is>
      </c>
      <c r="B56" s="1" t="n">
        <v>45260</v>
      </c>
      <c r="C56" s="1" t="n">
        <v>45882</v>
      </c>
      <c r="D56" t="inlineStr">
        <is>
          <t>STOCKHOLMS LÄN</t>
        </is>
      </c>
      <c r="E56" t="inlineStr">
        <is>
          <t>VALLENTUNA</t>
        </is>
      </c>
      <c r="G56" t="n">
        <v>2.2</v>
      </c>
      <c r="H56" t="n">
        <v>0</v>
      </c>
      <c r="I56" t="n">
        <v>0</v>
      </c>
      <c r="J56" t="n">
        <v>0</v>
      </c>
      <c r="K56" t="n">
        <v>0</v>
      </c>
      <c r="L56" t="n">
        <v>0</v>
      </c>
      <c r="M56" t="n">
        <v>0</v>
      </c>
      <c r="N56" t="n">
        <v>0</v>
      </c>
      <c r="O56" t="n">
        <v>0</v>
      </c>
      <c r="P56" t="n">
        <v>0</v>
      </c>
      <c r="Q56" t="n">
        <v>0</v>
      </c>
      <c r="R56" s="2" t="inlineStr"/>
    </row>
    <row r="57" ht="15" customHeight="1">
      <c r="A57" t="inlineStr">
        <is>
          <t>A 60997-2022</t>
        </is>
      </c>
      <c r="B57" s="1" t="n">
        <v>44914.70746527778</v>
      </c>
      <c r="C57" s="1" t="n">
        <v>45882</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17411-2023</t>
        </is>
      </c>
      <c r="B58" s="1" t="n">
        <v>45035.82512731481</v>
      </c>
      <c r="C58" s="1" t="n">
        <v>45882</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14775-2024</t>
        </is>
      </c>
      <c r="B59" s="1" t="n">
        <v>45397.73675925926</v>
      </c>
      <c r="C59" s="1" t="n">
        <v>45882</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48717-2024</t>
        </is>
      </c>
      <c r="B60" s="1" t="n">
        <v>45593</v>
      </c>
      <c r="C60" s="1" t="n">
        <v>45882</v>
      </c>
      <c r="D60" t="inlineStr">
        <is>
          <t>STOCKHOLMS LÄN</t>
        </is>
      </c>
      <c r="E60" t="inlineStr">
        <is>
          <t>VALLENTUNA</t>
        </is>
      </c>
      <c r="G60" t="n">
        <v>6.2</v>
      </c>
      <c r="H60" t="n">
        <v>0</v>
      </c>
      <c r="I60" t="n">
        <v>0</v>
      </c>
      <c r="J60" t="n">
        <v>0</v>
      </c>
      <c r="K60" t="n">
        <v>0</v>
      </c>
      <c r="L60" t="n">
        <v>0</v>
      </c>
      <c r="M60" t="n">
        <v>0</v>
      </c>
      <c r="N60" t="n">
        <v>0</v>
      </c>
      <c r="O60" t="n">
        <v>0</v>
      </c>
      <c r="P60" t="n">
        <v>0</v>
      </c>
      <c r="Q60" t="n">
        <v>0</v>
      </c>
      <c r="R60" s="2" t="inlineStr"/>
    </row>
    <row r="61" ht="15" customHeight="1">
      <c r="A61" t="inlineStr">
        <is>
          <t>A 68938-2020</t>
        </is>
      </c>
      <c r="B61" s="1" t="n">
        <v>44187</v>
      </c>
      <c r="C61" s="1" t="n">
        <v>45882</v>
      </c>
      <c r="D61" t="inlineStr">
        <is>
          <t>STOCKHOLMS LÄN</t>
        </is>
      </c>
      <c r="E61" t="inlineStr">
        <is>
          <t>VALLENTUNA</t>
        </is>
      </c>
      <c r="G61" t="n">
        <v>3</v>
      </c>
      <c r="H61" t="n">
        <v>0</v>
      </c>
      <c r="I61" t="n">
        <v>0</v>
      </c>
      <c r="J61" t="n">
        <v>0</v>
      </c>
      <c r="K61" t="n">
        <v>0</v>
      </c>
      <c r="L61" t="n">
        <v>0</v>
      </c>
      <c r="M61" t="n">
        <v>0</v>
      </c>
      <c r="N61" t="n">
        <v>0</v>
      </c>
      <c r="O61" t="n">
        <v>0</v>
      </c>
      <c r="P61" t="n">
        <v>0</v>
      </c>
      <c r="Q61" t="n">
        <v>0</v>
      </c>
      <c r="R61" s="2" t="inlineStr"/>
    </row>
    <row r="62" ht="15" customHeight="1">
      <c r="A62" t="inlineStr">
        <is>
          <t>A 1385-2024</t>
        </is>
      </c>
      <c r="B62" s="1" t="n">
        <v>45303</v>
      </c>
      <c r="C62" s="1" t="n">
        <v>45882</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8565-2025</t>
        </is>
      </c>
      <c r="B63" s="1" t="n">
        <v>45709</v>
      </c>
      <c r="C63" s="1" t="n">
        <v>45882</v>
      </c>
      <c r="D63" t="inlineStr">
        <is>
          <t>STOCKHOLMS LÄN</t>
        </is>
      </c>
      <c r="E63" t="inlineStr">
        <is>
          <t>VALLENTUNA</t>
        </is>
      </c>
      <c r="F63" t="inlineStr">
        <is>
          <t>Kommuner</t>
        </is>
      </c>
      <c r="G63" t="n">
        <v>4.2</v>
      </c>
      <c r="H63" t="n">
        <v>0</v>
      </c>
      <c r="I63" t="n">
        <v>0</v>
      </c>
      <c r="J63" t="n">
        <v>0</v>
      </c>
      <c r="K63" t="n">
        <v>0</v>
      </c>
      <c r="L63" t="n">
        <v>0</v>
      </c>
      <c r="M63" t="n">
        <v>0</v>
      </c>
      <c r="N63" t="n">
        <v>0</v>
      </c>
      <c r="O63" t="n">
        <v>0</v>
      </c>
      <c r="P63" t="n">
        <v>0</v>
      </c>
      <c r="Q63" t="n">
        <v>0</v>
      </c>
      <c r="R63" s="2" t="inlineStr"/>
    </row>
    <row r="64" ht="15" customHeight="1">
      <c r="A64" t="inlineStr">
        <is>
          <t>A 20236-2025</t>
        </is>
      </c>
      <c r="B64" s="1" t="n">
        <v>45772.67444444444</v>
      </c>
      <c r="C64" s="1" t="n">
        <v>45882</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8787-2024</t>
        </is>
      </c>
      <c r="B65" s="1" t="n">
        <v>45356</v>
      </c>
      <c r="C65" s="1" t="n">
        <v>45882</v>
      </c>
      <c r="D65" t="inlineStr">
        <is>
          <t>STOCKHOLMS LÄN</t>
        </is>
      </c>
      <c r="E65" t="inlineStr">
        <is>
          <t>VALLENTUNA</t>
        </is>
      </c>
      <c r="G65" t="n">
        <v>1.2</v>
      </c>
      <c r="H65" t="n">
        <v>0</v>
      </c>
      <c r="I65" t="n">
        <v>0</v>
      </c>
      <c r="J65" t="n">
        <v>0</v>
      </c>
      <c r="K65" t="n">
        <v>0</v>
      </c>
      <c r="L65" t="n">
        <v>0</v>
      </c>
      <c r="M65" t="n">
        <v>0</v>
      </c>
      <c r="N65" t="n">
        <v>0</v>
      </c>
      <c r="O65" t="n">
        <v>0</v>
      </c>
      <c r="P65" t="n">
        <v>0</v>
      </c>
      <c r="Q65" t="n">
        <v>0</v>
      </c>
      <c r="R65" s="2" t="inlineStr"/>
    </row>
    <row r="66" ht="15" customHeight="1">
      <c r="A66" t="inlineStr">
        <is>
          <t>A 60818-2023</t>
        </is>
      </c>
      <c r="B66" s="1" t="n">
        <v>45259</v>
      </c>
      <c r="C66" s="1" t="n">
        <v>45882</v>
      </c>
      <c r="D66" t="inlineStr">
        <is>
          <t>STOCKHOLMS LÄN</t>
        </is>
      </c>
      <c r="E66" t="inlineStr">
        <is>
          <t>VALLENTUNA</t>
        </is>
      </c>
      <c r="G66" t="n">
        <v>9.4</v>
      </c>
      <c r="H66" t="n">
        <v>0</v>
      </c>
      <c r="I66" t="n">
        <v>0</v>
      </c>
      <c r="J66" t="n">
        <v>0</v>
      </c>
      <c r="K66" t="n">
        <v>0</v>
      </c>
      <c r="L66" t="n">
        <v>0</v>
      </c>
      <c r="M66" t="n">
        <v>0</v>
      </c>
      <c r="N66" t="n">
        <v>0</v>
      </c>
      <c r="O66" t="n">
        <v>0</v>
      </c>
      <c r="P66" t="n">
        <v>0</v>
      </c>
      <c r="Q66" t="n">
        <v>0</v>
      </c>
      <c r="R66" s="2" t="inlineStr"/>
    </row>
    <row r="67" ht="15" customHeight="1">
      <c r="A67" t="inlineStr">
        <is>
          <t>A 14782-2024</t>
        </is>
      </c>
      <c r="B67" s="1" t="n">
        <v>45397.74266203704</v>
      </c>
      <c r="C67" s="1" t="n">
        <v>45882</v>
      </c>
      <c r="D67" t="inlineStr">
        <is>
          <t>STOCKHOLMS LÄN</t>
        </is>
      </c>
      <c r="E67" t="inlineStr">
        <is>
          <t>VALLENTUNA</t>
        </is>
      </c>
      <c r="G67" t="n">
        <v>3.1</v>
      </c>
      <c r="H67" t="n">
        <v>0</v>
      </c>
      <c r="I67" t="n">
        <v>0</v>
      </c>
      <c r="J67" t="n">
        <v>0</v>
      </c>
      <c r="K67" t="n">
        <v>0</v>
      </c>
      <c r="L67" t="n">
        <v>0</v>
      </c>
      <c r="M67" t="n">
        <v>0</v>
      </c>
      <c r="N67" t="n">
        <v>0</v>
      </c>
      <c r="O67" t="n">
        <v>0</v>
      </c>
      <c r="P67" t="n">
        <v>0</v>
      </c>
      <c r="Q67" t="n">
        <v>0</v>
      </c>
      <c r="R67" s="2" t="inlineStr"/>
    </row>
    <row r="68" ht="15" customHeight="1">
      <c r="A68" t="inlineStr">
        <is>
          <t>A 52562-2023</t>
        </is>
      </c>
      <c r="B68" s="1" t="n">
        <v>45225</v>
      </c>
      <c r="C68" s="1" t="n">
        <v>45882</v>
      </c>
      <c r="D68" t="inlineStr">
        <is>
          <t>STOCKHOLMS LÄN</t>
        </is>
      </c>
      <c r="E68" t="inlineStr">
        <is>
          <t>VALLENTUNA</t>
        </is>
      </c>
      <c r="G68" t="n">
        <v>3.4</v>
      </c>
      <c r="H68" t="n">
        <v>0</v>
      </c>
      <c r="I68" t="n">
        <v>0</v>
      </c>
      <c r="J68" t="n">
        <v>0</v>
      </c>
      <c r="K68" t="n">
        <v>0</v>
      </c>
      <c r="L68" t="n">
        <v>0</v>
      </c>
      <c r="M68" t="n">
        <v>0</v>
      </c>
      <c r="N68" t="n">
        <v>0</v>
      </c>
      <c r="O68" t="n">
        <v>0</v>
      </c>
      <c r="P68" t="n">
        <v>0</v>
      </c>
      <c r="Q68" t="n">
        <v>0</v>
      </c>
      <c r="R68" s="2" t="inlineStr"/>
    </row>
    <row r="69" ht="15" customHeight="1">
      <c r="A69" t="inlineStr">
        <is>
          <t>A 49530-2023</t>
        </is>
      </c>
      <c r="B69" s="1" t="n">
        <v>45205</v>
      </c>
      <c r="C69" s="1" t="n">
        <v>45882</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52542-2023</t>
        </is>
      </c>
      <c r="B70" s="1" t="n">
        <v>45225</v>
      </c>
      <c r="C70" s="1" t="n">
        <v>45882</v>
      </c>
      <c r="D70" t="inlineStr">
        <is>
          <t>STOCKHOLMS LÄN</t>
        </is>
      </c>
      <c r="E70" t="inlineStr">
        <is>
          <t>VALLENTUNA</t>
        </is>
      </c>
      <c r="G70" t="n">
        <v>3.8</v>
      </c>
      <c r="H70" t="n">
        <v>0</v>
      </c>
      <c r="I70" t="n">
        <v>0</v>
      </c>
      <c r="J70" t="n">
        <v>0</v>
      </c>
      <c r="K70" t="n">
        <v>0</v>
      </c>
      <c r="L70" t="n">
        <v>0</v>
      </c>
      <c r="M70" t="n">
        <v>0</v>
      </c>
      <c r="N70" t="n">
        <v>0</v>
      </c>
      <c r="O70" t="n">
        <v>0</v>
      </c>
      <c r="P70" t="n">
        <v>0</v>
      </c>
      <c r="Q70" t="n">
        <v>0</v>
      </c>
      <c r="R70" s="2" t="inlineStr"/>
    </row>
    <row r="71" ht="15" customHeight="1">
      <c r="A71" t="inlineStr">
        <is>
          <t>A 2318-2024</t>
        </is>
      </c>
      <c r="B71" s="1" t="n">
        <v>45310</v>
      </c>
      <c r="C71" s="1" t="n">
        <v>45882</v>
      </c>
      <c r="D71" t="inlineStr">
        <is>
          <t>STOCKHOLMS LÄN</t>
        </is>
      </c>
      <c r="E71" t="inlineStr">
        <is>
          <t>VALLENTUNA</t>
        </is>
      </c>
      <c r="G71" t="n">
        <v>2.2</v>
      </c>
      <c r="H71" t="n">
        <v>0</v>
      </c>
      <c r="I71" t="n">
        <v>0</v>
      </c>
      <c r="J71" t="n">
        <v>0</v>
      </c>
      <c r="K71" t="n">
        <v>0</v>
      </c>
      <c r="L71" t="n">
        <v>0</v>
      </c>
      <c r="M71" t="n">
        <v>0</v>
      </c>
      <c r="N71" t="n">
        <v>0</v>
      </c>
      <c r="O71" t="n">
        <v>0</v>
      </c>
      <c r="P71" t="n">
        <v>0</v>
      </c>
      <c r="Q71" t="n">
        <v>0</v>
      </c>
      <c r="R71" s="2" t="inlineStr"/>
    </row>
    <row r="72" ht="15" customHeight="1">
      <c r="A72" t="inlineStr">
        <is>
          <t>A 52989-2023</t>
        </is>
      </c>
      <c r="B72" s="1" t="n">
        <v>45226</v>
      </c>
      <c r="C72" s="1" t="n">
        <v>45882</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9063-2024</t>
        </is>
      </c>
      <c r="B73" s="1" t="n">
        <v>45357.72652777778</v>
      </c>
      <c r="C73" s="1" t="n">
        <v>45882</v>
      </c>
      <c r="D73" t="inlineStr">
        <is>
          <t>STOCKHOLMS LÄN</t>
        </is>
      </c>
      <c r="E73" t="inlineStr">
        <is>
          <t>VALLENTUNA</t>
        </is>
      </c>
      <c r="G73" t="n">
        <v>4.1</v>
      </c>
      <c r="H73" t="n">
        <v>0</v>
      </c>
      <c r="I73" t="n">
        <v>0</v>
      </c>
      <c r="J73" t="n">
        <v>0</v>
      </c>
      <c r="K73" t="n">
        <v>0</v>
      </c>
      <c r="L73" t="n">
        <v>0</v>
      </c>
      <c r="M73" t="n">
        <v>0</v>
      </c>
      <c r="N73" t="n">
        <v>0</v>
      </c>
      <c r="O73" t="n">
        <v>0</v>
      </c>
      <c r="P73" t="n">
        <v>0</v>
      </c>
      <c r="Q73" t="n">
        <v>0</v>
      </c>
      <c r="R73" s="2" t="inlineStr"/>
    </row>
    <row r="74" ht="15" customHeight="1">
      <c r="A74" t="inlineStr">
        <is>
          <t>A 7264-2022</t>
        </is>
      </c>
      <c r="B74" s="1" t="n">
        <v>44606</v>
      </c>
      <c r="C74" s="1" t="n">
        <v>45882</v>
      </c>
      <c r="D74" t="inlineStr">
        <is>
          <t>STOCKHOLMS LÄN</t>
        </is>
      </c>
      <c r="E74" t="inlineStr">
        <is>
          <t>VALLENTUNA</t>
        </is>
      </c>
      <c r="G74" t="n">
        <v>2.4</v>
      </c>
      <c r="H74" t="n">
        <v>0</v>
      </c>
      <c r="I74" t="n">
        <v>0</v>
      </c>
      <c r="J74" t="n">
        <v>0</v>
      </c>
      <c r="K74" t="n">
        <v>0</v>
      </c>
      <c r="L74" t="n">
        <v>0</v>
      </c>
      <c r="M74" t="n">
        <v>0</v>
      </c>
      <c r="N74" t="n">
        <v>0</v>
      </c>
      <c r="O74" t="n">
        <v>0</v>
      </c>
      <c r="P74" t="n">
        <v>0</v>
      </c>
      <c r="Q74" t="n">
        <v>0</v>
      </c>
      <c r="R74" s="2" t="inlineStr"/>
    </row>
    <row r="75" ht="15" customHeight="1">
      <c r="A75" t="inlineStr">
        <is>
          <t>A 26390-2023</t>
        </is>
      </c>
      <c r="B75" s="1" t="n">
        <v>45086</v>
      </c>
      <c r="C75" s="1" t="n">
        <v>45882</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21445-2023</t>
        </is>
      </c>
      <c r="B76" s="1" t="n">
        <v>45063</v>
      </c>
      <c r="C76" s="1" t="n">
        <v>45882</v>
      </c>
      <c r="D76" t="inlineStr">
        <is>
          <t>STOCKHOLMS LÄN</t>
        </is>
      </c>
      <c r="E76" t="inlineStr">
        <is>
          <t>VALLENTUNA</t>
        </is>
      </c>
      <c r="G76" t="n">
        <v>3.1</v>
      </c>
      <c r="H76" t="n">
        <v>0</v>
      </c>
      <c r="I76" t="n">
        <v>0</v>
      </c>
      <c r="J76" t="n">
        <v>0</v>
      </c>
      <c r="K76" t="n">
        <v>0</v>
      </c>
      <c r="L76" t="n">
        <v>0</v>
      </c>
      <c r="M76" t="n">
        <v>0</v>
      </c>
      <c r="N76" t="n">
        <v>0</v>
      </c>
      <c r="O76" t="n">
        <v>0</v>
      </c>
      <c r="P76" t="n">
        <v>0</v>
      </c>
      <c r="Q76" t="n">
        <v>0</v>
      </c>
      <c r="R76" s="2" t="inlineStr"/>
    </row>
    <row r="77" ht="15" customHeight="1">
      <c r="A77" t="inlineStr">
        <is>
          <t>A 18832-2025</t>
        </is>
      </c>
      <c r="B77" s="1" t="n">
        <v>45764</v>
      </c>
      <c r="C77" s="1" t="n">
        <v>45882</v>
      </c>
      <c r="D77" t="inlineStr">
        <is>
          <t>STOCKHOLMS LÄN</t>
        </is>
      </c>
      <c r="E77" t="inlineStr">
        <is>
          <t>VALLENTUNA</t>
        </is>
      </c>
      <c r="G77" t="n">
        <v>2.7</v>
      </c>
      <c r="H77" t="n">
        <v>0</v>
      </c>
      <c r="I77" t="n">
        <v>0</v>
      </c>
      <c r="J77" t="n">
        <v>0</v>
      </c>
      <c r="K77" t="n">
        <v>0</v>
      </c>
      <c r="L77" t="n">
        <v>0</v>
      </c>
      <c r="M77" t="n">
        <v>0</v>
      </c>
      <c r="N77" t="n">
        <v>0</v>
      </c>
      <c r="O77" t="n">
        <v>0</v>
      </c>
      <c r="P77" t="n">
        <v>0</v>
      </c>
      <c r="Q77" t="n">
        <v>0</v>
      </c>
      <c r="R77" s="2" t="inlineStr"/>
    </row>
    <row r="78" ht="15" customHeight="1">
      <c r="A78" t="inlineStr">
        <is>
          <t>A 14485-2024</t>
        </is>
      </c>
      <c r="B78" s="1" t="n">
        <v>45394.57304398148</v>
      </c>
      <c r="C78" s="1" t="n">
        <v>45882</v>
      </c>
      <c r="D78" t="inlineStr">
        <is>
          <t>STOCKHOLMS LÄN</t>
        </is>
      </c>
      <c r="E78" t="inlineStr">
        <is>
          <t>VALLENTUNA</t>
        </is>
      </c>
      <c r="G78" t="n">
        <v>5.1</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45882</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11950-2025</t>
        </is>
      </c>
      <c r="B80" s="1" t="n">
        <v>45728.55622685186</v>
      </c>
      <c r="C80" s="1" t="n">
        <v>45882</v>
      </c>
      <c r="D80" t="inlineStr">
        <is>
          <t>STOCKHOLMS LÄN</t>
        </is>
      </c>
      <c r="E80" t="inlineStr">
        <is>
          <t>VALLENTUNA</t>
        </is>
      </c>
      <c r="G80" t="n">
        <v>1.4</v>
      </c>
      <c r="H80" t="n">
        <v>0</v>
      </c>
      <c r="I80" t="n">
        <v>0</v>
      </c>
      <c r="J80" t="n">
        <v>0</v>
      </c>
      <c r="K80" t="n">
        <v>0</v>
      </c>
      <c r="L80" t="n">
        <v>0</v>
      </c>
      <c r="M80" t="n">
        <v>0</v>
      </c>
      <c r="N80" t="n">
        <v>0</v>
      </c>
      <c r="O80" t="n">
        <v>0</v>
      </c>
      <c r="P80" t="n">
        <v>0</v>
      </c>
      <c r="Q80" t="n">
        <v>0</v>
      </c>
      <c r="R80" s="2" t="inlineStr"/>
    </row>
    <row r="81" ht="15" customHeight="1">
      <c r="A81" t="inlineStr">
        <is>
          <t>A 34441-2023</t>
        </is>
      </c>
      <c r="B81" s="1" t="n">
        <v>45139</v>
      </c>
      <c r="C81" s="1" t="n">
        <v>45882</v>
      </c>
      <c r="D81" t="inlineStr">
        <is>
          <t>STOCKHOLMS LÄN</t>
        </is>
      </c>
      <c r="E81" t="inlineStr">
        <is>
          <t>VALLENTUNA</t>
        </is>
      </c>
      <c r="G81" t="n">
        <v>1.6</v>
      </c>
      <c r="H81" t="n">
        <v>0</v>
      </c>
      <c r="I81" t="n">
        <v>0</v>
      </c>
      <c r="J81" t="n">
        <v>0</v>
      </c>
      <c r="K81" t="n">
        <v>0</v>
      </c>
      <c r="L81" t="n">
        <v>0</v>
      </c>
      <c r="M81" t="n">
        <v>0</v>
      </c>
      <c r="N81" t="n">
        <v>0</v>
      </c>
      <c r="O81" t="n">
        <v>0</v>
      </c>
      <c r="P81" t="n">
        <v>0</v>
      </c>
      <c r="Q81" t="n">
        <v>0</v>
      </c>
      <c r="R81" s="2" t="inlineStr"/>
    </row>
    <row r="82" ht="15" customHeight="1">
      <c r="A82" t="inlineStr">
        <is>
          <t>A 34445-2023</t>
        </is>
      </c>
      <c r="B82" s="1" t="n">
        <v>45139</v>
      </c>
      <c r="C82" s="1" t="n">
        <v>45882</v>
      </c>
      <c r="D82" t="inlineStr">
        <is>
          <t>STOCKHOLMS LÄN</t>
        </is>
      </c>
      <c r="E82" t="inlineStr">
        <is>
          <t>VALLENTUNA</t>
        </is>
      </c>
      <c r="G82" t="n">
        <v>0.9</v>
      </c>
      <c r="H82" t="n">
        <v>0</v>
      </c>
      <c r="I82" t="n">
        <v>0</v>
      </c>
      <c r="J82" t="n">
        <v>0</v>
      </c>
      <c r="K82" t="n">
        <v>0</v>
      </c>
      <c r="L82" t="n">
        <v>0</v>
      </c>
      <c r="M82" t="n">
        <v>0</v>
      </c>
      <c r="N82" t="n">
        <v>0</v>
      </c>
      <c r="O82" t="n">
        <v>0</v>
      </c>
      <c r="P82" t="n">
        <v>0</v>
      </c>
      <c r="Q82" t="n">
        <v>0</v>
      </c>
      <c r="R82" s="2" t="inlineStr"/>
    </row>
    <row r="83" ht="15" customHeight="1">
      <c r="A83" t="inlineStr">
        <is>
          <t>A 34460-2023</t>
        </is>
      </c>
      <c r="B83" s="1" t="n">
        <v>45139</v>
      </c>
      <c r="C83" s="1" t="n">
        <v>45882</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14489-2024</t>
        </is>
      </c>
      <c r="B84" s="1" t="n">
        <v>45394.58053240741</v>
      </c>
      <c r="C84" s="1" t="n">
        <v>45882</v>
      </c>
      <c r="D84" t="inlineStr">
        <is>
          <t>STOCKHOLMS LÄN</t>
        </is>
      </c>
      <c r="E84" t="inlineStr">
        <is>
          <t>VALLENTUNA</t>
        </is>
      </c>
      <c r="G84" t="n">
        <v>2.3</v>
      </c>
      <c r="H84" t="n">
        <v>0</v>
      </c>
      <c r="I84" t="n">
        <v>0</v>
      </c>
      <c r="J84" t="n">
        <v>0</v>
      </c>
      <c r="K84" t="n">
        <v>0</v>
      </c>
      <c r="L84" t="n">
        <v>0</v>
      </c>
      <c r="M84" t="n">
        <v>0</v>
      </c>
      <c r="N84" t="n">
        <v>0</v>
      </c>
      <c r="O84" t="n">
        <v>0</v>
      </c>
      <c r="P84" t="n">
        <v>0</v>
      </c>
      <c r="Q84" t="n">
        <v>0</v>
      </c>
      <c r="R84" s="2" t="inlineStr"/>
    </row>
    <row r="85" ht="15" customHeight="1">
      <c r="A85" t="inlineStr">
        <is>
          <t>A 15268-2023</t>
        </is>
      </c>
      <c r="B85" s="1" t="n">
        <v>45019.41045138889</v>
      </c>
      <c r="C85" s="1" t="n">
        <v>45882</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61442-2024</t>
        </is>
      </c>
      <c r="B86" s="1" t="n">
        <v>45646.47003472222</v>
      </c>
      <c r="C86" s="1" t="n">
        <v>45882</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48068-2021</t>
        </is>
      </c>
      <c r="B87" s="1" t="n">
        <v>44449.42270833333</v>
      </c>
      <c r="C87" s="1" t="n">
        <v>45882</v>
      </c>
      <c r="D87" t="inlineStr">
        <is>
          <t>STOCKHOLMS LÄN</t>
        </is>
      </c>
      <c r="E87" t="inlineStr">
        <is>
          <t>VALLENTUNA</t>
        </is>
      </c>
      <c r="G87" t="n">
        <v>1.3</v>
      </c>
      <c r="H87" t="n">
        <v>0</v>
      </c>
      <c r="I87" t="n">
        <v>0</v>
      </c>
      <c r="J87" t="n">
        <v>0</v>
      </c>
      <c r="K87" t="n">
        <v>0</v>
      </c>
      <c r="L87" t="n">
        <v>0</v>
      </c>
      <c r="M87" t="n">
        <v>0</v>
      </c>
      <c r="N87" t="n">
        <v>0</v>
      </c>
      <c r="O87" t="n">
        <v>0</v>
      </c>
      <c r="P87" t="n">
        <v>0</v>
      </c>
      <c r="Q87" t="n">
        <v>0</v>
      </c>
      <c r="R87" s="2" t="inlineStr"/>
    </row>
    <row r="88" ht="15" customHeight="1">
      <c r="A88" t="inlineStr">
        <is>
          <t>A 735-2024</t>
        </is>
      </c>
      <c r="B88" s="1" t="n">
        <v>45300</v>
      </c>
      <c r="C88" s="1" t="n">
        <v>45882</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45499-2023</t>
        </is>
      </c>
      <c r="B89" s="1" t="n">
        <v>45194</v>
      </c>
      <c r="C89" s="1" t="n">
        <v>45882</v>
      </c>
      <c r="D89" t="inlineStr">
        <is>
          <t>STOCKHOLMS LÄN</t>
        </is>
      </c>
      <c r="E89" t="inlineStr">
        <is>
          <t>VALLENTUNA</t>
        </is>
      </c>
      <c r="G89" t="n">
        <v>2.5</v>
      </c>
      <c r="H89" t="n">
        <v>0</v>
      </c>
      <c r="I89" t="n">
        <v>0</v>
      </c>
      <c r="J89" t="n">
        <v>0</v>
      </c>
      <c r="K89" t="n">
        <v>0</v>
      </c>
      <c r="L89" t="n">
        <v>0</v>
      </c>
      <c r="M89" t="n">
        <v>0</v>
      </c>
      <c r="N89" t="n">
        <v>0</v>
      </c>
      <c r="O89" t="n">
        <v>0</v>
      </c>
      <c r="P89" t="n">
        <v>0</v>
      </c>
      <c r="Q89" t="n">
        <v>0</v>
      </c>
      <c r="R89" s="2" t="inlineStr"/>
    </row>
    <row r="90" ht="15" customHeight="1">
      <c r="A90" t="inlineStr">
        <is>
          <t>A 12585-2023</t>
        </is>
      </c>
      <c r="B90" s="1" t="n">
        <v>45000.41373842592</v>
      </c>
      <c r="C90" s="1" t="n">
        <v>45882</v>
      </c>
      <c r="D90" t="inlineStr">
        <is>
          <t>STOCKHOLMS LÄN</t>
        </is>
      </c>
      <c r="E90" t="inlineStr">
        <is>
          <t>VALLENTUNA</t>
        </is>
      </c>
      <c r="G90" t="n">
        <v>3.7</v>
      </c>
      <c r="H90" t="n">
        <v>0</v>
      </c>
      <c r="I90" t="n">
        <v>0</v>
      </c>
      <c r="J90" t="n">
        <v>0</v>
      </c>
      <c r="K90" t="n">
        <v>0</v>
      </c>
      <c r="L90" t="n">
        <v>0</v>
      </c>
      <c r="M90" t="n">
        <v>0</v>
      </c>
      <c r="N90" t="n">
        <v>0</v>
      </c>
      <c r="O90" t="n">
        <v>0</v>
      </c>
      <c r="P90" t="n">
        <v>0</v>
      </c>
      <c r="Q90" t="n">
        <v>0</v>
      </c>
      <c r="R90" s="2" t="inlineStr"/>
    </row>
    <row r="91" ht="15" customHeight="1">
      <c r="A91" t="inlineStr">
        <is>
          <t>A 47204-2024</t>
        </is>
      </c>
      <c r="B91" s="1" t="n">
        <v>45586.63575231482</v>
      </c>
      <c r="C91" s="1" t="n">
        <v>45882</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20786-2025</t>
        </is>
      </c>
      <c r="B92" s="1" t="n">
        <v>45776.62273148148</v>
      </c>
      <c r="C92" s="1" t="n">
        <v>45882</v>
      </c>
      <c r="D92" t="inlineStr">
        <is>
          <t>STOCKHOLMS LÄN</t>
        </is>
      </c>
      <c r="E92" t="inlineStr">
        <is>
          <t>VALLENTUNA</t>
        </is>
      </c>
      <c r="G92" t="n">
        <v>7.6</v>
      </c>
      <c r="H92" t="n">
        <v>0</v>
      </c>
      <c r="I92" t="n">
        <v>0</v>
      </c>
      <c r="J92" t="n">
        <v>0</v>
      </c>
      <c r="K92" t="n">
        <v>0</v>
      </c>
      <c r="L92" t="n">
        <v>0</v>
      </c>
      <c r="M92" t="n">
        <v>0</v>
      </c>
      <c r="N92" t="n">
        <v>0</v>
      </c>
      <c r="O92" t="n">
        <v>0</v>
      </c>
      <c r="P92" t="n">
        <v>0</v>
      </c>
      <c r="Q92" t="n">
        <v>0</v>
      </c>
      <c r="R92" s="2" t="inlineStr"/>
    </row>
    <row r="93" ht="15" customHeight="1">
      <c r="A93" t="inlineStr">
        <is>
          <t>A 34452-2021</t>
        </is>
      </c>
      <c r="B93" s="1" t="n">
        <v>44381</v>
      </c>
      <c r="C93" s="1" t="n">
        <v>45882</v>
      </c>
      <c r="D93" t="inlineStr">
        <is>
          <t>STOCKHOLMS LÄN</t>
        </is>
      </c>
      <c r="E93" t="inlineStr">
        <is>
          <t>VALLENTUNA</t>
        </is>
      </c>
      <c r="G93" t="n">
        <v>14.7</v>
      </c>
      <c r="H93" t="n">
        <v>0</v>
      </c>
      <c r="I93" t="n">
        <v>0</v>
      </c>
      <c r="J93" t="n">
        <v>0</v>
      </c>
      <c r="K93" t="n">
        <v>0</v>
      </c>
      <c r="L93" t="n">
        <v>0</v>
      </c>
      <c r="M93" t="n">
        <v>0</v>
      </c>
      <c r="N93" t="n">
        <v>0</v>
      </c>
      <c r="O93" t="n">
        <v>0</v>
      </c>
      <c r="P93" t="n">
        <v>0</v>
      </c>
      <c r="Q93" t="n">
        <v>0</v>
      </c>
      <c r="R93" s="2" t="inlineStr"/>
    </row>
    <row r="94" ht="15" customHeight="1">
      <c r="A94" t="inlineStr">
        <is>
          <t>A 20791-2025</t>
        </is>
      </c>
      <c r="B94" s="1" t="n">
        <v>45776.62738425926</v>
      </c>
      <c r="C94" s="1" t="n">
        <v>45882</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10073-2024</t>
        </is>
      </c>
      <c r="B95" s="1" t="n">
        <v>45364.40821759259</v>
      </c>
      <c r="C95" s="1" t="n">
        <v>45882</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12621-2024</t>
        </is>
      </c>
      <c r="B96" s="1" t="n">
        <v>45383.6325</v>
      </c>
      <c r="C96" s="1" t="n">
        <v>45882</v>
      </c>
      <c r="D96" t="inlineStr">
        <is>
          <t>STOCKHOLMS LÄN</t>
        </is>
      </c>
      <c r="E96" t="inlineStr">
        <is>
          <t>VALLENTUNA</t>
        </is>
      </c>
      <c r="G96" t="n">
        <v>4.4</v>
      </c>
      <c r="H96" t="n">
        <v>0</v>
      </c>
      <c r="I96" t="n">
        <v>0</v>
      </c>
      <c r="J96" t="n">
        <v>0</v>
      </c>
      <c r="K96" t="n">
        <v>0</v>
      </c>
      <c r="L96" t="n">
        <v>0</v>
      </c>
      <c r="M96" t="n">
        <v>0</v>
      </c>
      <c r="N96" t="n">
        <v>0</v>
      </c>
      <c r="O96" t="n">
        <v>0</v>
      </c>
      <c r="P96" t="n">
        <v>0</v>
      </c>
      <c r="Q96" t="n">
        <v>0</v>
      </c>
      <c r="R96" s="2" t="inlineStr"/>
    </row>
    <row r="97" ht="15" customHeight="1">
      <c r="A97" t="inlineStr">
        <is>
          <t>A 20789-2025</t>
        </is>
      </c>
      <c r="B97" s="1" t="n">
        <v>45776.62518518518</v>
      </c>
      <c r="C97" s="1" t="n">
        <v>45882</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15300-2023</t>
        </is>
      </c>
      <c r="B98" s="1" t="n">
        <v>45019</v>
      </c>
      <c r="C98" s="1" t="n">
        <v>45882</v>
      </c>
      <c r="D98" t="inlineStr">
        <is>
          <t>STOCKHOLMS LÄN</t>
        </is>
      </c>
      <c r="E98" t="inlineStr">
        <is>
          <t>VALLENTUNA</t>
        </is>
      </c>
      <c r="G98" t="n">
        <v>1.7</v>
      </c>
      <c r="H98" t="n">
        <v>0</v>
      </c>
      <c r="I98" t="n">
        <v>0</v>
      </c>
      <c r="J98" t="n">
        <v>0</v>
      </c>
      <c r="K98" t="n">
        <v>0</v>
      </c>
      <c r="L98" t="n">
        <v>0</v>
      </c>
      <c r="M98" t="n">
        <v>0</v>
      </c>
      <c r="N98" t="n">
        <v>0</v>
      </c>
      <c r="O98" t="n">
        <v>0</v>
      </c>
      <c r="P98" t="n">
        <v>0</v>
      </c>
      <c r="Q98" t="n">
        <v>0</v>
      </c>
      <c r="R98" s="2" t="inlineStr"/>
    </row>
    <row r="99" ht="15" customHeight="1">
      <c r="A99" t="inlineStr">
        <is>
          <t>A 8077-2022</t>
        </is>
      </c>
      <c r="B99" s="1" t="n">
        <v>44609</v>
      </c>
      <c r="C99" s="1" t="n">
        <v>45882</v>
      </c>
      <c r="D99" t="inlineStr">
        <is>
          <t>STOCKHOLMS LÄN</t>
        </is>
      </c>
      <c r="E99" t="inlineStr">
        <is>
          <t>VALLENTUNA</t>
        </is>
      </c>
      <c r="G99" t="n">
        <v>1.3</v>
      </c>
      <c r="H99" t="n">
        <v>0</v>
      </c>
      <c r="I99" t="n">
        <v>0</v>
      </c>
      <c r="J99" t="n">
        <v>0</v>
      </c>
      <c r="K99" t="n">
        <v>0</v>
      </c>
      <c r="L99" t="n">
        <v>0</v>
      </c>
      <c r="M99" t="n">
        <v>0</v>
      </c>
      <c r="N99" t="n">
        <v>0</v>
      </c>
      <c r="O99" t="n">
        <v>0</v>
      </c>
      <c r="P99" t="n">
        <v>0</v>
      </c>
      <c r="Q99" t="n">
        <v>0</v>
      </c>
      <c r="R99" s="2" t="inlineStr"/>
    </row>
    <row r="100" ht="15" customHeight="1">
      <c r="A100" t="inlineStr">
        <is>
          <t>A 46381-2023</t>
        </is>
      </c>
      <c r="B100" s="1" t="n">
        <v>45193</v>
      </c>
      <c r="C100" s="1" t="n">
        <v>45882</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23009-2024</t>
        </is>
      </c>
      <c r="B101" s="1" t="n">
        <v>45450.34506944445</v>
      </c>
      <c r="C101" s="1" t="n">
        <v>45882</v>
      </c>
      <c r="D101" t="inlineStr">
        <is>
          <t>STOCKHOLMS LÄN</t>
        </is>
      </c>
      <c r="E101" t="inlineStr">
        <is>
          <t>VALLENTUNA</t>
        </is>
      </c>
      <c r="G101" t="n">
        <v>1.4</v>
      </c>
      <c r="H101" t="n">
        <v>0</v>
      </c>
      <c r="I101" t="n">
        <v>0</v>
      </c>
      <c r="J101" t="n">
        <v>0</v>
      </c>
      <c r="K101" t="n">
        <v>0</v>
      </c>
      <c r="L101" t="n">
        <v>0</v>
      </c>
      <c r="M101" t="n">
        <v>0</v>
      </c>
      <c r="N101" t="n">
        <v>0</v>
      </c>
      <c r="O101" t="n">
        <v>0</v>
      </c>
      <c r="P101" t="n">
        <v>0</v>
      </c>
      <c r="Q101" t="n">
        <v>0</v>
      </c>
      <c r="R101" s="2" t="inlineStr"/>
    </row>
    <row r="102" ht="15" customHeight="1">
      <c r="A102" t="inlineStr">
        <is>
          <t>A 61027-2023</t>
        </is>
      </c>
      <c r="B102" s="1" t="n">
        <v>45261</v>
      </c>
      <c r="C102" s="1" t="n">
        <v>45882</v>
      </c>
      <c r="D102" t="inlineStr">
        <is>
          <t>STOCKHOLMS LÄN</t>
        </is>
      </c>
      <c r="E102" t="inlineStr">
        <is>
          <t>VALLENTUNA</t>
        </is>
      </c>
      <c r="G102" t="n">
        <v>7.1</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45586.58753472222</v>
      </c>
      <c r="C103" s="1" t="n">
        <v>45882</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61742-2022</t>
        </is>
      </c>
      <c r="B104" s="1" t="n">
        <v>44917</v>
      </c>
      <c r="C104" s="1" t="n">
        <v>45882</v>
      </c>
      <c r="D104" t="inlineStr">
        <is>
          <t>STOCKHOLMS LÄN</t>
        </is>
      </c>
      <c r="E104" t="inlineStr">
        <is>
          <t>VALLENTUNA</t>
        </is>
      </c>
      <c r="G104" t="n">
        <v>0.5</v>
      </c>
      <c r="H104" t="n">
        <v>0</v>
      </c>
      <c r="I104" t="n">
        <v>0</v>
      </c>
      <c r="J104" t="n">
        <v>0</v>
      </c>
      <c r="K104" t="n">
        <v>0</v>
      </c>
      <c r="L104" t="n">
        <v>0</v>
      </c>
      <c r="M104" t="n">
        <v>0</v>
      </c>
      <c r="N104" t="n">
        <v>0</v>
      </c>
      <c r="O104" t="n">
        <v>0</v>
      </c>
      <c r="P104" t="n">
        <v>0</v>
      </c>
      <c r="Q104" t="n">
        <v>0</v>
      </c>
      <c r="R104" s="2" t="inlineStr"/>
    </row>
    <row r="105" ht="15" customHeight="1">
      <c r="A105" t="inlineStr">
        <is>
          <t>A 68935-2020</t>
        </is>
      </c>
      <c r="B105" s="1" t="n">
        <v>44187</v>
      </c>
      <c r="C105" s="1" t="n">
        <v>45882</v>
      </c>
      <c r="D105" t="inlineStr">
        <is>
          <t>STOCKHOLMS LÄN</t>
        </is>
      </c>
      <c r="E105" t="inlineStr">
        <is>
          <t>VALLENTUNA</t>
        </is>
      </c>
      <c r="G105" t="n">
        <v>7.8</v>
      </c>
      <c r="H105" t="n">
        <v>0</v>
      </c>
      <c r="I105" t="n">
        <v>0</v>
      </c>
      <c r="J105" t="n">
        <v>0</v>
      </c>
      <c r="K105" t="n">
        <v>0</v>
      </c>
      <c r="L105" t="n">
        <v>0</v>
      </c>
      <c r="M105" t="n">
        <v>0</v>
      </c>
      <c r="N105" t="n">
        <v>0</v>
      </c>
      <c r="O105" t="n">
        <v>0</v>
      </c>
      <c r="P105" t="n">
        <v>0</v>
      </c>
      <c r="Q105" t="n">
        <v>0</v>
      </c>
      <c r="R105" s="2" t="inlineStr"/>
    </row>
    <row r="106" ht="15" customHeight="1">
      <c r="A106" t="inlineStr">
        <is>
          <t>A 23923-2025</t>
        </is>
      </c>
      <c r="B106" s="1" t="n">
        <v>45795.39648148148</v>
      </c>
      <c r="C106" s="1" t="n">
        <v>45882</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61655-2020</t>
        </is>
      </c>
      <c r="B107" s="1" t="n">
        <v>44158</v>
      </c>
      <c r="C107" s="1" t="n">
        <v>45882</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11840-2025</t>
        </is>
      </c>
      <c r="B108" s="1" t="n">
        <v>45728.36706018518</v>
      </c>
      <c r="C108" s="1" t="n">
        <v>45882</v>
      </c>
      <c r="D108" t="inlineStr">
        <is>
          <t>STOCKHOLMS LÄN</t>
        </is>
      </c>
      <c r="E108" t="inlineStr">
        <is>
          <t>VALLENTUNA</t>
        </is>
      </c>
      <c r="G108" t="n">
        <v>14.9</v>
      </c>
      <c r="H108" t="n">
        <v>0</v>
      </c>
      <c r="I108" t="n">
        <v>0</v>
      </c>
      <c r="J108" t="n">
        <v>0</v>
      </c>
      <c r="K108" t="n">
        <v>0</v>
      </c>
      <c r="L108" t="n">
        <v>0</v>
      </c>
      <c r="M108" t="n">
        <v>0</v>
      </c>
      <c r="N108" t="n">
        <v>0</v>
      </c>
      <c r="O108" t="n">
        <v>0</v>
      </c>
      <c r="P108" t="n">
        <v>0</v>
      </c>
      <c r="Q108" t="n">
        <v>0</v>
      </c>
      <c r="R108" s="2" t="inlineStr"/>
    </row>
    <row r="109" ht="15" customHeight="1">
      <c r="A109" t="inlineStr">
        <is>
          <t>A 17342-2025</t>
        </is>
      </c>
      <c r="B109" s="1" t="n">
        <v>45756</v>
      </c>
      <c r="C109" s="1" t="n">
        <v>45882</v>
      </c>
      <c r="D109" t="inlineStr">
        <is>
          <t>STOCKHOLMS LÄN</t>
        </is>
      </c>
      <c r="E109" t="inlineStr">
        <is>
          <t>VALLENTUNA</t>
        </is>
      </c>
      <c r="F109" t="inlineStr">
        <is>
          <t>Övriga Aktiebolag</t>
        </is>
      </c>
      <c r="G109" t="n">
        <v>3.9</v>
      </c>
      <c r="H109" t="n">
        <v>0</v>
      </c>
      <c r="I109" t="n">
        <v>0</v>
      </c>
      <c r="J109" t="n">
        <v>0</v>
      </c>
      <c r="K109" t="n">
        <v>0</v>
      </c>
      <c r="L109" t="n">
        <v>0</v>
      </c>
      <c r="M109" t="n">
        <v>0</v>
      </c>
      <c r="N109" t="n">
        <v>0</v>
      </c>
      <c r="O109" t="n">
        <v>0</v>
      </c>
      <c r="P109" t="n">
        <v>0</v>
      </c>
      <c r="Q109" t="n">
        <v>0</v>
      </c>
      <c r="R109" s="2" t="inlineStr"/>
    </row>
    <row r="110" ht="15" customHeight="1">
      <c r="A110" t="inlineStr">
        <is>
          <t>A 12562-2023</t>
        </is>
      </c>
      <c r="B110" s="1" t="n">
        <v>45000</v>
      </c>
      <c r="C110" s="1" t="n">
        <v>45882</v>
      </c>
      <c r="D110" t="inlineStr">
        <is>
          <t>STOCKHOLMS LÄN</t>
        </is>
      </c>
      <c r="E110" t="inlineStr">
        <is>
          <t>VALLENTUNA</t>
        </is>
      </c>
      <c r="G110" t="n">
        <v>2.1</v>
      </c>
      <c r="H110" t="n">
        <v>0</v>
      </c>
      <c r="I110" t="n">
        <v>0</v>
      </c>
      <c r="J110" t="n">
        <v>0</v>
      </c>
      <c r="K110" t="n">
        <v>0</v>
      </c>
      <c r="L110" t="n">
        <v>0</v>
      </c>
      <c r="M110" t="n">
        <v>0</v>
      </c>
      <c r="N110" t="n">
        <v>0</v>
      </c>
      <c r="O110" t="n">
        <v>0</v>
      </c>
      <c r="P110" t="n">
        <v>0</v>
      </c>
      <c r="Q110" t="n">
        <v>0</v>
      </c>
      <c r="R110" s="2" t="inlineStr"/>
    </row>
    <row r="111" ht="15" customHeight="1">
      <c r="A111" t="inlineStr">
        <is>
          <t>A 14480-2024</t>
        </is>
      </c>
      <c r="B111" s="1" t="n">
        <v>45394.56777777777</v>
      </c>
      <c r="C111" s="1" t="n">
        <v>45882</v>
      </c>
      <c r="D111" t="inlineStr">
        <is>
          <t>STOCKHOLMS LÄN</t>
        </is>
      </c>
      <c r="E111" t="inlineStr">
        <is>
          <t>VALLENTUNA</t>
        </is>
      </c>
      <c r="G111" t="n">
        <v>1.8</v>
      </c>
      <c r="H111" t="n">
        <v>0</v>
      </c>
      <c r="I111" t="n">
        <v>0</v>
      </c>
      <c r="J111" t="n">
        <v>0</v>
      </c>
      <c r="K111" t="n">
        <v>0</v>
      </c>
      <c r="L111" t="n">
        <v>0</v>
      </c>
      <c r="M111" t="n">
        <v>0</v>
      </c>
      <c r="N111" t="n">
        <v>0</v>
      </c>
      <c r="O111" t="n">
        <v>0</v>
      </c>
      <c r="P111" t="n">
        <v>0</v>
      </c>
      <c r="Q111" t="n">
        <v>0</v>
      </c>
      <c r="R111" s="2" t="inlineStr"/>
    </row>
    <row r="112" ht="15" customHeight="1">
      <c r="A112" t="inlineStr">
        <is>
          <t>A 17340-2025</t>
        </is>
      </c>
      <c r="B112" s="1" t="n">
        <v>45756</v>
      </c>
      <c r="C112" s="1" t="n">
        <v>45882</v>
      </c>
      <c r="D112" t="inlineStr">
        <is>
          <t>STOCKHOLMS LÄN</t>
        </is>
      </c>
      <c r="E112" t="inlineStr">
        <is>
          <t>VALLENTUNA</t>
        </is>
      </c>
      <c r="F112" t="inlineStr">
        <is>
          <t>Övriga Aktiebolag</t>
        </is>
      </c>
      <c r="G112" t="n">
        <v>2.6</v>
      </c>
      <c r="H112" t="n">
        <v>0</v>
      </c>
      <c r="I112" t="n">
        <v>0</v>
      </c>
      <c r="J112" t="n">
        <v>0</v>
      </c>
      <c r="K112" t="n">
        <v>0</v>
      </c>
      <c r="L112" t="n">
        <v>0</v>
      </c>
      <c r="M112" t="n">
        <v>0</v>
      </c>
      <c r="N112" t="n">
        <v>0</v>
      </c>
      <c r="O112" t="n">
        <v>0</v>
      </c>
      <c r="P112" t="n">
        <v>0</v>
      </c>
      <c r="Q112" t="n">
        <v>0</v>
      </c>
      <c r="R112" s="2" t="inlineStr"/>
    </row>
    <row r="113" ht="15" customHeight="1">
      <c r="A113" t="inlineStr">
        <is>
          <t>A 21765-2023</t>
        </is>
      </c>
      <c r="B113" s="1" t="n">
        <v>45064</v>
      </c>
      <c r="C113" s="1" t="n">
        <v>45882</v>
      </c>
      <c r="D113" t="inlineStr">
        <is>
          <t>STOCKHOLMS LÄN</t>
        </is>
      </c>
      <c r="E113" t="inlineStr">
        <is>
          <t>VALLENTUNA</t>
        </is>
      </c>
      <c r="G113" t="n">
        <v>1.1</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45882</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30913-2021</t>
        </is>
      </c>
      <c r="B115" s="1" t="n">
        <v>44365</v>
      </c>
      <c r="C115" s="1" t="n">
        <v>45882</v>
      </c>
      <c r="D115" t="inlineStr">
        <is>
          <t>STOCKHOLMS LÄN</t>
        </is>
      </c>
      <c r="E115" t="inlineStr">
        <is>
          <t>VALLENTUNA</t>
        </is>
      </c>
      <c r="F115" t="inlineStr">
        <is>
          <t>Övriga Aktiebolag</t>
        </is>
      </c>
      <c r="G115" t="n">
        <v>3.3</v>
      </c>
      <c r="H115" t="n">
        <v>0</v>
      </c>
      <c r="I115" t="n">
        <v>0</v>
      </c>
      <c r="J115" t="n">
        <v>0</v>
      </c>
      <c r="K115" t="n">
        <v>0</v>
      </c>
      <c r="L115" t="n">
        <v>0</v>
      </c>
      <c r="M115" t="n">
        <v>0</v>
      </c>
      <c r="N115" t="n">
        <v>0</v>
      </c>
      <c r="O115" t="n">
        <v>0</v>
      </c>
      <c r="P115" t="n">
        <v>0</v>
      </c>
      <c r="Q115" t="n">
        <v>0</v>
      </c>
      <c r="R115" s="2" t="inlineStr"/>
    </row>
    <row r="116" ht="15" customHeight="1">
      <c r="A116" t="inlineStr">
        <is>
          <t>A 45496-2023</t>
        </is>
      </c>
      <c r="B116" s="1" t="n">
        <v>45194</v>
      </c>
      <c r="C116" s="1" t="n">
        <v>45882</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29704-2023</t>
        </is>
      </c>
      <c r="B117" s="1" t="n">
        <v>45107</v>
      </c>
      <c r="C117" s="1" t="n">
        <v>45882</v>
      </c>
      <c r="D117" t="inlineStr">
        <is>
          <t>STOCKHOLMS LÄN</t>
        </is>
      </c>
      <c r="E117" t="inlineStr">
        <is>
          <t>VALLENTUNA</t>
        </is>
      </c>
      <c r="G117" t="n">
        <v>3.7</v>
      </c>
      <c r="H117" t="n">
        <v>0</v>
      </c>
      <c r="I117" t="n">
        <v>0</v>
      </c>
      <c r="J117" t="n">
        <v>0</v>
      </c>
      <c r="K117" t="n">
        <v>0</v>
      </c>
      <c r="L117" t="n">
        <v>0</v>
      </c>
      <c r="M117" t="n">
        <v>0</v>
      </c>
      <c r="N117" t="n">
        <v>0</v>
      </c>
      <c r="O117" t="n">
        <v>0</v>
      </c>
      <c r="P117" t="n">
        <v>0</v>
      </c>
      <c r="Q117" t="n">
        <v>0</v>
      </c>
      <c r="R117" s="2" t="inlineStr"/>
    </row>
    <row r="118" ht="15" customHeight="1">
      <c r="A118" t="inlineStr">
        <is>
          <t>A 23986-2023</t>
        </is>
      </c>
      <c r="B118" s="1" t="n">
        <v>45078</v>
      </c>
      <c r="C118" s="1" t="n">
        <v>45882</v>
      </c>
      <c r="D118" t="inlineStr">
        <is>
          <t>STOCKHOLMS LÄN</t>
        </is>
      </c>
      <c r="E118" t="inlineStr">
        <is>
          <t>VALLENTUNA</t>
        </is>
      </c>
      <c r="F118" t="inlineStr">
        <is>
          <t>Kyrkan</t>
        </is>
      </c>
      <c r="G118" t="n">
        <v>5.7</v>
      </c>
      <c r="H118" t="n">
        <v>0</v>
      </c>
      <c r="I118" t="n">
        <v>0</v>
      </c>
      <c r="J118" t="n">
        <v>0</v>
      </c>
      <c r="K118" t="n">
        <v>0</v>
      </c>
      <c r="L118" t="n">
        <v>0</v>
      </c>
      <c r="M118" t="n">
        <v>0</v>
      </c>
      <c r="N118" t="n">
        <v>0</v>
      </c>
      <c r="O118" t="n">
        <v>0</v>
      </c>
      <c r="P118" t="n">
        <v>0</v>
      </c>
      <c r="Q118" t="n">
        <v>0</v>
      </c>
      <c r="R118" s="2" t="inlineStr"/>
    </row>
    <row r="119" ht="15" customHeight="1">
      <c r="A119" t="inlineStr">
        <is>
          <t>A 25984-2025</t>
        </is>
      </c>
      <c r="B119" s="1" t="n">
        <v>45804.64016203704</v>
      </c>
      <c r="C119" s="1" t="n">
        <v>45882</v>
      </c>
      <c r="D119" t="inlineStr">
        <is>
          <t>STOCKHOLMS LÄN</t>
        </is>
      </c>
      <c r="E119" t="inlineStr">
        <is>
          <t>VALLENTUNA</t>
        </is>
      </c>
      <c r="G119" t="n">
        <v>2.5</v>
      </c>
      <c r="H119" t="n">
        <v>0</v>
      </c>
      <c r="I119" t="n">
        <v>0</v>
      </c>
      <c r="J119" t="n">
        <v>0</v>
      </c>
      <c r="K119" t="n">
        <v>0</v>
      </c>
      <c r="L119" t="n">
        <v>0</v>
      </c>
      <c r="M119" t="n">
        <v>0</v>
      </c>
      <c r="N119" t="n">
        <v>0</v>
      </c>
      <c r="O119" t="n">
        <v>0</v>
      </c>
      <c r="P119" t="n">
        <v>0</v>
      </c>
      <c r="Q119" t="n">
        <v>0</v>
      </c>
      <c r="R119" s="2" t="inlineStr"/>
    </row>
    <row r="120" ht="15" customHeight="1">
      <c r="A120" t="inlineStr">
        <is>
          <t>A 56152-2024</t>
        </is>
      </c>
      <c r="B120" s="1" t="n">
        <v>45624.52403935185</v>
      </c>
      <c r="C120" s="1" t="n">
        <v>45882</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18847-2025</t>
        </is>
      </c>
      <c r="B121" s="1" t="n">
        <v>45764</v>
      </c>
      <c r="C121" s="1" t="n">
        <v>45882</v>
      </c>
      <c r="D121" t="inlineStr">
        <is>
          <t>STOCKHOLMS LÄN</t>
        </is>
      </c>
      <c r="E121" t="inlineStr">
        <is>
          <t>VALLENTUNA</t>
        </is>
      </c>
      <c r="G121" t="n">
        <v>1.1</v>
      </c>
      <c r="H121" t="n">
        <v>0</v>
      </c>
      <c r="I121" t="n">
        <v>0</v>
      </c>
      <c r="J121" t="n">
        <v>0</v>
      </c>
      <c r="K121" t="n">
        <v>0</v>
      </c>
      <c r="L121" t="n">
        <v>0</v>
      </c>
      <c r="M121" t="n">
        <v>0</v>
      </c>
      <c r="N121" t="n">
        <v>0</v>
      </c>
      <c r="O121" t="n">
        <v>0</v>
      </c>
      <c r="P121" t="n">
        <v>0</v>
      </c>
      <c r="Q121" t="n">
        <v>0</v>
      </c>
      <c r="R121" s="2" t="inlineStr"/>
    </row>
    <row r="122" ht="15" customHeight="1">
      <c r="A122" t="inlineStr">
        <is>
          <t>A 34458-2023</t>
        </is>
      </c>
      <c r="B122" s="1" t="n">
        <v>45139</v>
      </c>
      <c r="C122" s="1" t="n">
        <v>45882</v>
      </c>
      <c r="D122" t="inlineStr">
        <is>
          <t>STOCKHOLMS LÄN</t>
        </is>
      </c>
      <c r="E122" t="inlineStr">
        <is>
          <t>VALLENTUNA</t>
        </is>
      </c>
      <c r="G122" t="n">
        <v>2.5</v>
      </c>
      <c r="H122" t="n">
        <v>0</v>
      </c>
      <c r="I122" t="n">
        <v>0</v>
      </c>
      <c r="J122" t="n">
        <v>0</v>
      </c>
      <c r="K122" t="n">
        <v>0</v>
      </c>
      <c r="L122" t="n">
        <v>0</v>
      </c>
      <c r="M122" t="n">
        <v>0</v>
      </c>
      <c r="N122" t="n">
        <v>0</v>
      </c>
      <c r="O122" t="n">
        <v>0</v>
      </c>
      <c r="P122" t="n">
        <v>0</v>
      </c>
      <c r="Q122" t="n">
        <v>0</v>
      </c>
      <c r="R122" s="2" t="inlineStr"/>
    </row>
    <row r="123" ht="15" customHeight="1">
      <c r="A123" t="inlineStr">
        <is>
          <t>A 24068-2024</t>
        </is>
      </c>
      <c r="B123" s="1" t="n">
        <v>45456</v>
      </c>
      <c r="C123" s="1" t="n">
        <v>45882</v>
      </c>
      <c r="D123" t="inlineStr">
        <is>
          <t>STOCKHOLMS LÄN</t>
        </is>
      </c>
      <c r="E123" t="inlineStr">
        <is>
          <t>VALLENTUNA</t>
        </is>
      </c>
      <c r="G123" t="n">
        <v>7.4</v>
      </c>
      <c r="H123" t="n">
        <v>0</v>
      </c>
      <c r="I123" t="n">
        <v>0</v>
      </c>
      <c r="J123" t="n">
        <v>0</v>
      </c>
      <c r="K123" t="n">
        <v>0</v>
      </c>
      <c r="L123" t="n">
        <v>0</v>
      </c>
      <c r="M123" t="n">
        <v>0</v>
      </c>
      <c r="N123" t="n">
        <v>0</v>
      </c>
      <c r="O123" t="n">
        <v>0</v>
      </c>
      <c r="P123" t="n">
        <v>0</v>
      </c>
      <c r="Q123" t="n">
        <v>0</v>
      </c>
      <c r="R123" s="2" t="inlineStr"/>
    </row>
    <row r="124" ht="15" customHeight="1">
      <c r="A124" t="inlineStr">
        <is>
          <t>A 3937-2022</t>
        </is>
      </c>
      <c r="B124" s="1" t="n">
        <v>44587</v>
      </c>
      <c r="C124" s="1" t="n">
        <v>45882</v>
      </c>
      <c r="D124" t="inlineStr">
        <is>
          <t>STOCKHOLMS LÄN</t>
        </is>
      </c>
      <c r="E124" t="inlineStr">
        <is>
          <t>VALLENTUNA</t>
        </is>
      </c>
      <c r="G124" t="n">
        <v>6.6</v>
      </c>
      <c r="H124" t="n">
        <v>0</v>
      </c>
      <c r="I124" t="n">
        <v>0</v>
      </c>
      <c r="J124" t="n">
        <v>0</v>
      </c>
      <c r="K124" t="n">
        <v>0</v>
      </c>
      <c r="L124" t="n">
        <v>0</v>
      </c>
      <c r="M124" t="n">
        <v>0</v>
      </c>
      <c r="N124" t="n">
        <v>0</v>
      </c>
      <c r="O124" t="n">
        <v>0</v>
      </c>
      <c r="P124" t="n">
        <v>0</v>
      </c>
      <c r="Q124" t="n">
        <v>0</v>
      </c>
      <c r="R124" s="2" t="inlineStr"/>
    </row>
    <row r="125" ht="15" customHeight="1">
      <c r="A125" t="inlineStr">
        <is>
          <t>A 23013-2024</t>
        </is>
      </c>
      <c r="B125" s="1" t="n">
        <v>45450.35116898148</v>
      </c>
      <c r="C125" s="1" t="n">
        <v>45882</v>
      </c>
      <c r="D125" t="inlineStr">
        <is>
          <t>STOCKHOLMS LÄN</t>
        </is>
      </c>
      <c r="E125" t="inlineStr">
        <is>
          <t>VALLENTUNA</t>
        </is>
      </c>
      <c r="G125" t="n">
        <v>0.4</v>
      </c>
      <c r="H125" t="n">
        <v>0</v>
      </c>
      <c r="I125" t="n">
        <v>0</v>
      </c>
      <c r="J125" t="n">
        <v>0</v>
      </c>
      <c r="K125" t="n">
        <v>0</v>
      </c>
      <c r="L125" t="n">
        <v>0</v>
      </c>
      <c r="M125" t="n">
        <v>0</v>
      </c>
      <c r="N125" t="n">
        <v>0</v>
      </c>
      <c r="O125" t="n">
        <v>0</v>
      </c>
      <c r="P125" t="n">
        <v>0</v>
      </c>
      <c r="Q125" t="n">
        <v>0</v>
      </c>
      <c r="R125" s="2" t="inlineStr"/>
    </row>
    <row r="126" ht="15" customHeight="1">
      <c r="A126" t="inlineStr">
        <is>
          <t>A 3078-2023</t>
        </is>
      </c>
      <c r="B126" s="1" t="n">
        <v>44946.41527777778</v>
      </c>
      <c r="C126" s="1" t="n">
        <v>45882</v>
      </c>
      <c r="D126" t="inlineStr">
        <is>
          <t>STOCKHOLMS LÄN</t>
        </is>
      </c>
      <c r="E126" t="inlineStr">
        <is>
          <t>VALLENTUNA</t>
        </is>
      </c>
      <c r="G126" t="n">
        <v>3.9</v>
      </c>
      <c r="H126" t="n">
        <v>0</v>
      </c>
      <c r="I126" t="n">
        <v>0</v>
      </c>
      <c r="J126" t="n">
        <v>0</v>
      </c>
      <c r="K126" t="n">
        <v>0</v>
      </c>
      <c r="L126" t="n">
        <v>0</v>
      </c>
      <c r="M126" t="n">
        <v>0</v>
      </c>
      <c r="N126" t="n">
        <v>0</v>
      </c>
      <c r="O126" t="n">
        <v>0</v>
      </c>
      <c r="P126" t="n">
        <v>0</v>
      </c>
      <c r="Q126" t="n">
        <v>0</v>
      </c>
      <c r="R126" s="2" t="inlineStr"/>
    </row>
    <row r="127" ht="15" customHeight="1">
      <c r="A127" t="inlineStr">
        <is>
          <t>A 12609-2024</t>
        </is>
      </c>
      <c r="B127" s="1" t="n">
        <v>45382.8109375</v>
      </c>
      <c r="C127" s="1" t="n">
        <v>45882</v>
      </c>
      <c r="D127" t="inlineStr">
        <is>
          <t>STOCKHOLMS LÄN</t>
        </is>
      </c>
      <c r="E127" t="inlineStr">
        <is>
          <t>VALLENTUNA</t>
        </is>
      </c>
      <c r="G127" t="n">
        <v>0.9</v>
      </c>
      <c r="H127" t="n">
        <v>0</v>
      </c>
      <c r="I127" t="n">
        <v>0</v>
      </c>
      <c r="J127" t="n">
        <v>0</v>
      </c>
      <c r="K127" t="n">
        <v>0</v>
      </c>
      <c r="L127" t="n">
        <v>0</v>
      </c>
      <c r="M127" t="n">
        <v>0</v>
      </c>
      <c r="N127" t="n">
        <v>0</v>
      </c>
      <c r="O127" t="n">
        <v>0</v>
      </c>
      <c r="P127" t="n">
        <v>0</v>
      </c>
      <c r="Q127" t="n">
        <v>0</v>
      </c>
      <c r="R127" s="2" t="inlineStr"/>
    </row>
    <row r="128" ht="15" customHeight="1">
      <c r="A128" t="inlineStr">
        <is>
          <t>A 6593-2021</t>
        </is>
      </c>
      <c r="B128" s="1" t="n">
        <v>44236</v>
      </c>
      <c r="C128" s="1" t="n">
        <v>45882</v>
      </c>
      <c r="D128" t="inlineStr">
        <is>
          <t>STOCKHOLMS LÄN</t>
        </is>
      </c>
      <c r="E128" t="inlineStr">
        <is>
          <t>VALLENTUNA</t>
        </is>
      </c>
      <c r="G128" t="n">
        <v>2.3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45882</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19503-2023</t>
        </is>
      </c>
      <c r="B130" s="1" t="n">
        <v>45050.47333333334</v>
      </c>
      <c r="C130" s="1" t="n">
        <v>45882</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4804-2024</t>
        </is>
      </c>
      <c r="B131" s="1" t="n">
        <v>45328</v>
      </c>
      <c r="C131" s="1" t="n">
        <v>45882</v>
      </c>
      <c r="D131" t="inlineStr">
        <is>
          <t>STOCKHOLMS LÄN</t>
        </is>
      </c>
      <c r="E131" t="inlineStr">
        <is>
          <t>VALLENTUNA</t>
        </is>
      </c>
      <c r="G131" t="n">
        <v>3</v>
      </c>
      <c r="H131" t="n">
        <v>0</v>
      </c>
      <c r="I131" t="n">
        <v>0</v>
      </c>
      <c r="J131" t="n">
        <v>0</v>
      </c>
      <c r="K131" t="n">
        <v>0</v>
      </c>
      <c r="L131" t="n">
        <v>0</v>
      </c>
      <c r="M131" t="n">
        <v>0</v>
      </c>
      <c r="N131" t="n">
        <v>0</v>
      </c>
      <c r="O131" t="n">
        <v>0</v>
      </c>
      <c r="P131" t="n">
        <v>0</v>
      </c>
      <c r="Q131" t="n">
        <v>0</v>
      </c>
      <c r="R131" s="2" t="inlineStr"/>
    </row>
    <row r="132" ht="15" customHeight="1">
      <c r="A132" t="inlineStr">
        <is>
          <t>A 28431-2025</t>
        </is>
      </c>
      <c r="B132" s="1" t="n">
        <v>45819.38072916667</v>
      </c>
      <c r="C132" s="1" t="n">
        <v>45882</v>
      </c>
      <c r="D132" t="inlineStr">
        <is>
          <t>STOCKHOLMS LÄN</t>
        </is>
      </c>
      <c r="E132" t="inlineStr">
        <is>
          <t>VALLENTUNA</t>
        </is>
      </c>
      <c r="G132" t="n">
        <v>1.5</v>
      </c>
      <c r="H132" t="n">
        <v>0</v>
      </c>
      <c r="I132" t="n">
        <v>0</v>
      </c>
      <c r="J132" t="n">
        <v>0</v>
      </c>
      <c r="K132" t="n">
        <v>0</v>
      </c>
      <c r="L132" t="n">
        <v>0</v>
      </c>
      <c r="M132" t="n">
        <v>0</v>
      </c>
      <c r="N132" t="n">
        <v>0</v>
      </c>
      <c r="O132" t="n">
        <v>0</v>
      </c>
      <c r="P132" t="n">
        <v>0</v>
      </c>
      <c r="Q132" t="n">
        <v>0</v>
      </c>
      <c r="R132" s="2" t="inlineStr"/>
    </row>
    <row r="133" ht="15" customHeight="1">
      <c r="A133" t="inlineStr">
        <is>
          <t>A 27868-2025</t>
        </is>
      </c>
      <c r="B133" s="1" t="n">
        <v>45817</v>
      </c>
      <c r="C133" s="1" t="n">
        <v>45882</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21612-2021</t>
        </is>
      </c>
      <c r="B134" s="1" t="n">
        <v>44321</v>
      </c>
      <c r="C134" s="1" t="n">
        <v>45882</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24707-2023</t>
        </is>
      </c>
      <c r="B135" s="1" t="n">
        <v>45084</v>
      </c>
      <c r="C135" s="1" t="n">
        <v>45882</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4803-2024</t>
        </is>
      </c>
      <c r="B136" s="1" t="n">
        <v>45328</v>
      </c>
      <c r="C136" s="1" t="n">
        <v>45882</v>
      </c>
      <c r="D136" t="inlineStr">
        <is>
          <t>STOCKHOLMS LÄN</t>
        </is>
      </c>
      <c r="E136" t="inlineStr">
        <is>
          <t>VALLENTUNA</t>
        </is>
      </c>
      <c r="G136" t="n">
        <v>4.6</v>
      </c>
      <c r="H136" t="n">
        <v>0</v>
      </c>
      <c r="I136" t="n">
        <v>0</v>
      </c>
      <c r="J136" t="n">
        <v>0</v>
      </c>
      <c r="K136" t="n">
        <v>0</v>
      </c>
      <c r="L136" t="n">
        <v>0</v>
      </c>
      <c r="M136" t="n">
        <v>0</v>
      </c>
      <c r="N136" t="n">
        <v>0</v>
      </c>
      <c r="O136" t="n">
        <v>0</v>
      </c>
      <c r="P136" t="n">
        <v>0</v>
      </c>
      <c r="Q136" t="n">
        <v>0</v>
      </c>
      <c r="R136" s="2" t="inlineStr"/>
    </row>
    <row r="137" ht="15" customHeight="1">
      <c r="A137" t="inlineStr">
        <is>
          <t>A 3698-2022</t>
        </is>
      </c>
      <c r="B137" s="1" t="n">
        <v>44586</v>
      </c>
      <c r="C137" s="1" t="n">
        <v>45882</v>
      </c>
      <c r="D137" t="inlineStr">
        <is>
          <t>STOCKHOLMS LÄN</t>
        </is>
      </c>
      <c r="E137" t="inlineStr">
        <is>
          <t>VALLENTUNA</t>
        </is>
      </c>
      <c r="G137" t="n">
        <v>2.9</v>
      </c>
      <c r="H137" t="n">
        <v>0</v>
      </c>
      <c r="I137" t="n">
        <v>0</v>
      </c>
      <c r="J137" t="n">
        <v>0</v>
      </c>
      <c r="K137" t="n">
        <v>0</v>
      </c>
      <c r="L137" t="n">
        <v>0</v>
      </c>
      <c r="M137" t="n">
        <v>0</v>
      </c>
      <c r="N137" t="n">
        <v>0</v>
      </c>
      <c r="O137" t="n">
        <v>0</v>
      </c>
      <c r="P137" t="n">
        <v>0</v>
      </c>
      <c r="Q137" t="n">
        <v>0</v>
      </c>
      <c r="R137" s="2" t="inlineStr"/>
    </row>
    <row r="138" ht="15" customHeight="1">
      <c r="A138" t="inlineStr">
        <is>
          <t>A 38102-2024</t>
        </is>
      </c>
      <c r="B138" s="1" t="n">
        <v>45545.36349537037</v>
      </c>
      <c r="C138" s="1" t="n">
        <v>45882</v>
      </c>
      <c r="D138" t="inlineStr">
        <is>
          <t>STOCKHOLMS LÄN</t>
        </is>
      </c>
      <c r="E138" t="inlineStr">
        <is>
          <t>VALLENTUNA</t>
        </is>
      </c>
      <c r="G138" t="n">
        <v>3.2</v>
      </c>
      <c r="H138" t="n">
        <v>0</v>
      </c>
      <c r="I138" t="n">
        <v>0</v>
      </c>
      <c r="J138" t="n">
        <v>0</v>
      </c>
      <c r="K138" t="n">
        <v>0</v>
      </c>
      <c r="L138" t="n">
        <v>0</v>
      </c>
      <c r="M138" t="n">
        <v>0</v>
      </c>
      <c r="N138" t="n">
        <v>0</v>
      </c>
      <c r="O138" t="n">
        <v>0</v>
      </c>
      <c r="P138" t="n">
        <v>0</v>
      </c>
      <c r="Q138" t="n">
        <v>0</v>
      </c>
      <c r="R138" s="2" t="inlineStr"/>
    </row>
    <row r="139" ht="15" customHeight="1">
      <c r="A139" t="inlineStr">
        <is>
          <t>A 30902-2025</t>
        </is>
      </c>
      <c r="B139" s="1" t="n">
        <v>45832.36104166666</v>
      </c>
      <c r="C139" s="1" t="n">
        <v>45882</v>
      </c>
      <c r="D139" t="inlineStr">
        <is>
          <t>STOCKHOLMS LÄN</t>
        </is>
      </c>
      <c r="E139" t="inlineStr">
        <is>
          <t>VALLENTUNA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12234-2022</t>
        </is>
      </c>
      <c r="B140" s="1" t="n">
        <v>44637</v>
      </c>
      <c r="C140" s="1" t="n">
        <v>45882</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62402-2022</t>
        </is>
      </c>
      <c r="B141" s="1" t="n">
        <v>44923</v>
      </c>
      <c r="C141" s="1" t="n">
        <v>45882</v>
      </c>
      <c r="D141" t="inlineStr">
        <is>
          <t>STOCKHOLMS LÄN</t>
        </is>
      </c>
      <c r="E141" t="inlineStr">
        <is>
          <t>VALLENTUNA</t>
        </is>
      </c>
      <c r="G141" t="n">
        <v>3.8</v>
      </c>
      <c r="H141" t="n">
        <v>0</v>
      </c>
      <c r="I141" t="n">
        <v>0</v>
      </c>
      <c r="J141" t="n">
        <v>0</v>
      </c>
      <c r="K141" t="n">
        <v>0</v>
      </c>
      <c r="L141" t="n">
        <v>0</v>
      </c>
      <c r="M141" t="n">
        <v>0</v>
      </c>
      <c r="N141" t="n">
        <v>0</v>
      </c>
      <c r="O141" t="n">
        <v>0</v>
      </c>
      <c r="P141" t="n">
        <v>0</v>
      </c>
      <c r="Q141" t="n">
        <v>0</v>
      </c>
      <c r="R141" s="2" t="inlineStr"/>
    </row>
    <row r="142" ht="15" customHeight="1">
      <c r="A142" t="inlineStr">
        <is>
          <t>A 24943-2024</t>
        </is>
      </c>
      <c r="B142" s="1" t="n">
        <v>45461.62585648148</v>
      </c>
      <c r="C142" s="1" t="n">
        <v>45882</v>
      </c>
      <c r="D142" t="inlineStr">
        <is>
          <t>STOCKHOLMS LÄN</t>
        </is>
      </c>
      <c r="E142" t="inlineStr">
        <is>
          <t>VALLENTUNA</t>
        </is>
      </c>
      <c r="G142" t="n">
        <v>2</v>
      </c>
      <c r="H142" t="n">
        <v>0</v>
      </c>
      <c r="I142" t="n">
        <v>0</v>
      </c>
      <c r="J142" t="n">
        <v>0</v>
      </c>
      <c r="K142" t="n">
        <v>0</v>
      </c>
      <c r="L142" t="n">
        <v>0</v>
      </c>
      <c r="M142" t="n">
        <v>0</v>
      </c>
      <c r="N142" t="n">
        <v>0</v>
      </c>
      <c r="O142" t="n">
        <v>0</v>
      </c>
      <c r="P142" t="n">
        <v>0</v>
      </c>
      <c r="Q142" t="n">
        <v>0</v>
      </c>
      <c r="R142" s="2" t="inlineStr"/>
    </row>
    <row r="143" ht="15" customHeight="1">
      <c r="A143" t="inlineStr">
        <is>
          <t>A 5910-2022</t>
        </is>
      </c>
      <c r="B143" s="1" t="n">
        <v>44597</v>
      </c>
      <c r="C143" s="1" t="n">
        <v>45882</v>
      </c>
      <c r="D143" t="inlineStr">
        <is>
          <t>STOCKHOLMS LÄN</t>
        </is>
      </c>
      <c r="E143" t="inlineStr">
        <is>
          <t>VALLENTUNA</t>
        </is>
      </c>
      <c r="G143" t="n">
        <v>0.6</v>
      </c>
      <c r="H143" t="n">
        <v>0</v>
      </c>
      <c r="I143" t="n">
        <v>0</v>
      </c>
      <c r="J143" t="n">
        <v>0</v>
      </c>
      <c r="K143" t="n">
        <v>0</v>
      </c>
      <c r="L143" t="n">
        <v>0</v>
      </c>
      <c r="M143" t="n">
        <v>0</v>
      </c>
      <c r="N143" t="n">
        <v>0</v>
      </c>
      <c r="O143" t="n">
        <v>0</v>
      </c>
      <c r="P143" t="n">
        <v>0</v>
      </c>
      <c r="Q143" t="n">
        <v>0</v>
      </c>
      <c r="R143" s="2" t="inlineStr"/>
    </row>
    <row r="144">
      <c r="A144" t="inlineStr">
        <is>
          <t>A 24994-2021</t>
        </is>
      </c>
      <c r="B144" s="1" t="n">
        <v>44341</v>
      </c>
      <c r="C144" s="1" t="n">
        <v>45882</v>
      </c>
      <c r="D144" t="inlineStr">
        <is>
          <t>STOCKHOLMS LÄN</t>
        </is>
      </c>
      <c r="E144" t="inlineStr">
        <is>
          <t>VALLENTUNA</t>
        </is>
      </c>
      <c r="G144" t="n">
        <v>2.6</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2025-08-13T08:29:24Z</dcterms:created>
  <dcterms:modified xmlns:dcterms="http://purl.org/dc/terms/" xmlns:xsi="http://www.w3.org/2001/XMLSchema-instance" xsi:type="dcterms:W3CDTF">2025-08-13T08:29:24Z</dcterms:modified>
</cp:coreProperties>
</file>