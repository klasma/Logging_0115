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46077</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46077</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46077</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46077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46077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46077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46077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46077</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46077</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46077</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46077</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46077</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46077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46077</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46077</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7890-2023</t>
        </is>
      </c>
      <c r="B31" s="1" t="n">
        <v>44973</v>
      </c>
      <c r="C31" s="1" t="n">
        <v>46077</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17341-2025</t>
        </is>
      </c>
      <c r="B32" s="1" t="n">
        <v>45756</v>
      </c>
      <c r="C32" s="1" t="n">
        <v>46077</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21-2022</t>
        </is>
      </c>
      <c r="B33" s="1" t="n">
        <v>44560</v>
      </c>
      <c r="C33" s="1" t="n">
        <v>46077</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22830-2024</t>
        </is>
      </c>
      <c r="B34" s="1" t="n">
        <v>45448.56583333333</v>
      </c>
      <c r="C34" s="1" t="n">
        <v>46077</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34458-2023</t>
        </is>
      </c>
      <c r="B35" s="1" t="n">
        <v>45139</v>
      </c>
      <c r="C35" s="1" t="n">
        <v>46077</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34460-2023</t>
        </is>
      </c>
      <c r="B36" s="1" t="n">
        <v>45139</v>
      </c>
      <c r="C36" s="1" t="n">
        <v>46077</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54481-2025</t>
        </is>
      </c>
      <c r="B37" s="1" t="n">
        <v>45965.58837962963</v>
      </c>
      <c r="C37" s="1" t="n">
        <v>46077</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21439-2025</t>
        </is>
      </c>
      <c r="B38" s="1" t="n">
        <v>45782.52939814814</v>
      </c>
      <c r="C38" s="1" t="n">
        <v>46077</v>
      </c>
      <c r="D38" t="inlineStr">
        <is>
          <t>STOCKHOLMS LÄN</t>
        </is>
      </c>
      <c r="E38" t="inlineStr">
        <is>
          <t>VALLENTUNA</t>
        </is>
      </c>
      <c r="G38" t="n">
        <v>2.1</v>
      </c>
      <c r="H38" t="n">
        <v>0</v>
      </c>
      <c r="I38" t="n">
        <v>1</v>
      </c>
      <c r="J38" t="n">
        <v>0</v>
      </c>
      <c r="K38" t="n">
        <v>0</v>
      </c>
      <c r="L38" t="n">
        <v>0</v>
      </c>
      <c r="M38" t="n">
        <v>0</v>
      </c>
      <c r="N38" t="n">
        <v>0</v>
      </c>
      <c r="O38" t="n">
        <v>0</v>
      </c>
      <c r="P38" t="n">
        <v>0</v>
      </c>
      <c r="Q38" t="n">
        <v>1</v>
      </c>
      <c r="R38" s="2" t="inlineStr">
        <is>
          <t>Mindre märgborre</t>
        </is>
      </c>
      <c r="S38">
        <f>HYPERLINK("https://klasma.github.io/Logging_0115/artfynd/A 21439-2025 artfynd.xlsx", "A 21439-2025")</f>
        <v/>
      </c>
      <c r="T38">
        <f>HYPERLINK("https://klasma.github.io/Logging_0115/kartor/A 21439-2025 karta.png", "A 21439-2025")</f>
        <v/>
      </c>
      <c r="V38">
        <f>HYPERLINK("https://klasma.github.io/Logging_0115/klagomål/A 21439-2025 FSC-klagomål.docx", "A 21439-2025")</f>
        <v/>
      </c>
      <c r="W38">
        <f>HYPERLINK("https://klasma.github.io/Logging_0115/klagomålsmail/A 21439-2025 FSC-klagomål mail.docx", "A 21439-2025")</f>
        <v/>
      </c>
      <c r="X38">
        <f>HYPERLINK("https://klasma.github.io/Logging_0115/tillsyn/A 21439-2025 tillsynsbegäran.docx", "A 21439-2025")</f>
        <v/>
      </c>
      <c r="Y38">
        <f>HYPERLINK("https://klasma.github.io/Logging_0115/tillsynsmail/A 21439-2025 tillsynsbegäran mail.docx", "A 21439-2025")</f>
        <v/>
      </c>
    </row>
    <row r="39" ht="15" customHeight="1">
      <c r="A39" t="inlineStr">
        <is>
          <t>A 22936-2025</t>
        </is>
      </c>
      <c r="B39" s="1" t="n">
        <v>45790.45738425926</v>
      </c>
      <c r="C39" s="1" t="n">
        <v>46077</v>
      </c>
      <c r="D39" t="inlineStr">
        <is>
          <t>STOCKHOLMS LÄN</t>
        </is>
      </c>
      <c r="E39" t="inlineStr">
        <is>
          <t>VALLENTUNA</t>
        </is>
      </c>
      <c r="G39" t="n">
        <v>2.7</v>
      </c>
      <c r="H39" t="n">
        <v>0</v>
      </c>
      <c r="I39" t="n">
        <v>1</v>
      </c>
      <c r="J39" t="n">
        <v>0</v>
      </c>
      <c r="K39" t="n">
        <v>0</v>
      </c>
      <c r="L39" t="n">
        <v>0</v>
      </c>
      <c r="M39" t="n">
        <v>0</v>
      </c>
      <c r="N39" t="n">
        <v>0</v>
      </c>
      <c r="O39" t="n">
        <v>0</v>
      </c>
      <c r="P39" t="n">
        <v>0</v>
      </c>
      <c r="Q39" t="n">
        <v>1</v>
      </c>
      <c r="R39" s="2" t="inlineStr">
        <is>
          <t>Björksplintborre</t>
        </is>
      </c>
      <c r="S39">
        <f>HYPERLINK("https://klasma.github.io/Logging_0115/artfynd/A 22936-2025 artfynd.xlsx", "A 22936-2025")</f>
        <v/>
      </c>
      <c r="T39">
        <f>HYPERLINK("https://klasma.github.io/Logging_0115/kartor/A 22936-2025 karta.png", "A 22936-2025")</f>
        <v/>
      </c>
      <c r="V39">
        <f>HYPERLINK("https://klasma.github.io/Logging_0115/klagomål/A 22936-2025 FSC-klagomål.docx", "A 22936-2025")</f>
        <v/>
      </c>
      <c r="W39">
        <f>HYPERLINK("https://klasma.github.io/Logging_0115/klagomålsmail/A 22936-2025 FSC-klagomål mail.docx", "A 22936-2025")</f>
        <v/>
      </c>
      <c r="X39">
        <f>HYPERLINK("https://klasma.github.io/Logging_0115/tillsyn/A 22936-2025 tillsynsbegäran.docx", "A 22936-2025")</f>
        <v/>
      </c>
      <c r="Y39">
        <f>HYPERLINK("https://klasma.github.io/Logging_0115/tillsynsmail/A 22936-2025 tillsynsbegäran mail.docx", "A 22936-2025")</f>
        <v/>
      </c>
    </row>
    <row r="40" ht="15" customHeight="1">
      <c r="A40" t="inlineStr">
        <is>
          <t>A 63543-2025</t>
        </is>
      </c>
      <c r="B40" s="1" t="n">
        <v>46013.59207175926</v>
      </c>
      <c r="C40" s="1" t="n">
        <v>46077</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63539-2025</t>
        </is>
      </c>
      <c r="B41" s="1" t="n">
        <v>46013.58824074074</v>
      </c>
      <c r="C41" s="1" t="n">
        <v>46077</v>
      </c>
      <c r="D41" t="inlineStr">
        <is>
          <t>STOCKHOLMS LÄN</t>
        </is>
      </c>
      <c r="E41" t="inlineStr">
        <is>
          <t>VALLENTUNA</t>
        </is>
      </c>
      <c r="G41" t="n">
        <v>1.1</v>
      </c>
      <c r="H41" t="n">
        <v>0</v>
      </c>
      <c r="I41" t="n">
        <v>1</v>
      </c>
      <c r="J41" t="n">
        <v>0</v>
      </c>
      <c r="K41" t="n">
        <v>0</v>
      </c>
      <c r="L41" t="n">
        <v>0</v>
      </c>
      <c r="M41" t="n">
        <v>0</v>
      </c>
      <c r="N41" t="n">
        <v>0</v>
      </c>
      <c r="O41" t="n">
        <v>0</v>
      </c>
      <c r="P41" t="n">
        <v>0</v>
      </c>
      <c r="Q41" t="n">
        <v>1</v>
      </c>
      <c r="R41" s="2" t="inlineStr">
        <is>
          <t>Vårärt</t>
        </is>
      </c>
      <c r="S41">
        <f>HYPERLINK("https://klasma.github.io/Logging_0115/artfynd/A 63539-2025 artfynd.xlsx", "A 63539-2025")</f>
        <v/>
      </c>
      <c r="T41">
        <f>HYPERLINK("https://klasma.github.io/Logging_0115/kartor/A 63539-2025 karta.png", "A 63539-2025")</f>
        <v/>
      </c>
      <c r="V41">
        <f>HYPERLINK("https://klasma.github.io/Logging_0115/klagomål/A 63539-2025 FSC-klagomål.docx", "A 63539-2025")</f>
        <v/>
      </c>
      <c r="W41">
        <f>HYPERLINK("https://klasma.github.io/Logging_0115/klagomålsmail/A 63539-2025 FSC-klagomål mail.docx", "A 63539-2025")</f>
        <v/>
      </c>
      <c r="X41">
        <f>HYPERLINK("https://klasma.github.io/Logging_0115/tillsyn/A 63539-2025 tillsynsbegäran.docx", "A 63539-2025")</f>
        <v/>
      </c>
      <c r="Y41">
        <f>HYPERLINK("https://klasma.github.io/Logging_0115/tillsynsmail/A 63539-2025 tillsynsbegäran mail.docx", "A 63539-2025")</f>
        <v/>
      </c>
    </row>
    <row r="42" ht="15" customHeight="1">
      <c r="A42" t="inlineStr">
        <is>
          <t>A 20612-2021</t>
        </is>
      </c>
      <c r="B42" s="1" t="n">
        <v>44315</v>
      </c>
      <c r="C42" s="1" t="n">
        <v>46077</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46077</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178-2022</t>
        </is>
      </c>
      <c r="B44" s="1" t="n">
        <v>44560</v>
      </c>
      <c r="C44" s="1" t="n">
        <v>46077</v>
      </c>
      <c r="D44" t="inlineStr">
        <is>
          <t>STOCKHOLMS LÄN</t>
        </is>
      </c>
      <c r="E44" t="inlineStr">
        <is>
          <t>VALLENTUNA</t>
        </is>
      </c>
      <c r="F44" t="inlineStr">
        <is>
          <t>Övriga Aktiebolag</t>
        </is>
      </c>
      <c r="G44" t="n">
        <v>1.5</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46077</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22060-2021</t>
        </is>
      </c>
      <c r="B46" s="1" t="n">
        <v>44323</v>
      </c>
      <c r="C46" s="1" t="n">
        <v>46077</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9442-2022</t>
        </is>
      </c>
      <c r="B47" s="1" t="n">
        <v>44616</v>
      </c>
      <c r="C47" s="1" t="n">
        <v>46077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46077</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46077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37657-2021</t>
        </is>
      </c>
      <c r="B52" s="1" t="n">
        <v>44400</v>
      </c>
      <c r="C52" s="1" t="n">
        <v>46077</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46077</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46077</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46077</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52377-2021</t>
        </is>
      </c>
      <c r="B56" s="1" t="n">
        <v>44465</v>
      </c>
      <c r="C56" s="1" t="n">
        <v>46077</v>
      </c>
      <c r="D56" t="inlineStr">
        <is>
          <t>STOCKHOLMS LÄN</t>
        </is>
      </c>
      <c r="E56" t="inlineStr">
        <is>
          <t>VALLENTUNA</t>
        </is>
      </c>
      <c r="G56" t="n">
        <v>1.4</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46077</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46077</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7085-2022</t>
        </is>
      </c>
      <c r="B59" s="1" t="n">
        <v>44603</v>
      </c>
      <c r="C59" s="1" t="n">
        <v>46077</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46077</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3937-2022</t>
        </is>
      </c>
      <c r="B61" s="1" t="n">
        <v>44587</v>
      </c>
      <c r="C61" s="1" t="n">
        <v>46077</v>
      </c>
      <c r="D61" t="inlineStr">
        <is>
          <t>STOCKHOLMS LÄN</t>
        </is>
      </c>
      <c r="E61" t="inlineStr">
        <is>
          <t>VALLENTUNA</t>
        </is>
      </c>
      <c r="G61" t="n">
        <v>6.6</v>
      </c>
      <c r="H61" t="n">
        <v>0</v>
      </c>
      <c r="I61" t="n">
        <v>0</v>
      </c>
      <c r="J61" t="n">
        <v>0</v>
      </c>
      <c r="K61" t="n">
        <v>0</v>
      </c>
      <c r="L61" t="n">
        <v>0</v>
      </c>
      <c r="M61" t="n">
        <v>0</v>
      </c>
      <c r="N61" t="n">
        <v>0</v>
      </c>
      <c r="O61" t="n">
        <v>0</v>
      </c>
      <c r="P61" t="n">
        <v>0</v>
      </c>
      <c r="Q61" t="n">
        <v>0</v>
      </c>
      <c r="R61" s="2" t="inlineStr"/>
    </row>
    <row r="62" ht="15" customHeight="1">
      <c r="A62" t="inlineStr">
        <is>
          <t>A 60818-2023</t>
        </is>
      </c>
      <c r="B62" s="1" t="n">
        <v>45259</v>
      </c>
      <c r="C62" s="1" t="n">
        <v>46077</v>
      </c>
      <c r="D62" t="inlineStr">
        <is>
          <t>STOCKHOLMS LÄN</t>
        </is>
      </c>
      <c r="E62" t="inlineStr">
        <is>
          <t>VALLENTUNA</t>
        </is>
      </c>
      <c r="G62" t="n">
        <v>9.4</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46077</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46077</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46077</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46077</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46077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3078-2023</t>
        </is>
      </c>
      <c r="B68" s="1" t="n">
        <v>44946.41527777778</v>
      </c>
      <c r="C68" s="1" t="n">
        <v>46077</v>
      </c>
      <c r="D68" t="inlineStr">
        <is>
          <t>STOCKHOLMS LÄN</t>
        </is>
      </c>
      <c r="E68" t="inlineStr">
        <is>
          <t>VALLENTUNA</t>
        </is>
      </c>
      <c r="G68" t="n">
        <v>3.9</v>
      </c>
      <c r="H68" t="n">
        <v>0</v>
      </c>
      <c r="I68" t="n">
        <v>0</v>
      </c>
      <c r="J68" t="n">
        <v>0</v>
      </c>
      <c r="K68" t="n">
        <v>0</v>
      </c>
      <c r="L68" t="n">
        <v>0</v>
      </c>
      <c r="M68" t="n">
        <v>0</v>
      </c>
      <c r="N68" t="n">
        <v>0</v>
      </c>
      <c r="O68" t="n">
        <v>0</v>
      </c>
      <c r="P68" t="n">
        <v>0</v>
      </c>
      <c r="Q68" t="n">
        <v>0</v>
      </c>
      <c r="R68" s="2" t="inlineStr"/>
    </row>
    <row r="69" ht="15" customHeight="1">
      <c r="A69" t="inlineStr">
        <is>
          <t>A 19356-2025</t>
        </is>
      </c>
      <c r="B69" s="1" t="n">
        <v>45769.62061342593</v>
      </c>
      <c r="C69" s="1" t="n">
        <v>46077</v>
      </c>
      <c r="D69" t="inlineStr">
        <is>
          <t>STOCKHOLMS LÄN</t>
        </is>
      </c>
      <c r="E69" t="inlineStr">
        <is>
          <t>VALLENTUNA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46077</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21445-2023</t>
        </is>
      </c>
      <c r="B71" s="1" t="n">
        <v>45063</v>
      </c>
      <c r="C71" s="1" t="n">
        <v>46077</v>
      </c>
      <c r="D71" t="inlineStr">
        <is>
          <t>STOCKHOLMS LÄN</t>
        </is>
      </c>
      <c r="E71" t="inlineStr">
        <is>
          <t>VALLENTUNA</t>
        </is>
      </c>
      <c r="G71" t="n">
        <v>3.1</v>
      </c>
      <c r="H71" t="n">
        <v>0</v>
      </c>
      <c r="I71" t="n">
        <v>0</v>
      </c>
      <c r="J71" t="n">
        <v>0</v>
      </c>
      <c r="K71" t="n">
        <v>0</v>
      </c>
      <c r="L71" t="n">
        <v>0</v>
      </c>
      <c r="M71" t="n">
        <v>0</v>
      </c>
      <c r="N71" t="n">
        <v>0</v>
      </c>
      <c r="O71" t="n">
        <v>0</v>
      </c>
      <c r="P71" t="n">
        <v>0</v>
      </c>
      <c r="Q71" t="n">
        <v>0</v>
      </c>
      <c r="R71" s="2" t="inlineStr"/>
    </row>
    <row r="72" ht="15" customHeight="1">
      <c r="A72" t="inlineStr">
        <is>
          <t>A 22683-2023</t>
        </is>
      </c>
      <c r="B72" s="1" t="n">
        <v>45071</v>
      </c>
      <c r="C72" s="1" t="n">
        <v>46077</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19503-2023</t>
        </is>
      </c>
      <c r="B73" s="1" t="n">
        <v>45050.47333333334</v>
      </c>
      <c r="C73" s="1" t="n">
        <v>46077</v>
      </c>
      <c r="D73" t="inlineStr">
        <is>
          <t>STOCKHOLMS LÄN</t>
        </is>
      </c>
      <c r="E73" t="inlineStr">
        <is>
          <t>VALLENTUNA</t>
        </is>
      </c>
      <c r="G73" t="n">
        <v>0.7</v>
      </c>
      <c r="H73" t="n">
        <v>0</v>
      </c>
      <c r="I73" t="n">
        <v>0</v>
      </c>
      <c r="J73" t="n">
        <v>0</v>
      </c>
      <c r="K73" t="n">
        <v>0</v>
      </c>
      <c r="L73" t="n">
        <v>0</v>
      </c>
      <c r="M73" t="n">
        <v>0</v>
      </c>
      <c r="N73" t="n">
        <v>0</v>
      </c>
      <c r="O73" t="n">
        <v>0</v>
      </c>
      <c r="P73" t="n">
        <v>0</v>
      </c>
      <c r="Q73" t="n">
        <v>0</v>
      </c>
      <c r="R73" s="2" t="inlineStr"/>
    </row>
    <row r="74" ht="15" customHeight="1">
      <c r="A74" t="inlineStr">
        <is>
          <t>A 24943-2024</t>
        </is>
      </c>
      <c r="B74" s="1" t="n">
        <v>45461.62585648148</v>
      </c>
      <c r="C74" s="1" t="n">
        <v>46077</v>
      </c>
      <c r="D74" t="inlineStr">
        <is>
          <t>STOCKHOLMS LÄN</t>
        </is>
      </c>
      <c r="E74" t="inlineStr">
        <is>
          <t>VALLENTUNA</t>
        </is>
      </c>
      <c r="G74" t="n">
        <v>2</v>
      </c>
      <c r="H74" t="n">
        <v>0</v>
      </c>
      <c r="I74" t="n">
        <v>0</v>
      </c>
      <c r="J74" t="n">
        <v>0</v>
      </c>
      <c r="K74" t="n">
        <v>0</v>
      </c>
      <c r="L74" t="n">
        <v>0</v>
      </c>
      <c r="M74" t="n">
        <v>0</v>
      </c>
      <c r="N74" t="n">
        <v>0</v>
      </c>
      <c r="O74" t="n">
        <v>0</v>
      </c>
      <c r="P74" t="n">
        <v>0</v>
      </c>
      <c r="Q74" t="n">
        <v>0</v>
      </c>
      <c r="R74" s="2" t="inlineStr"/>
    </row>
    <row r="75" ht="15" customHeight="1">
      <c r="A75" t="inlineStr">
        <is>
          <t>A 5910-2022</t>
        </is>
      </c>
      <c r="B75" s="1" t="n">
        <v>44597</v>
      </c>
      <c r="C75" s="1" t="n">
        <v>46077</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60795-2023</t>
        </is>
      </c>
      <c r="B76" s="1" t="n">
        <v>45260</v>
      </c>
      <c r="C76" s="1" t="n">
        <v>46077</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46077</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12609-2024</t>
        </is>
      </c>
      <c r="B78" s="1" t="n">
        <v>45382.8109375</v>
      </c>
      <c r="C78" s="1" t="n">
        <v>46077</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47140-2024</t>
        </is>
      </c>
      <c r="B79" s="1" t="n">
        <v>45586.58753472222</v>
      </c>
      <c r="C79" s="1" t="n">
        <v>46077</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24068-2024</t>
        </is>
      </c>
      <c r="B80" s="1" t="n">
        <v>45456</v>
      </c>
      <c r="C80" s="1" t="n">
        <v>46077</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26390-2023</t>
        </is>
      </c>
      <c r="B81" s="1" t="n">
        <v>45086</v>
      </c>
      <c r="C81" s="1" t="n">
        <v>46077</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14480-2024</t>
        </is>
      </c>
      <c r="B82" s="1" t="n">
        <v>45394.56777777777</v>
      </c>
      <c r="C82" s="1" t="n">
        <v>46077</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46077</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8565-2025</t>
        </is>
      </c>
      <c r="B84" s="1" t="n">
        <v>45709</v>
      </c>
      <c r="C84" s="1" t="n">
        <v>46077</v>
      </c>
      <c r="D84" t="inlineStr">
        <is>
          <t>STOCKHOLMS LÄN</t>
        </is>
      </c>
      <c r="E84" t="inlineStr">
        <is>
          <t>VALLENTUNA</t>
        </is>
      </c>
      <c r="F84" t="inlineStr">
        <is>
          <t>Kommuner</t>
        </is>
      </c>
      <c r="G84" t="n">
        <v>4.2</v>
      </c>
      <c r="H84" t="n">
        <v>0</v>
      </c>
      <c r="I84" t="n">
        <v>0</v>
      </c>
      <c r="J84" t="n">
        <v>0</v>
      </c>
      <c r="K84" t="n">
        <v>0</v>
      </c>
      <c r="L84" t="n">
        <v>0</v>
      </c>
      <c r="M84" t="n">
        <v>0</v>
      </c>
      <c r="N84" t="n">
        <v>0</v>
      </c>
      <c r="O84" t="n">
        <v>0</v>
      </c>
      <c r="P84" t="n">
        <v>0</v>
      </c>
      <c r="Q84" t="n">
        <v>0</v>
      </c>
      <c r="R84" s="2" t="inlineStr"/>
    </row>
    <row r="85" ht="15" customHeight="1">
      <c r="A85" t="inlineStr">
        <is>
          <t>A 9063-2024</t>
        </is>
      </c>
      <c r="B85" s="1" t="n">
        <v>45357.72652777778</v>
      </c>
      <c r="C85" s="1" t="n">
        <v>46077</v>
      </c>
      <c r="D85" t="inlineStr">
        <is>
          <t>STOCKHOLMS LÄN</t>
        </is>
      </c>
      <c r="E85" t="inlineStr">
        <is>
          <t>VALLENTUNA</t>
        </is>
      </c>
      <c r="G85" t="n">
        <v>4.1</v>
      </c>
      <c r="H85" t="n">
        <v>0</v>
      </c>
      <c r="I85" t="n">
        <v>0</v>
      </c>
      <c r="J85" t="n">
        <v>0</v>
      </c>
      <c r="K85" t="n">
        <v>0</v>
      </c>
      <c r="L85" t="n">
        <v>0</v>
      </c>
      <c r="M85" t="n">
        <v>0</v>
      </c>
      <c r="N85" t="n">
        <v>0</v>
      </c>
      <c r="O85" t="n">
        <v>0</v>
      </c>
      <c r="P85" t="n">
        <v>0</v>
      </c>
      <c r="Q85" t="n">
        <v>0</v>
      </c>
      <c r="R85" s="2" t="inlineStr"/>
    </row>
    <row r="86" ht="15" customHeight="1">
      <c r="A86" t="inlineStr">
        <is>
          <t>A 4803-2024</t>
        </is>
      </c>
      <c r="B86" s="1" t="n">
        <v>45328</v>
      </c>
      <c r="C86" s="1" t="n">
        <v>46077</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46077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52542-2023</t>
        </is>
      </c>
      <c r="B88" s="1" t="n">
        <v>45225</v>
      </c>
      <c r="C88" s="1" t="n">
        <v>46077</v>
      </c>
      <c r="D88" t="inlineStr">
        <is>
          <t>STOCKHOLMS LÄN</t>
        </is>
      </c>
      <c r="E88" t="inlineStr">
        <is>
          <t>VALLENTUNA</t>
        </is>
      </c>
      <c r="G88" t="n">
        <v>3.8</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46077</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23013-2024</t>
        </is>
      </c>
      <c r="B90" s="1" t="n">
        <v>45450.35116898148</v>
      </c>
      <c r="C90" s="1" t="n">
        <v>46077</v>
      </c>
      <c r="D90" t="inlineStr">
        <is>
          <t>STOCKHOLMS LÄN</t>
        </is>
      </c>
      <c r="E90" t="inlineStr">
        <is>
          <t>VALLENTUNA</t>
        </is>
      </c>
      <c r="G90" t="n">
        <v>0.4</v>
      </c>
      <c r="H90" t="n">
        <v>0</v>
      </c>
      <c r="I90" t="n">
        <v>0</v>
      </c>
      <c r="J90" t="n">
        <v>0</v>
      </c>
      <c r="K90" t="n">
        <v>0</v>
      </c>
      <c r="L90" t="n">
        <v>0</v>
      </c>
      <c r="M90" t="n">
        <v>0</v>
      </c>
      <c r="N90" t="n">
        <v>0</v>
      </c>
      <c r="O90" t="n">
        <v>0</v>
      </c>
      <c r="P90" t="n">
        <v>0</v>
      </c>
      <c r="Q90" t="n">
        <v>0</v>
      </c>
      <c r="R90" s="2" t="inlineStr"/>
    </row>
    <row r="91" ht="15" customHeight="1">
      <c r="A91" t="inlineStr">
        <is>
          <t>A 2318-2024</t>
        </is>
      </c>
      <c r="B91" s="1" t="n">
        <v>45310</v>
      </c>
      <c r="C91" s="1" t="n">
        <v>46077</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11950-2025</t>
        </is>
      </c>
      <c r="B92" s="1" t="n">
        <v>45728.55622685186</v>
      </c>
      <c r="C92" s="1" t="n">
        <v>46077</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14489-2024</t>
        </is>
      </c>
      <c r="B93" s="1" t="n">
        <v>45394.58053240741</v>
      </c>
      <c r="C93" s="1" t="n">
        <v>46077</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61742-2022</t>
        </is>
      </c>
      <c r="B94" s="1" t="n">
        <v>44917</v>
      </c>
      <c r="C94" s="1" t="n">
        <v>46077</v>
      </c>
      <c r="D94" t="inlineStr">
        <is>
          <t>STOCKHOLMS LÄN</t>
        </is>
      </c>
      <c r="E94" t="inlineStr">
        <is>
          <t>VALLENTUNA</t>
        </is>
      </c>
      <c r="G94" t="n">
        <v>0.5</v>
      </c>
      <c r="H94" t="n">
        <v>0</v>
      </c>
      <c r="I94" t="n">
        <v>0</v>
      </c>
      <c r="J94" t="n">
        <v>0</v>
      </c>
      <c r="K94" t="n">
        <v>0</v>
      </c>
      <c r="L94" t="n">
        <v>0</v>
      </c>
      <c r="M94" t="n">
        <v>0</v>
      </c>
      <c r="N94" t="n">
        <v>0</v>
      </c>
      <c r="O94" t="n">
        <v>0</v>
      </c>
      <c r="P94" t="n">
        <v>0</v>
      </c>
      <c r="Q94" t="n">
        <v>0</v>
      </c>
      <c r="R94" s="2" t="inlineStr"/>
    </row>
    <row r="95" ht="15" customHeight="1">
      <c r="A95" t="inlineStr">
        <is>
          <t>A 41206-2025</t>
        </is>
      </c>
      <c r="B95" s="1" t="n">
        <v>45898</v>
      </c>
      <c r="C95" s="1" t="n">
        <v>46077</v>
      </c>
      <c r="D95" t="inlineStr">
        <is>
          <t>STOCKHOLMS LÄN</t>
        </is>
      </c>
      <c r="E95" t="inlineStr">
        <is>
          <t>VALLENTUNA</t>
        </is>
      </c>
      <c r="G95" t="n">
        <v>10</v>
      </c>
      <c r="H95" t="n">
        <v>0</v>
      </c>
      <c r="I95" t="n">
        <v>0</v>
      </c>
      <c r="J95" t="n">
        <v>0</v>
      </c>
      <c r="K95" t="n">
        <v>0</v>
      </c>
      <c r="L95" t="n">
        <v>0</v>
      </c>
      <c r="M95" t="n">
        <v>0</v>
      </c>
      <c r="N95" t="n">
        <v>0</v>
      </c>
      <c r="O95" t="n">
        <v>0</v>
      </c>
      <c r="P95" t="n">
        <v>0</v>
      </c>
      <c r="Q95" t="n">
        <v>0</v>
      </c>
      <c r="R95" s="2" t="inlineStr"/>
    </row>
    <row r="96" ht="15" customHeight="1">
      <c r="A96" t="inlineStr">
        <is>
          <t>A 48068-2021</t>
        </is>
      </c>
      <c r="B96" s="1" t="n">
        <v>44449.42270833333</v>
      </c>
      <c r="C96" s="1" t="n">
        <v>46077</v>
      </c>
      <c r="D96" t="inlineStr">
        <is>
          <t>STOCKHOLMS LÄN</t>
        </is>
      </c>
      <c r="E96" t="inlineStr">
        <is>
          <t>VALLENTUNA</t>
        </is>
      </c>
      <c r="G96" t="n">
        <v>1.3</v>
      </c>
      <c r="H96" t="n">
        <v>0</v>
      </c>
      <c r="I96" t="n">
        <v>0</v>
      </c>
      <c r="J96" t="n">
        <v>0</v>
      </c>
      <c r="K96" t="n">
        <v>0</v>
      </c>
      <c r="L96" t="n">
        <v>0</v>
      </c>
      <c r="M96" t="n">
        <v>0</v>
      </c>
      <c r="N96" t="n">
        <v>0</v>
      </c>
      <c r="O96" t="n">
        <v>0</v>
      </c>
      <c r="P96" t="n">
        <v>0</v>
      </c>
      <c r="Q96" t="n">
        <v>0</v>
      </c>
      <c r="R96" s="2" t="inlineStr"/>
    </row>
    <row r="97" ht="15" customHeight="1">
      <c r="A97" t="inlineStr">
        <is>
          <t>A 3698-2022</t>
        </is>
      </c>
      <c r="B97" s="1" t="n">
        <v>44586</v>
      </c>
      <c r="C97" s="1" t="n">
        <v>46077</v>
      </c>
      <c r="D97" t="inlineStr">
        <is>
          <t>STOCKHOLMS LÄN</t>
        </is>
      </c>
      <c r="E97" t="inlineStr">
        <is>
          <t>VALLENTUNA</t>
        </is>
      </c>
      <c r="G97" t="n">
        <v>2.9</v>
      </c>
      <c r="H97" t="n">
        <v>0</v>
      </c>
      <c r="I97" t="n">
        <v>0</v>
      </c>
      <c r="J97" t="n">
        <v>0</v>
      </c>
      <c r="K97" t="n">
        <v>0</v>
      </c>
      <c r="L97" t="n">
        <v>0</v>
      </c>
      <c r="M97" t="n">
        <v>0</v>
      </c>
      <c r="N97" t="n">
        <v>0</v>
      </c>
      <c r="O97" t="n">
        <v>0</v>
      </c>
      <c r="P97" t="n">
        <v>0</v>
      </c>
      <c r="Q97" t="n">
        <v>0</v>
      </c>
      <c r="R97" s="2" t="inlineStr"/>
    </row>
    <row r="98" ht="15" customHeight="1">
      <c r="A98" t="inlineStr">
        <is>
          <t>A 60997-2022</t>
        </is>
      </c>
      <c r="B98" s="1" t="n">
        <v>44914.70746527778</v>
      </c>
      <c r="C98" s="1" t="n">
        <v>46077</v>
      </c>
      <c r="D98" t="inlineStr">
        <is>
          <t>STOCKHOLMS LÄN</t>
        </is>
      </c>
      <c r="E98" t="inlineStr">
        <is>
          <t>VALLENTUNA</t>
        </is>
      </c>
      <c r="G98" t="n">
        <v>1.8</v>
      </c>
      <c r="H98" t="n">
        <v>0</v>
      </c>
      <c r="I98" t="n">
        <v>0</v>
      </c>
      <c r="J98" t="n">
        <v>0</v>
      </c>
      <c r="K98" t="n">
        <v>0</v>
      </c>
      <c r="L98" t="n">
        <v>0</v>
      </c>
      <c r="M98" t="n">
        <v>0</v>
      </c>
      <c r="N98" t="n">
        <v>0</v>
      </c>
      <c r="O98" t="n">
        <v>0</v>
      </c>
      <c r="P98" t="n">
        <v>0</v>
      </c>
      <c r="Q98" t="n">
        <v>0</v>
      </c>
      <c r="R98" s="2" t="inlineStr"/>
    </row>
    <row r="99" ht="15" customHeight="1">
      <c r="A99" t="inlineStr">
        <is>
          <t>A 12234-2022</t>
        </is>
      </c>
      <c r="B99" s="1" t="n">
        <v>44637</v>
      </c>
      <c r="C99" s="1" t="n">
        <v>46077</v>
      </c>
      <c r="D99" t="inlineStr">
        <is>
          <t>STOCKHOLMS LÄN</t>
        </is>
      </c>
      <c r="E99" t="inlineStr">
        <is>
          <t>VALLENTUNA</t>
        </is>
      </c>
      <c r="G99" t="n">
        <v>2.4</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46077</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12585-2023</t>
        </is>
      </c>
      <c r="B101" s="1" t="n">
        <v>45000.41373842592</v>
      </c>
      <c r="C101" s="1" t="n">
        <v>46077</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8787-2024</t>
        </is>
      </c>
      <c r="B102" s="1" t="n">
        <v>45356</v>
      </c>
      <c r="C102" s="1" t="n">
        <v>46077</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44988-2025</t>
        </is>
      </c>
      <c r="B103" s="1" t="n">
        <v>45918.65505787037</v>
      </c>
      <c r="C103" s="1" t="n">
        <v>46077</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48014-2025</t>
        </is>
      </c>
      <c r="B104" s="1" t="n">
        <v>45932.64520833334</v>
      </c>
      <c r="C104" s="1" t="n">
        <v>46077</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48038-2025</t>
        </is>
      </c>
      <c r="B105" s="1" t="n">
        <v>45932.66008101852</v>
      </c>
      <c r="C105" s="1" t="n">
        <v>46077</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34441-2023</t>
        </is>
      </c>
      <c r="B106" s="1" t="n">
        <v>45139</v>
      </c>
      <c r="C106" s="1" t="n">
        <v>46077</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34445-2023</t>
        </is>
      </c>
      <c r="B107" s="1" t="n">
        <v>45139</v>
      </c>
      <c r="C107" s="1" t="n">
        <v>46077</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23986-2023</t>
        </is>
      </c>
      <c r="B108" s="1" t="n">
        <v>45078</v>
      </c>
      <c r="C108" s="1" t="n">
        <v>46077</v>
      </c>
      <c r="D108" t="inlineStr">
        <is>
          <t>STOCKHOLMS LÄN</t>
        </is>
      </c>
      <c r="E108" t="inlineStr">
        <is>
          <t>VALLENTUNA</t>
        </is>
      </c>
      <c r="F108" t="inlineStr">
        <is>
          <t>Kyrkan</t>
        </is>
      </c>
      <c r="G108" t="n">
        <v>5.7</v>
      </c>
      <c r="H108" t="n">
        <v>0</v>
      </c>
      <c r="I108" t="n">
        <v>0</v>
      </c>
      <c r="J108" t="n">
        <v>0</v>
      </c>
      <c r="K108" t="n">
        <v>0</v>
      </c>
      <c r="L108" t="n">
        <v>0</v>
      </c>
      <c r="M108" t="n">
        <v>0</v>
      </c>
      <c r="N108" t="n">
        <v>0</v>
      </c>
      <c r="O108" t="n">
        <v>0</v>
      </c>
      <c r="P108" t="n">
        <v>0</v>
      </c>
      <c r="Q108" t="n">
        <v>0</v>
      </c>
      <c r="R108" s="2" t="inlineStr"/>
    </row>
    <row r="109" ht="15" customHeight="1">
      <c r="A109" t="inlineStr">
        <is>
          <t>A 15300-2023</t>
        </is>
      </c>
      <c r="B109" s="1" t="n">
        <v>45019</v>
      </c>
      <c r="C109" s="1" t="n">
        <v>46077</v>
      </c>
      <c r="D109" t="inlineStr">
        <is>
          <t>STOCKHOLMS LÄN</t>
        </is>
      </c>
      <c r="E109" t="inlineStr">
        <is>
          <t>VALLENTUNA</t>
        </is>
      </c>
      <c r="G109" t="n">
        <v>1.7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46077</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13836-2022</t>
        </is>
      </c>
      <c r="B111" s="1" t="n">
        <v>44649</v>
      </c>
      <c r="C111" s="1" t="n">
        <v>46077</v>
      </c>
      <c r="D111" t="inlineStr">
        <is>
          <t>STOCKHOLMS LÄN</t>
        </is>
      </c>
      <c r="E111" t="inlineStr">
        <is>
          <t>VALLENTUNA</t>
        </is>
      </c>
      <c r="G111" t="n">
        <v>3.5</v>
      </c>
      <c r="H111" t="n">
        <v>0</v>
      </c>
      <c r="I111" t="n">
        <v>0</v>
      </c>
      <c r="J111" t="n">
        <v>0</v>
      </c>
      <c r="K111" t="n">
        <v>0</v>
      </c>
      <c r="L111" t="n">
        <v>0</v>
      </c>
      <c r="M111" t="n">
        <v>0</v>
      </c>
      <c r="N111" t="n">
        <v>0</v>
      </c>
      <c r="O111" t="n">
        <v>0</v>
      </c>
      <c r="P111" t="n">
        <v>0</v>
      </c>
      <c r="Q111" t="n">
        <v>0</v>
      </c>
      <c r="R111" s="2" t="inlineStr"/>
    </row>
    <row r="112" ht="15" customHeight="1">
      <c r="A112" t="inlineStr">
        <is>
          <t>A 50784-2025</t>
        </is>
      </c>
      <c r="B112" s="1" t="n">
        <v>45946</v>
      </c>
      <c r="C112" s="1" t="n">
        <v>46077</v>
      </c>
      <c r="D112" t="inlineStr">
        <is>
          <t>STOCKHOLMS LÄN</t>
        </is>
      </c>
      <c r="E112" t="inlineStr">
        <is>
          <t>VALLENTUNA</t>
        </is>
      </c>
      <c r="G112" t="n">
        <v>1</v>
      </c>
      <c r="H112" t="n">
        <v>0</v>
      </c>
      <c r="I112" t="n">
        <v>0</v>
      </c>
      <c r="J112" t="n">
        <v>0</v>
      </c>
      <c r="K112" t="n">
        <v>0</v>
      </c>
      <c r="L112" t="n">
        <v>0</v>
      </c>
      <c r="M112" t="n">
        <v>0</v>
      </c>
      <c r="N112" t="n">
        <v>0</v>
      </c>
      <c r="O112" t="n">
        <v>0</v>
      </c>
      <c r="P112" t="n">
        <v>0</v>
      </c>
      <c r="Q112" t="n">
        <v>0</v>
      </c>
      <c r="R112" s="2" t="inlineStr"/>
    </row>
    <row r="113" ht="15" customHeight="1">
      <c r="A113" t="inlineStr">
        <is>
          <t>A 29704-2023</t>
        </is>
      </c>
      <c r="B113" s="1" t="n">
        <v>45107</v>
      </c>
      <c r="C113" s="1" t="n">
        <v>46077</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21765-2023</t>
        </is>
      </c>
      <c r="B114" s="1" t="n">
        <v>45064</v>
      </c>
      <c r="C114" s="1" t="n">
        <v>46077</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45496-2023</t>
        </is>
      </c>
      <c r="B115" s="1" t="n">
        <v>45194</v>
      </c>
      <c r="C115" s="1" t="n">
        <v>46077</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45499-2023</t>
        </is>
      </c>
      <c r="B116" s="1" t="n">
        <v>45194</v>
      </c>
      <c r="C116" s="1" t="n">
        <v>46077</v>
      </c>
      <c r="D116" t="inlineStr">
        <is>
          <t>STOCKHOLMS LÄN</t>
        </is>
      </c>
      <c r="E116" t="inlineStr">
        <is>
          <t>VALLENTUNA</t>
        </is>
      </c>
      <c r="G116" t="n">
        <v>2.5</v>
      </c>
      <c r="H116" t="n">
        <v>0</v>
      </c>
      <c r="I116" t="n">
        <v>0</v>
      </c>
      <c r="J116" t="n">
        <v>0</v>
      </c>
      <c r="K116" t="n">
        <v>0</v>
      </c>
      <c r="L116" t="n">
        <v>0</v>
      </c>
      <c r="M116" t="n">
        <v>0</v>
      </c>
      <c r="N116" t="n">
        <v>0</v>
      </c>
      <c r="O116" t="n">
        <v>0</v>
      </c>
      <c r="P116" t="n">
        <v>0</v>
      </c>
      <c r="Q116" t="n">
        <v>0</v>
      </c>
      <c r="R116" s="2" t="inlineStr"/>
    </row>
    <row r="117" ht="15" customHeight="1">
      <c r="A117" t="inlineStr">
        <is>
          <t>A 14782-2024</t>
        </is>
      </c>
      <c r="B117" s="1" t="n">
        <v>45397.74266203704</v>
      </c>
      <c r="C117" s="1" t="n">
        <v>46077</v>
      </c>
      <c r="D117" t="inlineStr">
        <is>
          <t>STOCKHOLMS LÄN</t>
        </is>
      </c>
      <c r="E117" t="inlineStr">
        <is>
          <t>VALLENTUNA</t>
        </is>
      </c>
      <c r="G117" t="n">
        <v>3.1</v>
      </c>
      <c r="H117" t="n">
        <v>0</v>
      </c>
      <c r="I117" t="n">
        <v>0</v>
      </c>
      <c r="J117" t="n">
        <v>0</v>
      </c>
      <c r="K117" t="n">
        <v>0</v>
      </c>
      <c r="L117" t="n">
        <v>0</v>
      </c>
      <c r="M117" t="n">
        <v>0</v>
      </c>
      <c r="N117" t="n">
        <v>0</v>
      </c>
      <c r="O117" t="n">
        <v>0</v>
      </c>
      <c r="P117" t="n">
        <v>0</v>
      </c>
      <c r="Q117" t="n">
        <v>0</v>
      </c>
      <c r="R117" s="2" t="inlineStr"/>
    </row>
    <row r="118" ht="15" customHeight="1">
      <c r="A118" t="inlineStr">
        <is>
          <t>A 1385-2024</t>
        </is>
      </c>
      <c r="B118" s="1" t="n">
        <v>45303</v>
      </c>
      <c r="C118" s="1" t="n">
        <v>46077</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14775-2024</t>
        </is>
      </c>
      <c r="B119" s="1" t="n">
        <v>45397.73675925926</v>
      </c>
      <c r="C119" s="1" t="n">
        <v>46077</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735-2024</t>
        </is>
      </c>
      <c r="B120" s="1" t="n">
        <v>45300</v>
      </c>
      <c r="C120" s="1" t="n">
        <v>46077</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17411-2023</t>
        </is>
      </c>
      <c r="B121" s="1" t="n">
        <v>45035.82512731481</v>
      </c>
      <c r="C121" s="1" t="n">
        <v>46077</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27868-2025</t>
        </is>
      </c>
      <c r="B122" s="1" t="n">
        <v>45817</v>
      </c>
      <c r="C122" s="1" t="n">
        <v>46077</v>
      </c>
      <c r="D122" t="inlineStr">
        <is>
          <t>STOCKHOLMS LÄN</t>
        </is>
      </c>
      <c r="E122" t="inlineStr">
        <is>
          <t>VALLENTUNA</t>
        </is>
      </c>
      <c r="G122" t="n">
        <v>2.1</v>
      </c>
      <c r="H122" t="n">
        <v>0</v>
      </c>
      <c r="I122" t="n">
        <v>0</v>
      </c>
      <c r="J122" t="n">
        <v>0</v>
      </c>
      <c r="K122" t="n">
        <v>0</v>
      </c>
      <c r="L122" t="n">
        <v>0</v>
      </c>
      <c r="M122" t="n">
        <v>0</v>
      </c>
      <c r="N122" t="n">
        <v>0</v>
      </c>
      <c r="O122" t="n">
        <v>0</v>
      </c>
      <c r="P122" t="n">
        <v>0</v>
      </c>
      <c r="Q122" t="n">
        <v>0</v>
      </c>
      <c r="R122" s="2" t="inlineStr"/>
    </row>
    <row r="123" ht="15" customHeight="1">
      <c r="A123" t="inlineStr">
        <is>
          <t>A 54466-2025</t>
        </is>
      </c>
      <c r="B123" s="1" t="n">
        <v>45965.56984953704</v>
      </c>
      <c r="C123" s="1" t="n">
        <v>46077</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54460-2025</t>
        </is>
      </c>
      <c r="B124" s="1" t="n">
        <v>45965.56219907408</v>
      </c>
      <c r="C124" s="1" t="n">
        <v>46077</v>
      </c>
      <c r="D124" t="inlineStr">
        <is>
          <t>STOCKHOLMS LÄN</t>
        </is>
      </c>
      <c r="E124" t="inlineStr">
        <is>
          <t>VALLENTUNA</t>
        </is>
      </c>
      <c r="G124" t="n">
        <v>22.9</v>
      </c>
      <c r="H124" t="n">
        <v>0</v>
      </c>
      <c r="I124" t="n">
        <v>0</v>
      </c>
      <c r="J124" t="n">
        <v>0</v>
      </c>
      <c r="K124" t="n">
        <v>0</v>
      </c>
      <c r="L124" t="n">
        <v>0</v>
      </c>
      <c r="M124" t="n">
        <v>0</v>
      </c>
      <c r="N124" t="n">
        <v>0</v>
      </c>
      <c r="O124" t="n">
        <v>0</v>
      </c>
      <c r="P124" t="n">
        <v>0</v>
      </c>
      <c r="Q124" t="n">
        <v>0</v>
      </c>
      <c r="R124" s="2" t="inlineStr"/>
    </row>
    <row r="125" ht="15" customHeight="1">
      <c r="A125" t="inlineStr">
        <is>
          <t>A 15268-2023</t>
        </is>
      </c>
      <c r="B125" s="1" t="n">
        <v>45019.41045138889</v>
      </c>
      <c r="C125" s="1" t="n">
        <v>46077</v>
      </c>
      <c r="D125" t="inlineStr">
        <is>
          <t>STOCKHOLMS LÄN</t>
        </is>
      </c>
      <c r="E125" t="inlineStr">
        <is>
          <t>VALLENTUNA</t>
        </is>
      </c>
      <c r="G125" t="n">
        <v>2.2</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45545.36349537037</v>
      </c>
      <c r="C126" s="1" t="n">
        <v>46077</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17340-2025</t>
        </is>
      </c>
      <c r="B127" s="1" t="n">
        <v>45756</v>
      </c>
      <c r="C127" s="1" t="n">
        <v>46077</v>
      </c>
      <c r="D127" t="inlineStr">
        <is>
          <t>STOCKHOLMS LÄN</t>
        </is>
      </c>
      <c r="E127" t="inlineStr">
        <is>
          <t>VALLENTUNA</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20791-2025</t>
        </is>
      </c>
      <c r="B128" s="1" t="n">
        <v>45776.62738425926</v>
      </c>
      <c r="C128" s="1" t="n">
        <v>46077</v>
      </c>
      <c r="D128" t="inlineStr">
        <is>
          <t>STOCKHOLMS LÄN</t>
        </is>
      </c>
      <c r="E128" t="inlineStr">
        <is>
          <t>VALLENTUNA</t>
        </is>
      </c>
      <c r="G128" t="n">
        <v>1.5</v>
      </c>
      <c r="H128" t="n">
        <v>0</v>
      </c>
      <c r="I128" t="n">
        <v>0</v>
      </c>
      <c r="J128" t="n">
        <v>0</v>
      </c>
      <c r="K128" t="n">
        <v>0</v>
      </c>
      <c r="L128" t="n">
        <v>0</v>
      </c>
      <c r="M128" t="n">
        <v>0</v>
      </c>
      <c r="N128" t="n">
        <v>0</v>
      </c>
      <c r="O128" t="n">
        <v>0</v>
      </c>
      <c r="P128" t="n">
        <v>0</v>
      </c>
      <c r="Q128" t="n">
        <v>0</v>
      </c>
      <c r="R128" s="2" t="inlineStr"/>
    </row>
    <row r="129" ht="15" customHeight="1">
      <c r="A129" t="inlineStr">
        <is>
          <t>A 10073-2024</t>
        </is>
      </c>
      <c r="B129" s="1" t="n">
        <v>45364.40821759259</v>
      </c>
      <c r="C129" s="1" t="n">
        <v>46077</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ht="15" customHeight="1">
      <c r="A130" t="inlineStr">
        <is>
          <t>A 34452-2021</t>
        </is>
      </c>
      <c r="B130" s="1" t="n">
        <v>44381</v>
      </c>
      <c r="C130" s="1" t="n">
        <v>46077</v>
      </c>
      <c r="D130" t="inlineStr">
        <is>
          <t>STOCKHOLMS LÄN</t>
        </is>
      </c>
      <c r="E130" t="inlineStr">
        <is>
          <t>VALLENTUNA</t>
        </is>
      </c>
      <c r="G130" t="n">
        <v>14.7</v>
      </c>
      <c r="H130" t="n">
        <v>0</v>
      </c>
      <c r="I130" t="n">
        <v>0</v>
      </c>
      <c r="J130" t="n">
        <v>0</v>
      </c>
      <c r="K130" t="n">
        <v>0</v>
      </c>
      <c r="L130" t="n">
        <v>0</v>
      </c>
      <c r="M130" t="n">
        <v>0</v>
      </c>
      <c r="N130" t="n">
        <v>0</v>
      </c>
      <c r="O130" t="n">
        <v>0</v>
      </c>
      <c r="P130" t="n">
        <v>0</v>
      </c>
      <c r="Q130" t="n">
        <v>0</v>
      </c>
      <c r="R130" s="2" t="inlineStr"/>
    </row>
    <row r="131" ht="15" customHeight="1">
      <c r="A131" t="inlineStr">
        <is>
          <t>A 12621-2024</t>
        </is>
      </c>
      <c r="B131" s="1" t="n">
        <v>45383.6325</v>
      </c>
      <c r="C131" s="1" t="n">
        <v>46077</v>
      </c>
      <c r="D131" t="inlineStr">
        <is>
          <t>STOCKHOLMS LÄN</t>
        </is>
      </c>
      <c r="E131" t="inlineStr">
        <is>
          <t>VALLENTUNA</t>
        </is>
      </c>
      <c r="G131" t="n">
        <v>4.4</v>
      </c>
      <c r="H131" t="n">
        <v>0</v>
      </c>
      <c r="I131" t="n">
        <v>0</v>
      </c>
      <c r="J131" t="n">
        <v>0</v>
      </c>
      <c r="K131" t="n">
        <v>0</v>
      </c>
      <c r="L131" t="n">
        <v>0</v>
      </c>
      <c r="M131" t="n">
        <v>0</v>
      </c>
      <c r="N131" t="n">
        <v>0</v>
      </c>
      <c r="O131" t="n">
        <v>0</v>
      </c>
      <c r="P131" t="n">
        <v>0</v>
      </c>
      <c r="Q131" t="n">
        <v>0</v>
      </c>
      <c r="R131" s="2" t="inlineStr"/>
    </row>
    <row r="132" ht="15" customHeight="1">
      <c r="A132" t="inlineStr">
        <is>
          <t>A 46381-2023</t>
        </is>
      </c>
      <c r="B132" s="1" t="n">
        <v>45193</v>
      </c>
      <c r="C132" s="1" t="n">
        <v>46077</v>
      </c>
      <c r="D132" t="inlineStr">
        <is>
          <t>STOCKHOLMS LÄN</t>
        </is>
      </c>
      <c r="E132" t="inlineStr">
        <is>
          <t>VALLENTUNA</t>
        </is>
      </c>
      <c r="G132" t="n">
        <v>2.9</v>
      </c>
      <c r="H132" t="n">
        <v>0</v>
      </c>
      <c r="I132" t="n">
        <v>0</v>
      </c>
      <c r="J132" t="n">
        <v>0</v>
      </c>
      <c r="K132" t="n">
        <v>0</v>
      </c>
      <c r="L132" t="n">
        <v>0</v>
      </c>
      <c r="M132" t="n">
        <v>0</v>
      </c>
      <c r="N132" t="n">
        <v>0</v>
      </c>
      <c r="O132" t="n">
        <v>0</v>
      </c>
      <c r="P132" t="n">
        <v>0</v>
      </c>
      <c r="Q132" t="n">
        <v>0</v>
      </c>
      <c r="R132" s="2" t="inlineStr"/>
    </row>
    <row r="133" ht="15" customHeight="1">
      <c r="A133" t="inlineStr">
        <is>
          <t>A 27870-2025</t>
        </is>
      </c>
      <c r="B133" s="1" t="n">
        <v>45817</v>
      </c>
      <c r="C133" s="1" t="n">
        <v>46077</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61027-2023</t>
        </is>
      </c>
      <c r="B134" s="1" t="n">
        <v>45261</v>
      </c>
      <c r="C134" s="1" t="n">
        <v>46077</v>
      </c>
      <c r="D134" t="inlineStr">
        <is>
          <t>STOCKHOLMS LÄN</t>
        </is>
      </c>
      <c r="E134" t="inlineStr">
        <is>
          <t>VALLENTUNA</t>
        </is>
      </c>
      <c r="G134" t="n">
        <v>7.1</v>
      </c>
      <c r="H134" t="n">
        <v>0</v>
      </c>
      <c r="I134" t="n">
        <v>0</v>
      </c>
      <c r="J134" t="n">
        <v>0</v>
      </c>
      <c r="K134" t="n">
        <v>0</v>
      </c>
      <c r="L134" t="n">
        <v>0</v>
      </c>
      <c r="M134" t="n">
        <v>0</v>
      </c>
      <c r="N134" t="n">
        <v>0</v>
      </c>
      <c r="O134" t="n">
        <v>0</v>
      </c>
      <c r="P134" t="n">
        <v>0</v>
      </c>
      <c r="Q134" t="n">
        <v>0</v>
      </c>
      <c r="R134" s="2" t="inlineStr"/>
    </row>
    <row r="135" ht="15" customHeight="1">
      <c r="A135" t="inlineStr">
        <is>
          <t>A 23009-2024</t>
        </is>
      </c>
      <c r="B135" s="1" t="n">
        <v>45450.34506944445</v>
      </c>
      <c r="C135" s="1" t="n">
        <v>46077</v>
      </c>
      <c r="D135" t="inlineStr">
        <is>
          <t>STOCKHOLMS LÄN</t>
        </is>
      </c>
      <c r="E135" t="inlineStr">
        <is>
          <t>VALLENTUNA</t>
        </is>
      </c>
      <c r="G135" t="n">
        <v>1.4</v>
      </c>
      <c r="H135" t="n">
        <v>0</v>
      </c>
      <c r="I135" t="n">
        <v>0</v>
      </c>
      <c r="J135" t="n">
        <v>0</v>
      </c>
      <c r="K135" t="n">
        <v>0</v>
      </c>
      <c r="L135" t="n">
        <v>0</v>
      </c>
      <c r="M135" t="n">
        <v>0</v>
      </c>
      <c r="N135" t="n">
        <v>0</v>
      </c>
      <c r="O135" t="n">
        <v>0</v>
      </c>
      <c r="P135" t="n">
        <v>0</v>
      </c>
      <c r="Q135" t="n">
        <v>0</v>
      </c>
      <c r="R135" s="2" t="inlineStr"/>
    </row>
    <row r="136" ht="15" customHeight="1">
      <c r="A136" t="inlineStr">
        <is>
          <t>A 23923-2025</t>
        </is>
      </c>
      <c r="B136" s="1" t="n">
        <v>45795.39648148148</v>
      </c>
      <c r="C136" s="1" t="n">
        <v>46077</v>
      </c>
      <c r="D136" t="inlineStr">
        <is>
          <t>STOCKHOLMS LÄN</t>
        </is>
      </c>
      <c r="E136" t="inlineStr">
        <is>
          <t>VALLENTUNA</t>
        </is>
      </c>
      <c r="G136" t="n">
        <v>2.3</v>
      </c>
      <c r="H136" t="n">
        <v>0</v>
      </c>
      <c r="I136" t="n">
        <v>0</v>
      </c>
      <c r="J136" t="n">
        <v>0</v>
      </c>
      <c r="K136" t="n">
        <v>0</v>
      </c>
      <c r="L136" t="n">
        <v>0</v>
      </c>
      <c r="M136" t="n">
        <v>0</v>
      </c>
      <c r="N136" t="n">
        <v>0</v>
      </c>
      <c r="O136" t="n">
        <v>0</v>
      </c>
      <c r="P136" t="n">
        <v>0</v>
      </c>
      <c r="Q136" t="n">
        <v>0</v>
      </c>
      <c r="R136" s="2" t="inlineStr"/>
    </row>
    <row r="137" ht="15" customHeight="1">
      <c r="A137" t="inlineStr">
        <is>
          <t>A 61646-2025</t>
        </is>
      </c>
      <c r="B137" s="1" t="n">
        <v>46002</v>
      </c>
      <c r="C137" s="1" t="n">
        <v>46077</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25984-2025</t>
        </is>
      </c>
      <c r="B138" s="1" t="n">
        <v>45804.64016203704</v>
      </c>
      <c r="C138" s="1" t="n">
        <v>46077</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6298-2026</t>
        </is>
      </c>
      <c r="B139" s="1" t="n">
        <v>46055.5656712963</v>
      </c>
      <c r="C139" s="1" t="n">
        <v>46077</v>
      </c>
      <c r="D139" t="inlineStr">
        <is>
          <t>STOCKHOLMS LÄN</t>
        </is>
      </c>
      <c r="E139" t="inlineStr">
        <is>
          <t>VALLENTUNA</t>
        </is>
      </c>
      <c r="G139" t="n">
        <v>3.3</v>
      </c>
      <c r="H139" t="n">
        <v>0</v>
      </c>
      <c r="I139" t="n">
        <v>0</v>
      </c>
      <c r="J139" t="n">
        <v>0</v>
      </c>
      <c r="K139" t="n">
        <v>0</v>
      </c>
      <c r="L139" t="n">
        <v>0</v>
      </c>
      <c r="M139" t="n">
        <v>0</v>
      </c>
      <c r="N139" t="n">
        <v>0</v>
      </c>
      <c r="O139" t="n">
        <v>0</v>
      </c>
      <c r="P139" t="n">
        <v>0</v>
      </c>
      <c r="Q139" t="n">
        <v>0</v>
      </c>
      <c r="R139" s="2" t="inlineStr"/>
    </row>
    <row r="140" ht="15" customHeight="1">
      <c r="A140" t="inlineStr">
        <is>
          <t>A 30902-2025</t>
        </is>
      </c>
      <c r="B140" s="1" t="n">
        <v>45832.36104166666</v>
      </c>
      <c r="C140" s="1" t="n">
        <v>46077</v>
      </c>
      <c r="D140" t="inlineStr">
        <is>
          <t>STOCKHOLMS LÄN</t>
        </is>
      </c>
      <c r="E140" t="inlineStr">
        <is>
          <t>VALLENTUNA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414-2026</t>
        </is>
      </c>
      <c r="B141" s="1" t="n">
        <v>46028.76050925926</v>
      </c>
      <c r="C141" s="1" t="n">
        <v>46077</v>
      </c>
      <c r="D141" t="inlineStr">
        <is>
          <t>STOCKHOLMS LÄN</t>
        </is>
      </c>
      <c r="E141" t="inlineStr">
        <is>
          <t>VALLENTUNA</t>
        </is>
      </c>
      <c r="G141" t="n">
        <v>2.6</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46077</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46077</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2026-02-24T11:08:54Z</dcterms:created>
  <dcterms:modified xmlns:dcterms="http://purl.org/dc/terms/" xmlns:xsi="http://www.w3.org/2001/XMLSchema-instance" xsi:type="dcterms:W3CDTF">2026-02-24T11:08:55Z</dcterms:modified>
</cp:coreProperties>
</file>