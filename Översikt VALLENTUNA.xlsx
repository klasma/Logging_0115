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46249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46249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46249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46249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46249</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46249</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61763-2025</t>
        </is>
      </c>
      <c r="B8" t="inlineStr">
        <is>
          <t>avverkningsanmälan</t>
        </is>
      </c>
      <c r="C8" t="inlineStr">
        <is>
          <t>Föryngringsavverkning</t>
        </is>
      </c>
      <c r="D8" s="1" t="n">
        <v>46002</v>
      </c>
      <c r="E8" s="1" t="n">
        <v>46249</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46249</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46249</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17342-2025</t>
        </is>
      </c>
      <c r="B11" t="inlineStr">
        <is>
          <t>avverkningsanmälan</t>
        </is>
      </c>
      <c r="C11" t="inlineStr">
        <is>
          <t>Föryngringsavverkning</t>
        </is>
      </c>
      <c r="D11" s="1" t="n">
        <v>45756</v>
      </c>
      <c r="E11" s="1" t="n">
        <v>46249</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8500-2022</t>
        </is>
      </c>
      <c r="B12" t="inlineStr">
        <is>
          <t>avverkningsanmälan</t>
        </is>
      </c>
      <c r="C12" t="inlineStr">
        <is>
          <t>Föryngringsavverkning</t>
        </is>
      </c>
      <c r="D12" s="1" t="n">
        <v>44613</v>
      </c>
      <c r="E12" s="1" t="n">
        <v>46249</v>
      </c>
      <c r="F12" t="inlineStr">
        <is>
          <t>STOCKHOLMS LÄN</t>
        </is>
      </c>
      <c r="G12" t="inlineStr">
        <is>
          <t>VALLENTUNA</t>
        </is>
      </c>
      <c r="I12" t="n">
        <v>5</v>
      </c>
      <c r="J12" t="n">
        <v>2</v>
      </c>
      <c r="K12" t="n">
        <v>4</v>
      </c>
      <c r="L12" t="n">
        <v>0</v>
      </c>
      <c r="M12" t="n">
        <v>1</v>
      </c>
      <c r="N12" t="n">
        <v>0</v>
      </c>
      <c r="O12" t="n">
        <v>0</v>
      </c>
      <c r="P12" t="n">
        <v>0</v>
      </c>
      <c r="Q12" t="n">
        <v>1</v>
      </c>
      <c r="R12" t="n">
        <v>1</v>
      </c>
      <c r="S12" t="n">
        <v>6</v>
      </c>
      <c r="T12" t="n">
        <v>6</v>
      </c>
      <c r="U12" t="n">
        <v>5</v>
      </c>
      <c r="V12" s="2" t="inlineStr">
        <is>
          <t>Knärot
Björksplintborre
Blåmossa
Bronshjon
Vedticka
Spillkråka</t>
        </is>
      </c>
      <c r="W12">
        <f>HYPERLINK("https://klasma.github.io/Logging_0115/artfynd/A 8500-2022 artfynd.xlsx", "A 8500-2022")</f>
        <v/>
      </c>
      <c r="X12">
        <f>HYPERLINK("https://klasma.github.io/Logging_0115/kartor/A 8500-2022 karta.png", "A 8500-2022")</f>
        <v/>
      </c>
      <c r="Y12">
        <f>HYPERLINK("https://klasma.github.io/Logging_0115/kartor_geotiff/A 8500-2022 georefererad karta.tif", "A 8500-2022")</f>
        <v/>
      </c>
      <c r="Z12">
        <f>HYPERLINK("https://klasma.github.io/Logging_0115/knärot/A 8500-2022 karta knärot.png", "A 8500-2022")</f>
        <v/>
      </c>
      <c r="AA12">
        <f>HYPERLINK("https://klasma.github.io/Logging_0115/klagomål/A 8500-2022 FSC-klagomål.docx", "A 8500-2022")</f>
        <v/>
      </c>
      <c r="AB12">
        <f>HYPERLINK("https://klasma.github.io/Logging_0115/klagomålsmail/A 8500-2022 FSC-klagomål mail.docx", "A 8500-2022")</f>
        <v/>
      </c>
      <c r="AC12">
        <f>HYPERLINK("https://klasma.github.io/Logging_0115/tillsyn/A 8500-2022 tillsynsbegäran.docx", "A 8500-2022")</f>
        <v/>
      </c>
      <c r="AD12">
        <f>HYPERLINK("https://klasma.github.io/Logging_0115/tillsynsmail/A 8500-2022 tillsynsbegäran mail.docx", "A 8500-2022")</f>
        <v/>
      </c>
      <c r="AE12">
        <f>HYPERLINK("https://klasma.github.io/Logging_0115/fåglar/A 8500-2022 prioriterade fågelarter.docx", "A 8500-2022")</f>
        <v/>
      </c>
    </row>
    <row r="13" ht="15" customHeight="1">
      <c r="A13" t="inlineStr">
        <is>
          <t>A 62402-2022</t>
        </is>
      </c>
      <c r="B13" t="inlineStr">
        <is>
          <t>avverkningsanmälan</t>
        </is>
      </c>
      <c r="C13" t="inlineStr">
        <is>
          <t>Föryngringsavverkning</t>
        </is>
      </c>
      <c r="D13" s="1" t="n">
        <v>44923</v>
      </c>
      <c r="E13" s="1" t="n">
        <v>46249</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S 3063-2024</t>
        </is>
      </c>
      <c r="B14" t="inlineStr">
        <is>
          <t>samrådsanmälan</t>
        </is>
      </c>
      <c r="C14" t="inlineStr">
        <is>
          <t>Annan skogsbruksåtgärd</t>
        </is>
      </c>
      <c r="D14" s="1" t="n">
        <v>45517</v>
      </c>
      <c r="E14" s="1" t="n">
        <v>46249</v>
      </c>
      <c r="F14" t="inlineStr">
        <is>
          <t>STOCKHOLMS LÄN</t>
        </is>
      </c>
      <c r="G14" t="inlineStr">
        <is>
          <t>VALLENTUNA</t>
        </is>
      </c>
      <c r="H14" t="inlineStr">
        <is>
          <t>Övriga Aktiebolag</t>
        </is>
      </c>
      <c r="I14" t="n">
        <v>20.1</v>
      </c>
      <c r="J14" t="n">
        <v>0</v>
      </c>
      <c r="K14" t="n">
        <v>3</v>
      </c>
      <c r="L14" t="n">
        <v>3</v>
      </c>
      <c r="M14" t="n">
        <v>0</v>
      </c>
      <c r="N14" t="n">
        <v>0</v>
      </c>
      <c r="O14" t="n">
        <v>0</v>
      </c>
      <c r="P14" t="n">
        <v>0</v>
      </c>
      <c r="Q14" t="n">
        <v>3</v>
      </c>
      <c r="R14" t="n">
        <v>0</v>
      </c>
      <c r="S14" t="n">
        <v>6</v>
      </c>
      <c r="T14" t="n">
        <v>12</v>
      </c>
      <c r="U14" t="n">
        <v>0</v>
      </c>
      <c r="V14" s="2" t="inlineStr">
        <is>
          <t>Lunglav
Ullticka
Vårärt
Barkticka
Mindre märgborre
Stuplav</t>
        </is>
      </c>
      <c r="W14">
        <f>HYPERLINK("https://klasma.github.io/Logging_0115/artfynd/S 3063-2024 artfynd.xlsx", "S 3063-2024")</f>
        <v/>
      </c>
      <c r="X14">
        <f>HYPERLINK("https://klasma.github.io/Logging_0115/kartor/S 3063-2024 karta.png", "S 3063-2024")</f>
        <v/>
      </c>
      <c r="Y14">
        <f>HYPERLINK("https://klasma.github.io/Logging_0115/kartor_geotiff/S 3063-2024 georefererad karta.tif", "S 3063-2024")</f>
        <v/>
      </c>
      <c r="AA14">
        <f>HYPERLINK("https://klasma.github.io/Logging_0115/klagomål/S 3063-2024 FSC-klagomål.docx", "S 3063-2024")</f>
        <v/>
      </c>
      <c r="AB14">
        <f>HYPERLINK("https://klasma.github.io/Logging_0115/klagomålsmail/S 3063-2024 FSC-klagomål mail.docx", "S 3063-2024")</f>
        <v/>
      </c>
      <c r="AC14">
        <f>HYPERLINK("https://klasma.github.io/Logging_0115/tillsyn/S 3063-2024 tillsynsbegäran.docx", "S 3063-2024")</f>
        <v/>
      </c>
      <c r="AD14">
        <f>HYPERLINK("https://klasma.github.io/Logging_0115/tillsynsmail/S 3063-2024 tillsynsbegäran mail.docx", "S 3063-2024")</f>
        <v/>
      </c>
    </row>
    <row r="15" ht="15" customHeight="1">
      <c r="A15" t="inlineStr">
        <is>
          <t>A 14508-2024</t>
        </is>
      </c>
      <c r="B15" t="inlineStr">
        <is>
          <t>avverkningsanmälan</t>
        </is>
      </c>
      <c r="C15" t="inlineStr">
        <is>
          <t>Föryngringsavverkning</t>
        </is>
      </c>
      <c r="D15" s="1" t="n">
        <v>45394</v>
      </c>
      <c r="E15" s="1" t="n">
        <v>46249</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t="n">
        <v>2</v>
      </c>
      <c r="V15" s="2" t="inlineStr">
        <is>
          <t>Hussvala
Berggräsfjäril
Mindre hackspett</t>
        </is>
      </c>
      <c r="W15">
        <f>HYPERLINK("https://klasma.github.io/Logging_0115/artfynd/A 14508-2024 artfynd.xlsx", "A 14508-2024")</f>
        <v/>
      </c>
      <c r="X15">
        <f>HYPERLINK("https://klasma.github.io/Logging_0115/kartor/A 14508-2024 karta.png", "A 14508-2024")</f>
        <v/>
      </c>
      <c r="Y15">
        <f>HYPERLINK("https://klasma.github.io/Logging_0115/kartor_geotiff/A 14508-2024 georefererad karta.tif", "A 14508-2024")</f>
        <v/>
      </c>
      <c r="AA15">
        <f>HYPERLINK("https://klasma.github.io/Logging_0115/klagomål/A 14508-2024 FSC-klagomål.docx", "A 14508-2024")</f>
        <v/>
      </c>
      <c r="AB15">
        <f>HYPERLINK("https://klasma.github.io/Logging_0115/klagomålsmail/A 14508-2024 FSC-klagomål mail.docx", "A 14508-2024")</f>
        <v/>
      </c>
      <c r="AC15">
        <f>HYPERLINK("https://klasma.github.io/Logging_0115/tillsyn/A 14508-2024 tillsynsbegäran.docx", "A 14508-2024")</f>
        <v/>
      </c>
      <c r="AD15">
        <f>HYPERLINK("https://klasma.github.io/Logging_0115/tillsynsmail/A 14508-2024 tillsynsbegäran mail.docx", "A 14508-2024")</f>
        <v/>
      </c>
      <c r="AE15">
        <f>HYPERLINK("https://klasma.github.io/Logging_0115/fåglar/A 14508-2024 prioriterade fågelarter.docx", "A 14508-2024")</f>
        <v/>
      </c>
    </row>
    <row r="16" ht="15" customHeight="1">
      <c r="A16" t="inlineStr">
        <is>
          <t>A 63543-2025</t>
        </is>
      </c>
      <c r="B16" t="inlineStr">
        <is>
          <t>avverkningsanmälan</t>
        </is>
      </c>
      <c r="C16" t="inlineStr">
        <is>
          <t>Föryngringsavverkning</t>
        </is>
      </c>
      <c r="D16" s="1" t="n">
        <v>46013</v>
      </c>
      <c r="E16" s="1" t="n">
        <v>46249</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46249</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46249</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37456-2023</t>
        </is>
      </c>
      <c r="B19" t="inlineStr">
        <is>
          <t>avverkningsanmälan</t>
        </is>
      </c>
      <c r="C19" t="inlineStr">
        <is>
          <t>Föryngringsavverkning</t>
        </is>
      </c>
      <c r="D19" s="1" t="n">
        <v>45156</v>
      </c>
      <c r="E19" s="1" t="n">
        <v>46249</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46249</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46249</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46249</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46249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46249</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34460-2023</t>
        </is>
      </c>
      <c r="B25" t="inlineStr">
        <is>
          <t>avverkningsanmälan</t>
        </is>
      </c>
      <c r="C25" t="inlineStr">
        <is>
          <t>Föryngringsavverkning</t>
        </is>
      </c>
      <c r="D25" s="1" t="n">
        <v>45139</v>
      </c>
      <c r="E25" s="1" t="n">
        <v>46249</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41021-2023</t>
        </is>
      </c>
      <c r="B26" t="inlineStr">
        <is>
          <t>avverkningsanmälan</t>
        </is>
      </c>
      <c r="C26" t="inlineStr">
        <is>
          <t>Föryngringsavverkning</t>
        </is>
      </c>
      <c r="D26" s="1" t="n">
        <v>45173</v>
      </c>
      <c r="E26" s="1" t="n">
        <v>46249</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27935-2026</t>
        </is>
      </c>
      <c r="B27" t="inlineStr">
        <is>
          <t>avverkningsanmälan</t>
        </is>
      </c>
      <c r="C27" t="inlineStr">
        <is>
          <t>Avverkning för annat ändamål</t>
        </is>
      </c>
      <c r="D27" s="1" t="n">
        <v>46191</v>
      </c>
      <c r="E27" s="1" t="n">
        <v>46249</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46249</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17341-2025</t>
        </is>
      </c>
      <c r="B29" t="inlineStr">
        <is>
          <t>avverkningsanmälan</t>
        </is>
      </c>
      <c r="C29" t="inlineStr">
        <is>
          <t>Föryngringsavverkning</t>
        </is>
      </c>
      <c r="D29" s="1" t="n">
        <v>45756</v>
      </c>
      <c r="E29" s="1" t="n">
        <v>46249</v>
      </c>
      <c r="F29" t="inlineStr">
        <is>
          <t>STOCKHOLMS LÄN</t>
        </is>
      </c>
      <c r="G29" t="inlineStr">
        <is>
          <t>VALLENTUNA</t>
        </is>
      </c>
      <c r="H29" t="inlineStr">
        <is>
          <t>Övriga Aktiebolag</t>
        </is>
      </c>
      <c r="I29" t="n">
        <v>5.2</v>
      </c>
      <c r="J29" t="n">
        <v>0</v>
      </c>
      <c r="K29" t="n">
        <v>1</v>
      </c>
      <c r="L29" t="n">
        <v>0</v>
      </c>
      <c r="M29" t="n">
        <v>0</v>
      </c>
      <c r="N29" t="n">
        <v>0</v>
      </c>
      <c r="O29" t="n">
        <v>0</v>
      </c>
      <c r="P29" t="n">
        <v>0</v>
      </c>
      <c r="Q29" t="n">
        <v>0</v>
      </c>
      <c r="R29" t="n">
        <v>0</v>
      </c>
      <c r="S29" t="n">
        <v>1</v>
      </c>
      <c r="T29" t="n">
        <v>2</v>
      </c>
      <c r="U29" t="n">
        <v>0</v>
      </c>
      <c r="V29" s="2" t="inlineStr">
        <is>
          <t>Björksplintborre</t>
        </is>
      </c>
      <c r="W29">
        <f>HYPERLINK("https://klasma.github.io/Logging_0115/artfynd/A 17341-2025 artfynd.xlsx", "A 17341-2025")</f>
        <v/>
      </c>
      <c r="X29">
        <f>HYPERLINK("https://klasma.github.io/Logging_0115/kartor/A 17341-2025 karta.png", "A 17341-2025")</f>
        <v/>
      </c>
      <c r="Y29">
        <f>HYPERLINK("https://klasma.github.io/Logging_0115/kartor_geotiff/A 17341-2025 georefererad karta.tif", "A 17341-2025")</f>
        <v/>
      </c>
      <c r="AA29">
        <f>HYPERLINK("https://klasma.github.io/Logging_0115/klagomål/A 17341-2025 FSC-klagomål.docx", "A 17341-2025")</f>
        <v/>
      </c>
      <c r="AB29">
        <f>HYPERLINK("https://klasma.github.io/Logging_0115/klagomålsmail/A 17341-2025 FSC-klagomål mail.docx", "A 17341-2025")</f>
        <v/>
      </c>
      <c r="AC29">
        <f>HYPERLINK("https://klasma.github.io/Logging_0115/tillsyn/A 17341-2025 tillsynsbegäran.docx", "A 17341-2025")</f>
        <v/>
      </c>
      <c r="AD29">
        <f>HYPERLINK("https://klasma.github.io/Logging_0115/tillsynsmail/A 17341-2025 tillsynsbegäran mail.docx", "A 17341-2025")</f>
        <v/>
      </c>
    </row>
    <row r="30" ht="15" customHeight="1">
      <c r="A30" t="inlineStr">
        <is>
          <t>A 8817-2025</t>
        </is>
      </c>
      <c r="B30" t="inlineStr">
        <is>
          <t>avverkningsanmälan</t>
        </is>
      </c>
      <c r="C30" t="inlineStr">
        <is>
          <t>Föryngringsavverkning</t>
        </is>
      </c>
      <c r="D30" s="1" t="n">
        <v>45712</v>
      </c>
      <c r="E30" s="1" t="n">
        <v>46249</v>
      </c>
      <c r="F30" t="inlineStr">
        <is>
          <t>STOCKHOLMS LÄN</t>
        </is>
      </c>
      <c r="G30" t="inlineStr">
        <is>
          <t>VALLENTUNA</t>
        </is>
      </c>
      <c r="I30" t="n">
        <v>3.6</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8817-2025 artfynd.xlsx", "A 8817-2025")</f>
        <v/>
      </c>
      <c r="X30">
        <f>HYPERLINK("https://klasma.github.io/Logging_0115/kartor/A 8817-2025 karta.png", "A 8817-2025")</f>
        <v/>
      </c>
      <c r="Y30">
        <f>HYPERLINK("https://klasma.github.io/Logging_0115/kartor_geotiff/A 8817-2025 georefererad karta.tif", "A 8817-2025")</f>
        <v/>
      </c>
      <c r="AA30">
        <f>HYPERLINK("https://klasma.github.io/Logging_0115/klagomål/A 8817-2025 FSC-klagomål.docx", "A 8817-2025")</f>
        <v/>
      </c>
      <c r="AB30">
        <f>HYPERLINK("https://klasma.github.io/Logging_0115/klagomålsmail/A 8817-2025 FSC-klagomål mail.docx", "A 8817-2025")</f>
        <v/>
      </c>
      <c r="AC30">
        <f>HYPERLINK("https://klasma.github.io/Logging_0115/tillsyn/A 8817-2025 tillsynsbegäran.docx", "A 8817-2025")</f>
        <v/>
      </c>
      <c r="AD30">
        <f>HYPERLINK("https://klasma.github.io/Logging_0115/tillsynsmail/A 8817-2025 tillsynsbegäran mail.docx", "A 8817-2025")</f>
        <v/>
      </c>
    </row>
    <row r="31" ht="15" customHeight="1">
      <c r="A31" t="inlineStr">
        <is>
          <t>A 22830-2024</t>
        </is>
      </c>
      <c r="B31" t="inlineStr">
        <is>
          <t>avverkningsanmälan</t>
        </is>
      </c>
      <c r="C31" t="inlineStr">
        <is>
          <t>Föryngringsavverkning</t>
        </is>
      </c>
      <c r="D31" s="1" t="n">
        <v>45448</v>
      </c>
      <c r="E31" s="1" t="n">
        <v>46249</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46249</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46249</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46249</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46249</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46249</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34458-2023</t>
        </is>
      </c>
      <c r="B37" t="inlineStr">
        <is>
          <t>avverkningsanmälan</t>
        </is>
      </c>
      <c r="C37" t="inlineStr">
        <is>
          <t>Föryngringsavverkning</t>
        </is>
      </c>
      <c r="D37" s="1" t="n">
        <v>45139</v>
      </c>
      <c r="E37" s="1" t="n">
        <v>46249</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7890-2023</t>
        </is>
      </c>
      <c r="B38" t="inlineStr">
        <is>
          <t>avverkningsanmälan</t>
        </is>
      </c>
      <c r="C38" t="inlineStr">
        <is>
          <t>Föryngringsavverkning</t>
        </is>
      </c>
      <c r="D38" s="1" t="n">
        <v>44973</v>
      </c>
      <c r="E38" s="1" t="n">
        <v>46249</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20910-2026</t>
        </is>
      </c>
      <c r="B39" t="inlineStr">
        <is>
          <t>avverkningsanmälan</t>
        </is>
      </c>
      <c r="C39" t="inlineStr">
        <is>
          <t>Föryngringsavverkning</t>
        </is>
      </c>
      <c r="D39" s="1" t="n">
        <v>46142</v>
      </c>
      <c r="E39" s="1" t="n">
        <v>46249</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23009-2024</t>
        </is>
      </c>
      <c r="B40" t="inlineStr">
        <is>
          <t>avverkningsanmälan</t>
        </is>
      </c>
      <c r="C40" t="inlineStr">
        <is>
          <t>Föryngringsavverkning</t>
        </is>
      </c>
      <c r="D40" s="1" t="n">
        <v>45450</v>
      </c>
      <c r="E40" s="1" t="n">
        <v>46249</v>
      </c>
      <c r="F40" t="inlineStr">
        <is>
          <t>STOCKHOLMS LÄN</t>
        </is>
      </c>
      <c r="G40" t="inlineStr">
        <is>
          <t>VALLENTUNA</t>
        </is>
      </c>
      <c r="I40" t="n">
        <v>1.4</v>
      </c>
      <c r="J40" t="n">
        <v>0</v>
      </c>
      <c r="K40" t="n">
        <v>1</v>
      </c>
      <c r="L40" t="n">
        <v>0</v>
      </c>
      <c r="M40" t="n">
        <v>0</v>
      </c>
      <c r="N40" t="n">
        <v>0</v>
      </c>
      <c r="O40" t="n">
        <v>0</v>
      </c>
      <c r="P40" t="n">
        <v>0</v>
      </c>
      <c r="Q40" t="n">
        <v>0</v>
      </c>
      <c r="R40" t="n">
        <v>0</v>
      </c>
      <c r="S40" t="n">
        <v>1</v>
      </c>
      <c r="T40" t="n">
        <v>1</v>
      </c>
      <c r="U40" t="n">
        <v>0</v>
      </c>
      <c r="V40" s="2" t="inlineStr">
        <is>
          <t>Tibast</t>
        </is>
      </c>
      <c r="W40">
        <f>HYPERLINK("https://klasma.github.io/Logging_0115/artfynd/A 23009-2024 artfynd.xlsx", "A 23009-2024")</f>
        <v/>
      </c>
      <c r="X40">
        <f>HYPERLINK("https://klasma.github.io/Logging_0115/kartor/A 23009-2024 karta.png", "A 23009-2024")</f>
        <v/>
      </c>
      <c r="Y40">
        <f>HYPERLINK("https://klasma.github.io/Logging_0115/kartor_geotiff/A 23009-2024 georefererad karta.tif", "A 23009-2024")</f>
        <v/>
      </c>
      <c r="AA40">
        <f>HYPERLINK("https://klasma.github.io/Logging_0115/klagomål/A 23009-2024 FSC-klagomål.docx", "A 23009-2024")</f>
        <v/>
      </c>
      <c r="AB40">
        <f>HYPERLINK("https://klasma.github.io/Logging_0115/klagomålsmail/A 23009-2024 FSC-klagomål mail.docx", "A 23009-2024")</f>
        <v/>
      </c>
      <c r="AC40">
        <f>HYPERLINK("https://klasma.github.io/Logging_0115/tillsyn/A 23009-2024 tillsynsbegäran.docx", "A 23009-2024")</f>
        <v/>
      </c>
      <c r="AD40">
        <f>HYPERLINK("https://klasma.github.io/Logging_0115/tillsynsmail/A 23009-2024 tillsynsbegäran mail.docx", "A 23009-2024")</f>
        <v/>
      </c>
    </row>
    <row r="41" ht="15" customHeight="1">
      <c r="A41" t="inlineStr">
        <is>
          <t>A 21-2022</t>
        </is>
      </c>
      <c r="B41" t="inlineStr">
        <is>
          <t>avverkningsanmälan</t>
        </is>
      </c>
      <c r="C41" t="inlineStr">
        <is>
          <t>Föryngringsavverkning</t>
        </is>
      </c>
      <c r="D41" s="1" t="n">
        <v>44560</v>
      </c>
      <c r="E41" s="1" t="n">
        <v>46249</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20914-2026</t>
        </is>
      </c>
      <c r="B42" t="inlineStr">
        <is>
          <t>avverkningsanmälan</t>
        </is>
      </c>
      <c r="C42" t="inlineStr">
        <is>
          <t>Avverkning för att bevara och utveckla /försöksver</t>
        </is>
      </c>
      <c r="D42" s="1" t="n">
        <v>46142</v>
      </c>
      <c r="E42" s="1" t="n">
        <v>46249</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46249</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46249</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46249</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46249</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46249</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46249</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46249</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46249</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46249</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46249</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46249</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42624-2021</t>
        </is>
      </c>
      <c r="B54" t="inlineStr">
        <is>
          <t>avverkningsanmälan</t>
        </is>
      </c>
      <c r="C54" t="inlineStr">
        <is>
          <t>Föryngringsavverkning</t>
        </is>
      </c>
      <c r="D54" s="1" t="n">
        <v>44428</v>
      </c>
      <c r="E54" s="1" t="n">
        <v>46249</v>
      </c>
      <c r="F54" t="inlineStr">
        <is>
          <t>STOCKHOLMS LÄN</t>
        </is>
      </c>
      <c r="G54" t="inlineStr">
        <is>
          <t>VALLENTUNA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52562-2023</t>
        </is>
      </c>
      <c r="B55" t="inlineStr">
        <is>
          <t>avverkningsanmälan</t>
        </is>
      </c>
      <c r="C55" t="inlineStr">
        <is>
          <t>Föryngringsavverkning</t>
        </is>
      </c>
      <c r="D55" s="1" t="n">
        <v>45225</v>
      </c>
      <c r="E55" s="1" t="n">
        <v>46249</v>
      </c>
      <c r="F55" t="inlineStr">
        <is>
          <t>STOCKHOLMS LÄN</t>
        </is>
      </c>
      <c r="G55" t="inlineStr">
        <is>
          <t>VALLENTUNA</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7085-2022</t>
        </is>
      </c>
      <c r="B56" t="inlineStr">
        <is>
          <t>avverkningsanmälan</t>
        </is>
      </c>
      <c r="C56" t="inlineStr">
        <is>
          <t>Föryngringsavverkning</t>
        </is>
      </c>
      <c r="D56" s="1" t="n">
        <v>44603</v>
      </c>
      <c r="E56" s="1" t="n">
        <v>46249</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3078-2023</t>
        </is>
      </c>
      <c r="B57" t="inlineStr">
        <is>
          <t>avverkningsanmälan</t>
        </is>
      </c>
      <c r="C57" t="inlineStr">
        <is>
          <t>Föryngringsavverkning</t>
        </is>
      </c>
      <c r="D57" s="1" t="n">
        <v>44946</v>
      </c>
      <c r="E57" s="1" t="n">
        <v>46249</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44346-2021</t>
        </is>
      </c>
      <c r="B58" t="inlineStr">
        <is>
          <t>avverkningsanmälan</t>
        </is>
      </c>
      <c r="C58" t="inlineStr">
        <is>
          <t>Föryngringsavverkning</t>
        </is>
      </c>
      <c r="D58" s="1" t="n">
        <v>44434</v>
      </c>
      <c r="E58" s="1" t="n">
        <v>46249</v>
      </c>
      <c r="F58" t="inlineStr">
        <is>
          <t>STOCKHOLMS LÄN</t>
        </is>
      </c>
      <c r="G58" t="inlineStr">
        <is>
          <t>VALLENTUNA</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60795-2023</t>
        </is>
      </c>
      <c r="B59" t="inlineStr">
        <is>
          <t>avverkningsanmälan</t>
        </is>
      </c>
      <c r="C59" t="inlineStr">
        <is>
          <t>Avverkning för annat ändamål</t>
        </is>
      </c>
      <c r="D59" s="1" t="n">
        <v>45260</v>
      </c>
      <c r="E59" s="1" t="n">
        <v>46249</v>
      </c>
      <c r="F59" t="inlineStr">
        <is>
          <t>STOCKHOLMS LÄN</t>
        </is>
      </c>
      <c r="G59" t="inlineStr">
        <is>
          <t>VALLENTUNA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46249</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46249</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48068-2021</t>
        </is>
      </c>
      <c r="B62" t="inlineStr">
        <is>
          <t>avverkningsanmälan</t>
        </is>
      </c>
      <c r="C62" t="inlineStr">
        <is>
          <t>Föryngringsavverkning</t>
        </is>
      </c>
      <c r="D62" s="1" t="n">
        <v>44449</v>
      </c>
      <c r="E62" s="1" t="n">
        <v>46249</v>
      </c>
      <c r="F62" t="inlineStr">
        <is>
          <t>STOCKHOLMS LÄN</t>
        </is>
      </c>
      <c r="G62" t="inlineStr">
        <is>
          <t>VALLENTUNA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46249</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3937-2022</t>
        </is>
      </c>
      <c r="B64" t="inlineStr">
        <is>
          <t>avverkningsanmälan</t>
        </is>
      </c>
      <c r="C64" t="inlineStr">
        <is>
          <t>Föryngringsavverkning</t>
        </is>
      </c>
      <c r="D64" s="1" t="n">
        <v>44587</v>
      </c>
      <c r="E64" s="1" t="n">
        <v>46249</v>
      </c>
      <c r="F64" t="inlineStr">
        <is>
          <t>STOCKHOLMS LÄN</t>
        </is>
      </c>
      <c r="G64" t="inlineStr">
        <is>
          <t>VALLENTUNA</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23013-2024</t>
        </is>
      </c>
      <c r="B65" t="inlineStr">
        <is>
          <t>avverkningsanmälan</t>
        </is>
      </c>
      <c r="C65" t="inlineStr">
        <is>
          <t>Föryngringsavverkning</t>
        </is>
      </c>
      <c r="D65" s="1" t="n">
        <v>45450</v>
      </c>
      <c r="E65" s="1" t="n">
        <v>46249</v>
      </c>
      <c r="F65" t="inlineStr">
        <is>
          <t>STOCKHOLMS LÄN</t>
        </is>
      </c>
      <c r="G65" t="inlineStr">
        <is>
          <t>VALLENTUNA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46249</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46249</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60818-2023</t>
        </is>
      </c>
      <c r="B68" t="inlineStr">
        <is>
          <t>avverkningsanmälan</t>
        </is>
      </c>
      <c r="C68" t="inlineStr">
        <is>
          <t>Föryngringsavverkning</t>
        </is>
      </c>
      <c r="D68" s="1" t="n">
        <v>45259</v>
      </c>
      <c r="E68" s="1" t="n">
        <v>46249</v>
      </c>
      <c r="F68" t="inlineStr">
        <is>
          <t>STOCKHOLMS LÄN</t>
        </is>
      </c>
      <c r="G68" t="inlineStr">
        <is>
          <t>VALLENTUNA</t>
        </is>
      </c>
      <c r="I68" t="n">
        <v>9.4</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46249</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46249</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46249</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19356-2025</t>
        </is>
      </c>
      <c r="B72" t="inlineStr">
        <is>
          <t>avverkningsanmälan</t>
        </is>
      </c>
      <c r="C72" t="inlineStr">
        <is>
          <t>Föryngringsavverkning</t>
        </is>
      </c>
      <c r="D72" s="1" t="n">
        <v>45769</v>
      </c>
      <c r="E72" s="1" t="n">
        <v>46249</v>
      </c>
      <c r="F72" t="inlineStr">
        <is>
          <t>STOCKHOLMS LÄN</t>
        </is>
      </c>
      <c r="G72" t="inlineStr">
        <is>
          <t>VALLENTUNA</t>
        </is>
      </c>
      <c r="H72" t="inlineStr">
        <is>
          <t>Övriga Aktiebolag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12562-2023</t>
        </is>
      </c>
      <c r="B73" t="inlineStr">
        <is>
          <t>avverkningsanmälan</t>
        </is>
      </c>
      <c r="C73" t="inlineStr">
        <is>
          <t>Föryngringsavverkning</t>
        </is>
      </c>
      <c r="D73" s="1" t="n">
        <v>45000</v>
      </c>
      <c r="E73" s="1" t="n">
        <v>46249</v>
      </c>
      <c r="F73" t="inlineStr">
        <is>
          <t>STOCKHOLMS LÄN</t>
        </is>
      </c>
      <c r="G73" t="inlineStr">
        <is>
          <t>VALLENTUNA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3698-2022</t>
        </is>
      </c>
      <c r="B74" t="inlineStr">
        <is>
          <t>avverkningsanmälan</t>
        </is>
      </c>
      <c r="C74" t="inlineStr">
        <is>
          <t>Föryngringsavverkning</t>
        </is>
      </c>
      <c r="D74" s="1" t="n">
        <v>44586</v>
      </c>
      <c r="E74" s="1" t="n">
        <v>46249</v>
      </c>
      <c r="F74" t="inlineStr">
        <is>
          <t>STOCKHOLMS LÄN</t>
        </is>
      </c>
      <c r="G74" t="inlineStr">
        <is>
          <t>VALLENTUNA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12234-2022</t>
        </is>
      </c>
      <c r="B75" t="inlineStr">
        <is>
          <t>avverkningsanmälan</t>
        </is>
      </c>
      <c r="C75" t="inlineStr">
        <is>
          <t>Föryngringsavverkning</t>
        </is>
      </c>
      <c r="D75" s="1" t="n">
        <v>44637</v>
      </c>
      <c r="E75" s="1" t="n">
        <v>46249</v>
      </c>
      <c r="F75" t="inlineStr">
        <is>
          <t>STOCKHOLMS LÄN</t>
        </is>
      </c>
      <c r="G75" t="inlineStr">
        <is>
          <t>VALLENTUNA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21614-2022</t>
        </is>
      </c>
      <c r="B76" t="inlineStr">
        <is>
          <t>avverkningsanmälan</t>
        </is>
      </c>
      <c r="C76" t="inlineStr">
        <is>
          <t>Föryngringsavverkning</t>
        </is>
      </c>
      <c r="D76" s="1" t="n">
        <v>44706</v>
      </c>
      <c r="E76" s="1" t="n">
        <v>46249</v>
      </c>
      <c r="F76" t="inlineStr">
        <is>
          <t>STOCKHOLMS LÄN</t>
        </is>
      </c>
      <c r="G76" t="inlineStr">
        <is>
          <t>VALLENTUNA</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61646-2025</t>
        </is>
      </c>
      <c r="B77" t="inlineStr">
        <is>
          <t>avverkningsanmälan</t>
        </is>
      </c>
      <c r="C77" t="inlineStr">
        <is>
          <t>Föryngringsavverkning</t>
        </is>
      </c>
      <c r="D77" s="1" t="n">
        <v>46002</v>
      </c>
      <c r="E77" s="1" t="n">
        <v>46249</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12585-2023</t>
        </is>
      </c>
      <c r="B78" t="inlineStr">
        <is>
          <t>avverkningsanmälan</t>
        </is>
      </c>
      <c r="C78" t="inlineStr">
        <is>
          <t>Föryngringsavverkning</t>
        </is>
      </c>
      <c r="D78" s="1" t="n">
        <v>45000</v>
      </c>
      <c r="E78" s="1" t="n">
        <v>46249</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4804-2024</t>
        </is>
      </c>
      <c r="B79" t="inlineStr">
        <is>
          <t>avverkningsanmälan</t>
        </is>
      </c>
      <c r="C79" t="inlineStr">
        <is>
          <t>Avverkning för annat ändamål</t>
        </is>
      </c>
      <c r="D79" s="1" t="n">
        <v>45328</v>
      </c>
      <c r="E79" s="1" t="n">
        <v>46249</v>
      </c>
      <c r="F79" t="inlineStr">
        <is>
          <t>STOCKHOLMS LÄN</t>
        </is>
      </c>
      <c r="G79" t="inlineStr">
        <is>
          <t>VALLENTUNA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8787-2024</t>
        </is>
      </c>
      <c r="B80" t="inlineStr">
        <is>
          <t>avverkningsanmälan</t>
        </is>
      </c>
      <c r="C80" t="inlineStr">
        <is>
          <t>Avverkning för annat ändamål</t>
        </is>
      </c>
      <c r="D80" s="1" t="n">
        <v>45356</v>
      </c>
      <c r="E80" s="1" t="n">
        <v>46249</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46249</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19503-2023</t>
        </is>
      </c>
      <c r="B82" t="inlineStr">
        <is>
          <t>avverkningsanmälan</t>
        </is>
      </c>
      <c r="C82" t="inlineStr">
        <is>
          <t>Föryngringsavverkning</t>
        </is>
      </c>
      <c r="D82" s="1" t="n">
        <v>45050</v>
      </c>
      <c r="E82" s="1" t="n">
        <v>46249</v>
      </c>
      <c r="F82" t="inlineStr">
        <is>
          <t>STOCKHOLMS LÄN</t>
        </is>
      </c>
      <c r="G82" t="inlineStr">
        <is>
          <t>VALLENTUNA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34441-2023</t>
        </is>
      </c>
      <c r="B83" t="inlineStr">
        <is>
          <t>avverkningsanmälan</t>
        </is>
      </c>
      <c r="C83" t="inlineStr">
        <is>
          <t>Föryngringsavverkning</t>
        </is>
      </c>
      <c r="D83" s="1" t="n">
        <v>45139</v>
      </c>
      <c r="E83" s="1" t="n">
        <v>46249</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34445-2023</t>
        </is>
      </c>
      <c r="B84" t="inlineStr">
        <is>
          <t>avverkningsanmälan</t>
        </is>
      </c>
      <c r="C84" t="inlineStr">
        <is>
          <t>Föryngringsavverkning</t>
        </is>
      </c>
      <c r="D84" s="1" t="n">
        <v>45139</v>
      </c>
      <c r="E84" s="1" t="n">
        <v>46249</v>
      </c>
      <c r="F84" t="inlineStr">
        <is>
          <t>STOCKHOLMS LÄN</t>
        </is>
      </c>
      <c r="G84" t="inlineStr">
        <is>
          <t>VALLENTUNA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23986-2023</t>
        </is>
      </c>
      <c r="B85" t="inlineStr">
        <is>
          <t>avverkningsanmälan</t>
        </is>
      </c>
      <c r="C85" t="inlineStr">
        <is>
          <t>Föryngringsavverkning</t>
        </is>
      </c>
      <c r="D85" s="1" t="n">
        <v>45078</v>
      </c>
      <c r="E85" s="1" t="n">
        <v>46249</v>
      </c>
      <c r="F85" t="inlineStr">
        <is>
          <t>STOCKHOLMS LÄN</t>
        </is>
      </c>
      <c r="G85" t="inlineStr">
        <is>
          <t>VALLENTUNA</t>
        </is>
      </c>
      <c r="H85" t="inlineStr">
        <is>
          <t>Kyrkan</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6298-2026</t>
        </is>
      </c>
      <c r="B86" t="inlineStr">
        <is>
          <t>avverkningsanmälan</t>
        </is>
      </c>
      <c r="C86" t="inlineStr">
        <is>
          <t>Föryngringsavverkning</t>
        </is>
      </c>
      <c r="D86" s="1" t="n">
        <v>46055</v>
      </c>
      <c r="E86" s="1" t="n">
        <v>46249</v>
      </c>
      <c r="F86" t="inlineStr">
        <is>
          <t>STOCKHOLMS LÄN</t>
        </is>
      </c>
      <c r="G86" t="inlineStr">
        <is>
          <t>VALLENTUNA</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46249</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13836-2022</t>
        </is>
      </c>
      <c r="B88" t="inlineStr">
        <is>
          <t>avverkningsanmälan</t>
        </is>
      </c>
      <c r="C88" t="inlineStr">
        <is>
          <t>Föryngringsavverkning</t>
        </is>
      </c>
      <c r="D88" s="1" t="n">
        <v>44649</v>
      </c>
      <c r="E88" s="1" t="n">
        <v>46249</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21445-2023</t>
        </is>
      </c>
      <c r="B89" t="inlineStr">
        <is>
          <t>avverkningsanmälan</t>
        </is>
      </c>
      <c r="C89" t="inlineStr">
        <is>
          <t>Föryngringsavverkning</t>
        </is>
      </c>
      <c r="D89" s="1" t="n">
        <v>45063</v>
      </c>
      <c r="E89" s="1" t="n">
        <v>46249</v>
      </c>
      <c r="F89" t="inlineStr">
        <is>
          <t>STOCKHOLMS LÄN</t>
        </is>
      </c>
      <c r="G89" t="inlineStr">
        <is>
          <t>VALLENTUNA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22683-2023</t>
        </is>
      </c>
      <c r="B90" t="inlineStr">
        <is>
          <t>avverkningsanmälan</t>
        </is>
      </c>
      <c r="C90" t="inlineStr">
        <is>
          <t>Föryngringsavverkning</t>
        </is>
      </c>
      <c r="D90" s="1" t="n">
        <v>45071</v>
      </c>
      <c r="E90" s="1" t="n">
        <v>46249</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24943-2024</t>
        </is>
      </c>
      <c r="B91" t="inlineStr">
        <is>
          <t>avverkningsanmälan</t>
        </is>
      </c>
      <c r="C91" t="inlineStr">
        <is>
          <t>Föryngringsavverkning</t>
        </is>
      </c>
      <c r="D91" s="1" t="n">
        <v>45461</v>
      </c>
      <c r="E91" s="1" t="n">
        <v>46249</v>
      </c>
      <c r="F91" t="inlineStr">
        <is>
          <t>STOCKHOLMS LÄN</t>
        </is>
      </c>
      <c r="G91" t="inlineStr">
        <is>
          <t>VALLENTUNA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5910-2022</t>
        </is>
      </c>
      <c r="B92" t="inlineStr">
        <is>
          <t>avverkningsanmälan</t>
        </is>
      </c>
      <c r="C92" t="inlineStr">
        <is>
          <t>Föryngringsavverkning</t>
        </is>
      </c>
      <c r="D92" s="1" t="n">
        <v>44597</v>
      </c>
      <c r="E92" s="1" t="n">
        <v>46249</v>
      </c>
      <c r="F92" t="inlineStr">
        <is>
          <t>STOCKHOLMS LÄN</t>
        </is>
      </c>
      <c r="G92" t="inlineStr">
        <is>
          <t>VALLENTUNA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29704-2023</t>
        </is>
      </c>
      <c r="B93" t="inlineStr">
        <is>
          <t>avverkningsanmälan</t>
        </is>
      </c>
      <c r="C93" t="inlineStr">
        <is>
          <t>Föryngringsavverkning</t>
        </is>
      </c>
      <c r="D93" s="1" t="n">
        <v>45107</v>
      </c>
      <c r="E93" s="1" t="n">
        <v>46249</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21765-2023</t>
        </is>
      </c>
      <c r="B94" t="inlineStr">
        <is>
          <t>avverkningsanmälan</t>
        </is>
      </c>
      <c r="C94" t="inlineStr">
        <is>
          <t>Föryngringsavverkning</t>
        </is>
      </c>
      <c r="D94" s="1" t="n">
        <v>45064</v>
      </c>
      <c r="E94" s="1" t="n">
        <v>46249</v>
      </c>
      <c r="F94" t="inlineStr">
        <is>
          <t>STOCKHOLMS LÄN</t>
        </is>
      </c>
      <c r="G94" t="inlineStr">
        <is>
          <t>VALLENTUNA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45496-2023</t>
        </is>
      </c>
      <c r="B95" t="inlineStr">
        <is>
          <t>avverkningsanmälan</t>
        </is>
      </c>
      <c r="C95" t="inlineStr">
        <is>
          <t>Föryngringsavverkning</t>
        </is>
      </c>
      <c r="D95" s="1" t="n">
        <v>45194</v>
      </c>
      <c r="E95" s="1" t="n">
        <v>46249</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45499-2023</t>
        </is>
      </c>
      <c r="B96" t="inlineStr">
        <is>
          <t>avverkningsanmälan</t>
        </is>
      </c>
      <c r="C96" t="inlineStr">
        <is>
          <t>Föryngringsavverkning</t>
        </is>
      </c>
      <c r="D96" s="1" t="n">
        <v>45194</v>
      </c>
      <c r="E96" s="1" t="n">
        <v>46249</v>
      </c>
      <c r="F96" t="inlineStr">
        <is>
          <t>STOCKHOLMS LÄN</t>
        </is>
      </c>
      <c r="G96" t="inlineStr">
        <is>
          <t>VALLENTUNA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14782-2024</t>
        </is>
      </c>
      <c r="B97" t="inlineStr">
        <is>
          <t>avverkningsanmälan</t>
        </is>
      </c>
      <c r="C97" t="inlineStr">
        <is>
          <t>Avverkning för att bevara och utveckla /försöksver</t>
        </is>
      </c>
      <c r="D97" s="1" t="n">
        <v>45397</v>
      </c>
      <c r="E97" s="1" t="n">
        <v>46249</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1385-2024</t>
        </is>
      </c>
      <c r="B98" t="inlineStr">
        <is>
          <t>avverkningsanmälan</t>
        </is>
      </c>
      <c r="C98" t="inlineStr">
        <is>
          <t>Föryngringsavverkning</t>
        </is>
      </c>
      <c r="D98" s="1" t="n">
        <v>45303</v>
      </c>
      <c r="E98" s="1" t="n">
        <v>46249</v>
      </c>
      <c r="F98" t="inlineStr">
        <is>
          <t>STOCKHOLMS LÄN</t>
        </is>
      </c>
      <c r="G98" t="inlineStr">
        <is>
          <t>VALLENTUNA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14775-2024</t>
        </is>
      </c>
      <c r="B99" t="inlineStr">
        <is>
          <t>avverkningsanmälan</t>
        </is>
      </c>
      <c r="C99" t="inlineStr">
        <is>
          <t>Föryngringsavverkning</t>
        </is>
      </c>
      <c r="D99" s="1" t="n">
        <v>45397</v>
      </c>
      <c r="E99" s="1" t="n">
        <v>46249</v>
      </c>
      <c r="F99" t="inlineStr">
        <is>
          <t>STOCKHOLMS LÄN</t>
        </is>
      </c>
      <c r="G99" t="inlineStr">
        <is>
          <t>VALLENTUNA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17411-2023</t>
        </is>
      </c>
      <c r="B100" t="inlineStr">
        <is>
          <t>avverkningsanmälan</t>
        </is>
      </c>
      <c r="C100" t="inlineStr">
        <is>
          <t>Föryngringsavverkning</t>
        </is>
      </c>
      <c r="D100" s="1" t="n">
        <v>45035</v>
      </c>
      <c r="E100" s="1" t="n">
        <v>46249</v>
      </c>
      <c r="F100" t="inlineStr">
        <is>
          <t>STOCKHOLMS LÄN</t>
        </is>
      </c>
      <c r="G100" t="inlineStr">
        <is>
          <t>VALLENTUNA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26390-2023</t>
        </is>
      </c>
      <c r="B101" t="inlineStr">
        <is>
          <t>avverkningsanmälan</t>
        </is>
      </c>
      <c r="C101" t="inlineStr">
        <is>
          <t>Föryngringsavverkning</t>
        </is>
      </c>
      <c r="D101" s="1" t="n">
        <v>45086</v>
      </c>
      <c r="E101" s="1" t="n">
        <v>46249</v>
      </c>
      <c r="F101" t="inlineStr">
        <is>
          <t>STOCKHOLMS LÄN</t>
        </is>
      </c>
      <c r="G101" t="inlineStr">
        <is>
          <t>VALLENTUNA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46249</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17340-2025</t>
        </is>
      </c>
      <c r="B103" t="inlineStr">
        <is>
          <t>avverkningsanmälan</t>
        </is>
      </c>
      <c r="C103" t="inlineStr">
        <is>
          <t>Föryngringsavverkning</t>
        </is>
      </c>
      <c r="D103" s="1" t="n">
        <v>45756</v>
      </c>
      <c r="E103" s="1" t="n">
        <v>46249</v>
      </c>
      <c r="F103" t="inlineStr">
        <is>
          <t>STOCKHOLMS LÄN</t>
        </is>
      </c>
      <c r="G103" t="inlineStr">
        <is>
          <t>VALLENTUNA</t>
        </is>
      </c>
      <c r="H103" t="inlineStr">
        <is>
          <t>Övriga Aktiebolag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10073-2024</t>
        </is>
      </c>
      <c r="B104" t="inlineStr">
        <is>
          <t>avverkningsanmälan</t>
        </is>
      </c>
      <c r="C104" t="inlineStr">
        <is>
          <t>Föryngringsavverkning</t>
        </is>
      </c>
      <c r="D104" s="1" t="n">
        <v>45364</v>
      </c>
      <c r="E104" s="1" t="n">
        <v>46249</v>
      </c>
      <c r="F104" t="inlineStr">
        <is>
          <t>STOCKHOLMS LÄN</t>
        </is>
      </c>
      <c r="G104" t="inlineStr">
        <is>
          <t>VALLENTUNA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12621-2024</t>
        </is>
      </c>
      <c r="B105" t="inlineStr">
        <is>
          <t>avverkningsanmälan</t>
        </is>
      </c>
      <c r="C105" t="inlineStr">
        <is>
          <t>Föryngringsavverkning</t>
        </is>
      </c>
      <c r="D105" s="1" t="n">
        <v>45383</v>
      </c>
      <c r="E105" s="1" t="n">
        <v>46249</v>
      </c>
      <c r="F105" t="inlineStr">
        <is>
          <t>STOCKHOLMS LÄN</t>
        </is>
      </c>
      <c r="G105" t="inlineStr">
        <is>
          <t>VALLENTUNA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46381-2023</t>
        </is>
      </c>
      <c r="B106" t="inlineStr">
        <is>
          <t>avverkningsanmälan</t>
        </is>
      </c>
      <c r="C106" t="inlineStr">
        <is>
          <t>Föryngringsavverkning</t>
        </is>
      </c>
      <c r="D106" s="1" t="n">
        <v>45193</v>
      </c>
      <c r="E106" s="1" t="n">
        <v>46249</v>
      </c>
      <c r="F106" t="inlineStr">
        <is>
          <t>STOCKHOLMS LÄN</t>
        </is>
      </c>
      <c r="G106" t="inlineStr">
        <is>
          <t>VALLENTUNA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24707-2023</t>
        </is>
      </c>
      <c r="B107" t="inlineStr">
        <is>
          <t>avverkningsanmälan</t>
        </is>
      </c>
      <c r="C107" t="inlineStr">
        <is>
          <t>Föryngringsavverkning</t>
        </is>
      </c>
      <c r="D107" s="1" t="n">
        <v>45084</v>
      </c>
      <c r="E107" s="1" t="n">
        <v>46249</v>
      </c>
      <c r="F107" t="inlineStr">
        <is>
          <t>STOCKHOLMS LÄN</t>
        </is>
      </c>
      <c r="G107" t="inlineStr">
        <is>
          <t>VALLENTUNA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12609-2024</t>
        </is>
      </c>
      <c r="B108" t="inlineStr">
        <is>
          <t>avverkningsanmälan</t>
        </is>
      </c>
      <c r="C108" t="inlineStr">
        <is>
          <t>Avverkning för annat ändamål</t>
        </is>
      </c>
      <c r="D108" s="1" t="n">
        <v>45382</v>
      </c>
      <c r="E108" s="1" t="n">
        <v>46249</v>
      </c>
      <c r="F108" t="inlineStr">
        <is>
          <t>STOCKHOLMS LÄN</t>
        </is>
      </c>
      <c r="G108" t="inlineStr">
        <is>
          <t>VALLENTUNA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61027-2023</t>
        </is>
      </c>
      <c r="B109" t="inlineStr">
        <is>
          <t>avverkningsanmälan</t>
        </is>
      </c>
      <c r="C109" t="inlineStr">
        <is>
          <t>Föryngringsavverkning</t>
        </is>
      </c>
      <c r="D109" s="1" t="n">
        <v>45261</v>
      </c>
      <c r="E109" s="1" t="n">
        <v>46249</v>
      </c>
      <c r="F109" t="inlineStr">
        <is>
          <t>STOCKHOLMS LÄN</t>
        </is>
      </c>
      <c r="G109" t="inlineStr">
        <is>
          <t>VALLENTUNA</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47140-2024</t>
        </is>
      </c>
      <c r="B110" t="inlineStr">
        <is>
          <t>avverkningsanmälan</t>
        </is>
      </c>
      <c r="C110" t="inlineStr">
        <is>
          <t>Föryngringsavverkning</t>
        </is>
      </c>
      <c r="D110" s="1" t="n">
        <v>45586</v>
      </c>
      <c r="E110" s="1" t="n">
        <v>46249</v>
      </c>
      <c r="F110" t="inlineStr">
        <is>
          <t>STOCKHOLMS LÄN</t>
        </is>
      </c>
      <c r="G110" t="inlineStr">
        <is>
          <t>VALLENTUNA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24740-2026</t>
        </is>
      </c>
      <c r="B111" t="inlineStr">
        <is>
          <t>avverkningsanmälan</t>
        </is>
      </c>
      <c r="C111" t="inlineStr">
        <is>
          <t>Föryngringsavverkning</t>
        </is>
      </c>
      <c r="D111" s="1" t="n">
        <v>46171</v>
      </c>
      <c r="E111" s="1" t="n">
        <v>46249</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9063-2024</t>
        </is>
      </c>
      <c r="B112" t="inlineStr">
        <is>
          <t>avverkningsanmälan</t>
        </is>
      </c>
      <c r="C112" t="inlineStr">
        <is>
          <t>Föryngringsavverkning</t>
        </is>
      </c>
      <c r="D112" s="1" t="n">
        <v>45357</v>
      </c>
      <c r="E112" s="1" t="n">
        <v>46249</v>
      </c>
      <c r="F112" t="inlineStr">
        <is>
          <t>STOCKHOLMS LÄN</t>
        </is>
      </c>
      <c r="G112" t="inlineStr">
        <is>
          <t>VALLENTUNA</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25740-2026</t>
        </is>
      </c>
      <c r="B113" t="inlineStr">
        <is>
          <t>avverkningsanmälan</t>
        </is>
      </c>
      <c r="C113" t="inlineStr">
        <is>
          <t>Föryngringsavverkning</t>
        </is>
      </c>
      <c r="D113" s="1" t="n">
        <v>46178</v>
      </c>
      <c r="E113" s="1" t="n">
        <v>46249</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25752-2026</t>
        </is>
      </c>
      <c r="B114" t="inlineStr">
        <is>
          <t>avverkningsanmälan</t>
        </is>
      </c>
      <c r="C114" t="inlineStr">
        <is>
          <t>Föryngringsavverkning</t>
        </is>
      </c>
      <c r="D114" s="1" t="n">
        <v>46178</v>
      </c>
      <c r="E114" s="1" t="n">
        <v>46249</v>
      </c>
      <c r="F114" t="inlineStr">
        <is>
          <t>STOCKHOLMS LÄN</t>
        </is>
      </c>
      <c r="G114" t="inlineStr">
        <is>
          <t>VALLENTUNA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4803-2024</t>
        </is>
      </c>
      <c r="B115" t="inlineStr">
        <is>
          <t>avverkningsanmälan</t>
        </is>
      </c>
      <c r="C115" t="inlineStr">
        <is>
          <t>Avverkning för annat ändamål</t>
        </is>
      </c>
      <c r="D115" s="1" t="n">
        <v>45328</v>
      </c>
      <c r="E115" s="1" t="n">
        <v>46249</v>
      </c>
      <c r="F115" t="inlineStr">
        <is>
          <t>STOCKHOLMS LÄN</t>
        </is>
      </c>
      <c r="G115" t="inlineStr">
        <is>
          <t>VALLENTUNA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52542-2023</t>
        </is>
      </c>
      <c r="B116" t="inlineStr">
        <is>
          <t>avverkningsanmälan</t>
        </is>
      </c>
      <c r="C116" t="inlineStr">
        <is>
          <t>Föryngringsavverkning</t>
        </is>
      </c>
      <c r="D116" s="1" t="n">
        <v>45225</v>
      </c>
      <c r="E116" s="1" t="n">
        <v>46249</v>
      </c>
      <c r="F116" t="inlineStr">
        <is>
          <t>STOCKHOLMS LÄN</t>
        </is>
      </c>
      <c r="G116" t="inlineStr">
        <is>
          <t>VALLENTUNA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30902-2025</t>
        </is>
      </c>
      <c r="B117" t="inlineStr">
        <is>
          <t>avverkningsanmälan</t>
        </is>
      </c>
      <c r="C117" t="inlineStr">
        <is>
          <t>Föryngringsavverkning</t>
        </is>
      </c>
      <c r="D117" s="1" t="n">
        <v>45832</v>
      </c>
      <c r="E117" s="1" t="n">
        <v>46249</v>
      </c>
      <c r="F117" t="inlineStr">
        <is>
          <t>STOCKHOLMS LÄN</t>
        </is>
      </c>
      <c r="G117" t="inlineStr">
        <is>
          <t>VALLENTUNA</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11950-2025</t>
        </is>
      </c>
      <c r="B118" t="inlineStr">
        <is>
          <t>avverkningsanmälan</t>
        </is>
      </c>
      <c r="C118" t="inlineStr">
        <is>
          <t>Föryngringsavverkning</t>
        </is>
      </c>
      <c r="D118" s="1" t="n">
        <v>45728</v>
      </c>
      <c r="E118" s="1" t="n">
        <v>46249</v>
      </c>
      <c r="F118" t="inlineStr">
        <is>
          <t>STOCKHOLMS LÄN</t>
        </is>
      </c>
      <c r="G118" t="inlineStr">
        <is>
          <t>VALLENTUNA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12819-2026</t>
        </is>
      </c>
      <c r="B119" t="inlineStr">
        <is>
          <t>avverkningsanmälan</t>
        </is>
      </c>
      <c r="C119" t="inlineStr">
        <is>
          <t>Föryngringsavverkning</t>
        </is>
      </c>
      <c r="D119" s="1" t="n">
        <v>46092</v>
      </c>
      <c r="E119" s="1" t="n">
        <v>46249</v>
      </c>
      <c r="F119" t="inlineStr">
        <is>
          <t>STOCKHOLMS LÄN</t>
        </is>
      </c>
      <c r="G119" t="inlineStr">
        <is>
          <t>VALLENTUNA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14489-2024</t>
        </is>
      </c>
      <c r="B120" t="inlineStr">
        <is>
          <t>avverkningsanmälan</t>
        </is>
      </c>
      <c r="C120" t="inlineStr">
        <is>
          <t>Föryngringsavverkning</t>
        </is>
      </c>
      <c r="D120" s="1" t="n">
        <v>45394</v>
      </c>
      <c r="E120" s="1" t="n">
        <v>46249</v>
      </c>
      <c r="F120" t="inlineStr">
        <is>
          <t>STOCKHOLMS LÄN</t>
        </is>
      </c>
      <c r="G120" t="inlineStr">
        <is>
          <t>VALLENTUNA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28431-2025</t>
        </is>
      </c>
      <c r="B121" t="inlineStr">
        <is>
          <t>avverkningsanmälan</t>
        </is>
      </c>
      <c r="C121" t="inlineStr">
        <is>
          <t>Föryngringsavverkning</t>
        </is>
      </c>
      <c r="D121" s="1" t="n">
        <v>45819</v>
      </c>
      <c r="E121" s="1" t="n">
        <v>46249</v>
      </c>
      <c r="F121" t="inlineStr">
        <is>
          <t>STOCKHOLMS LÄN</t>
        </is>
      </c>
      <c r="G121" t="inlineStr">
        <is>
          <t>VALLENTUNA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46249</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46249</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2026-08-15T08:29:24Z</dcterms:created>
  <dcterms:modified xmlns:dcterms="http://purl.org/dc/terms/" xmlns:xsi="http://www.w3.org/2001/XMLSchema-instance" xsi:type="dcterms:W3CDTF">2026-08-15T08:29:24Z</dcterms:modified>
</cp:coreProperties>
</file>