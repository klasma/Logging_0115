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46140</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46140</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46140</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46140</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46140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46140</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46140</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46140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46140</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46140</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46140</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46140</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46140</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46140</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46140</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46140</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46140</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46140</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46140</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46140</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46140</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46140</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46140</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12396-2026</t>
        </is>
      </c>
      <c r="B40" s="1" t="n">
        <v>46090.38930555555</v>
      </c>
      <c r="C40" s="1" t="n">
        <v>46140</v>
      </c>
      <c r="D40" t="inlineStr">
        <is>
          <t>STOCKHOLMS LÄN</t>
        </is>
      </c>
      <c r="E40" t="inlineStr">
        <is>
          <t>VALLENTUNA</t>
        </is>
      </c>
      <c r="G40" t="n">
        <v>3</v>
      </c>
      <c r="H40" t="n">
        <v>1</v>
      </c>
      <c r="I40" t="n">
        <v>0</v>
      </c>
      <c r="J40" t="n">
        <v>1</v>
      </c>
      <c r="K40" t="n">
        <v>0</v>
      </c>
      <c r="L40" t="n">
        <v>0</v>
      </c>
      <c r="M40" t="n">
        <v>0</v>
      </c>
      <c r="N40" t="n">
        <v>0</v>
      </c>
      <c r="O40" t="n">
        <v>1</v>
      </c>
      <c r="P40" t="n">
        <v>0</v>
      </c>
      <c r="Q40" t="n">
        <v>1</v>
      </c>
      <c r="R40" s="2" t="inlineStr">
        <is>
          <t>Spillkråka</t>
        </is>
      </c>
      <c r="S40">
        <f>HYPERLINK("https://klasma.github.io/Logging_0115/artfynd/A 12396-2026 artfynd.xlsx", "A 12396-2026")</f>
        <v/>
      </c>
      <c r="T40">
        <f>HYPERLINK("https://klasma.github.io/Logging_0115/kartor/A 12396-2026 karta.png", "A 12396-2026")</f>
        <v/>
      </c>
      <c r="V40">
        <f>HYPERLINK("https://klasma.github.io/Logging_0115/klagomål/A 12396-2026 FSC-klagomål.docx", "A 12396-2026")</f>
        <v/>
      </c>
      <c r="W40">
        <f>HYPERLINK("https://klasma.github.io/Logging_0115/klagomålsmail/A 12396-2026 FSC-klagomål mail.docx", "A 12396-2026")</f>
        <v/>
      </c>
      <c r="X40">
        <f>HYPERLINK("https://klasma.github.io/Logging_0115/tillsyn/A 12396-2026 tillsynsbegäran.docx", "A 12396-2026")</f>
        <v/>
      </c>
      <c r="Y40">
        <f>HYPERLINK("https://klasma.github.io/Logging_0115/tillsynsmail/A 12396-2026 tillsynsbegäran mail.docx", "A 12396-2026")</f>
        <v/>
      </c>
      <c r="Z40">
        <f>HYPERLINK("https://klasma.github.io/Logging_0115/fåglar/A 12396-2026 prioriterade fågelarter.docx", "A 12396-2026")</f>
        <v/>
      </c>
    </row>
    <row r="41" ht="15" customHeight="1">
      <c r="A41" t="inlineStr">
        <is>
          <t>A 12401-2026</t>
        </is>
      </c>
      <c r="B41" s="1" t="n">
        <v>46090</v>
      </c>
      <c r="C41" s="1" t="n">
        <v>46140</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21439-2025</t>
        </is>
      </c>
      <c r="B42" s="1" t="n">
        <v>45782.52939814814</v>
      </c>
      <c r="C42" s="1" t="n">
        <v>46140</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46140</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20612-2021</t>
        </is>
      </c>
      <c r="B44" s="1" t="n">
        <v>44315</v>
      </c>
      <c r="C44" s="1" t="n">
        <v>46140</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46140</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46140</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46140</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46140</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46140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46140</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46140</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46140</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46140</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46140</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46140</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46140</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46140</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46140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46140</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46140</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46140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46140</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46140</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46140</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46140</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48068-2021</t>
        </is>
      </c>
      <c r="B66" s="1" t="n">
        <v>44449.42270833333</v>
      </c>
      <c r="C66" s="1" t="n">
        <v>46140</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3937-2022</t>
        </is>
      </c>
      <c r="B67" s="1" t="n">
        <v>44587</v>
      </c>
      <c r="C67" s="1" t="n">
        <v>46140</v>
      </c>
      <c r="D67" t="inlineStr">
        <is>
          <t>STOCKHOLMS LÄN</t>
        </is>
      </c>
      <c r="E67" t="inlineStr">
        <is>
          <t>VALLENTUNA</t>
        </is>
      </c>
      <c r="G67" t="n">
        <v>6.6</v>
      </c>
      <c r="H67" t="n">
        <v>0</v>
      </c>
      <c r="I67" t="n">
        <v>0</v>
      </c>
      <c r="J67" t="n">
        <v>0</v>
      </c>
      <c r="K67" t="n">
        <v>0</v>
      </c>
      <c r="L67" t="n">
        <v>0</v>
      </c>
      <c r="M67" t="n">
        <v>0</v>
      </c>
      <c r="N67" t="n">
        <v>0</v>
      </c>
      <c r="O67" t="n">
        <v>0</v>
      </c>
      <c r="P67" t="n">
        <v>0</v>
      </c>
      <c r="Q67" t="n">
        <v>0</v>
      </c>
      <c r="R67" s="2" t="inlineStr"/>
    </row>
    <row r="68" ht="15" customHeight="1">
      <c r="A68" t="inlineStr">
        <is>
          <t>A 60818-2023</t>
        </is>
      </c>
      <c r="B68" s="1" t="n">
        <v>45259</v>
      </c>
      <c r="C68" s="1" t="n">
        <v>46140</v>
      </c>
      <c r="D68" t="inlineStr">
        <is>
          <t>STOCKHOLMS LÄN</t>
        </is>
      </c>
      <c r="E68" t="inlineStr">
        <is>
          <t>VALLENTUNA</t>
        </is>
      </c>
      <c r="G68" t="n">
        <v>9.4</v>
      </c>
      <c r="H68" t="n">
        <v>0</v>
      </c>
      <c r="I68" t="n">
        <v>0</v>
      </c>
      <c r="J68" t="n">
        <v>0</v>
      </c>
      <c r="K68" t="n">
        <v>0</v>
      </c>
      <c r="L68" t="n">
        <v>0</v>
      </c>
      <c r="M68" t="n">
        <v>0</v>
      </c>
      <c r="N68" t="n">
        <v>0</v>
      </c>
      <c r="O68" t="n">
        <v>0</v>
      </c>
      <c r="P68" t="n">
        <v>0</v>
      </c>
      <c r="Q68" t="n">
        <v>0</v>
      </c>
      <c r="R68" s="2" t="inlineStr"/>
    </row>
    <row r="69" ht="15" customHeight="1">
      <c r="A69" t="inlineStr">
        <is>
          <t>A 7264-2022</t>
        </is>
      </c>
      <c r="B69" s="1" t="n">
        <v>44606</v>
      </c>
      <c r="C69" s="1" t="n">
        <v>46140</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19356-2025</t>
        </is>
      </c>
      <c r="B70" s="1" t="n">
        <v>45769.62061342593</v>
      </c>
      <c r="C70" s="1" t="n">
        <v>46140</v>
      </c>
      <c r="D70" t="inlineStr">
        <is>
          <t>STOCKHOLMS LÄN</t>
        </is>
      </c>
      <c r="E70" t="inlineStr">
        <is>
          <t>VALLENTUNA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12562-2023</t>
        </is>
      </c>
      <c r="B71" s="1" t="n">
        <v>45000</v>
      </c>
      <c r="C71" s="1" t="n">
        <v>46140</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44346-2021</t>
        </is>
      </c>
      <c r="B72" s="1" t="n">
        <v>44434</v>
      </c>
      <c r="C72" s="1" t="n">
        <v>46140</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24068-2024</t>
        </is>
      </c>
      <c r="B73" s="1" t="n">
        <v>45456</v>
      </c>
      <c r="C73" s="1" t="n">
        <v>46140</v>
      </c>
      <c r="D73" t="inlineStr">
        <is>
          <t>STOCKHOLMS LÄN</t>
        </is>
      </c>
      <c r="E73" t="inlineStr">
        <is>
          <t>VALLENTUNA</t>
        </is>
      </c>
      <c r="G73" t="n">
        <v>7.4</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46140</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61442-2024</t>
        </is>
      </c>
      <c r="B75" s="1" t="n">
        <v>45646.47003472222</v>
      </c>
      <c r="C75" s="1" t="n">
        <v>46140</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19503-2023</t>
        </is>
      </c>
      <c r="B76" s="1" t="n">
        <v>45050.47333333334</v>
      </c>
      <c r="C76" s="1" t="n">
        <v>46140</v>
      </c>
      <c r="D76" t="inlineStr">
        <is>
          <t>STOCKHOLMS LÄN</t>
        </is>
      </c>
      <c r="E76" t="inlineStr">
        <is>
          <t>VALLENTUNA</t>
        </is>
      </c>
      <c r="G76" t="n">
        <v>0.7</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46140</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21445-2023</t>
        </is>
      </c>
      <c r="B78" s="1" t="n">
        <v>45063</v>
      </c>
      <c r="C78" s="1" t="n">
        <v>46140</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22683-2023</t>
        </is>
      </c>
      <c r="B79" s="1" t="n">
        <v>45071</v>
      </c>
      <c r="C79" s="1" t="n">
        <v>46140</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46140</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46140</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24943-2024</t>
        </is>
      </c>
      <c r="B82" s="1" t="n">
        <v>45461.62585648148</v>
      </c>
      <c r="C82" s="1" t="n">
        <v>46140</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46140</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46140</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26390-2023</t>
        </is>
      </c>
      <c r="B85" s="1" t="n">
        <v>45086</v>
      </c>
      <c r="C85" s="1" t="n">
        <v>46140</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46140</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54466-2025</t>
        </is>
      </c>
      <c r="B87" s="1" t="n">
        <v>45965.56984953704</v>
      </c>
      <c r="C87" s="1" t="n">
        <v>46140</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46140</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46140</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12609-2024</t>
        </is>
      </c>
      <c r="B90" s="1" t="n">
        <v>45382.8109375</v>
      </c>
      <c r="C90" s="1" t="n">
        <v>46140</v>
      </c>
      <c r="D90" t="inlineStr">
        <is>
          <t>STOCKHOLMS LÄN</t>
        </is>
      </c>
      <c r="E90" t="inlineStr">
        <is>
          <t>VALLENTUNA</t>
        </is>
      </c>
      <c r="G90" t="n">
        <v>0.9</v>
      </c>
      <c r="H90" t="n">
        <v>0</v>
      </c>
      <c r="I90" t="n">
        <v>0</v>
      </c>
      <c r="J90" t="n">
        <v>0</v>
      </c>
      <c r="K90" t="n">
        <v>0</v>
      </c>
      <c r="L90" t="n">
        <v>0</v>
      </c>
      <c r="M90" t="n">
        <v>0</v>
      </c>
      <c r="N90" t="n">
        <v>0</v>
      </c>
      <c r="O90" t="n">
        <v>0</v>
      </c>
      <c r="P90" t="n">
        <v>0</v>
      </c>
      <c r="Q90" t="n">
        <v>0</v>
      </c>
      <c r="R90" s="2" t="inlineStr"/>
    </row>
    <row r="91" ht="15" customHeight="1">
      <c r="A91" t="inlineStr">
        <is>
          <t>A 47140-2024</t>
        </is>
      </c>
      <c r="B91" s="1" t="n">
        <v>45586.58753472222</v>
      </c>
      <c r="C91" s="1" t="n">
        <v>46140</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46140</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9063-2024</t>
        </is>
      </c>
      <c r="B93" s="1" t="n">
        <v>45357.72652777778</v>
      </c>
      <c r="C93" s="1" t="n">
        <v>46140</v>
      </c>
      <c r="D93" t="inlineStr">
        <is>
          <t>STOCKHOLMS LÄN</t>
        </is>
      </c>
      <c r="E93" t="inlineStr">
        <is>
          <t>VALLENTUNA</t>
        </is>
      </c>
      <c r="G93" t="n">
        <v>4.1</v>
      </c>
      <c r="H93" t="n">
        <v>0</v>
      </c>
      <c r="I93" t="n">
        <v>0</v>
      </c>
      <c r="J93" t="n">
        <v>0</v>
      </c>
      <c r="K93" t="n">
        <v>0</v>
      </c>
      <c r="L93" t="n">
        <v>0</v>
      </c>
      <c r="M93" t="n">
        <v>0</v>
      </c>
      <c r="N93" t="n">
        <v>0</v>
      </c>
      <c r="O93" t="n">
        <v>0</v>
      </c>
      <c r="P93" t="n">
        <v>0</v>
      </c>
      <c r="Q93" t="n">
        <v>0</v>
      </c>
      <c r="R93" s="2" t="inlineStr"/>
    </row>
    <row r="94" ht="15" customHeight="1">
      <c r="A94" t="inlineStr">
        <is>
          <t>A 4803-2024</t>
        </is>
      </c>
      <c r="B94" s="1" t="n">
        <v>45328</v>
      </c>
      <c r="C94" s="1" t="n">
        <v>46140</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46140</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46140</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61646-2025</t>
        </is>
      </c>
      <c r="B97" s="1" t="n">
        <v>46002</v>
      </c>
      <c r="C97" s="1" t="n">
        <v>46140</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11950-2025</t>
        </is>
      </c>
      <c r="B98" s="1" t="n">
        <v>45728.55622685186</v>
      </c>
      <c r="C98" s="1" t="n">
        <v>46140</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14489-2024</t>
        </is>
      </c>
      <c r="B99" s="1" t="n">
        <v>45394.58053240741</v>
      </c>
      <c r="C99" s="1" t="n">
        <v>46140</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46140</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52562-2023</t>
        </is>
      </c>
      <c r="B101" s="1" t="n">
        <v>45225</v>
      </c>
      <c r="C101" s="1" t="n">
        <v>46140</v>
      </c>
      <c r="D101" t="inlineStr">
        <is>
          <t>STOCKHOLMS LÄN</t>
        </is>
      </c>
      <c r="E101" t="inlineStr">
        <is>
          <t>VALLENTUNA</t>
        </is>
      </c>
      <c r="G101" t="n">
        <v>3.4</v>
      </c>
      <c r="H101" t="n">
        <v>0</v>
      </c>
      <c r="I101" t="n">
        <v>0</v>
      </c>
      <c r="J101" t="n">
        <v>0</v>
      </c>
      <c r="K101" t="n">
        <v>0</v>
      </c>
      <c r="L101" t="n">
        <v>0</v>
      </c>
      <c r="M101" t="n">
        <v>0</v>
      </c>
      <c r="N101" t="n">
        <v>0</v>
      </c>
      <c r="O101" t="n">
        <v>0</v>
      </c>
      <c r="P101" t="n">
        <v>0</v>
      </c>
      <c r="Q101" t="n">
        <v>0</v>
      </c>
      <c r="R101" s="2" t="inlineStr"/>
    </row>
    <row r="102" ht="15" customHeight="1">
      <c r="A102" t="inlineStr">
        <is>
          <t>A 4804-2024</t>
        </is>
      </c>
      <c r="B102" s="1" t="n">
        <v>45328</v>
      </c>
      <c r="C102" s="1" t="n">
        <v>46140</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23013-2024</t>
        </is>
      </c>
      <c r="B103" s="1" t="n">
        <v>45450.35116898148</v>
      </c>
      <c r="C103" s="1" t="n">
        <v>46140</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2318-2024</t>
        </is>
      </c>
      <c r="B104" s="1" t="n">
        <v>45310</v>
      </c>
      <c r="C104" s="1" t="n">
        <v>46140</v>
      </c>
      <c r="D104" t="inlineStr">
        <is>
          <t>STOCKHOLMS LÄN</t>
        </is>
      </c>
      <c r="E104" t="inlineStr">
        <is>
          <t>VALLENTUNA</t>
        </is>
      </c>
      <c r="G104" t="n">
        <v>2.2</v>
      </c>
      <c r="H104" t="n">
        <v>0</v>
      </c>
      <c r="I104" t="n">
        <v>0</v>
      </c>
      <c r="J104" t="n">
        <v>0</v>
      </c>
      <c r="K104" t="n">
        <v>0</v>
      </c>
      <c r="L104" t="n">
        <v>0</v>
      </c>
      <c r="M104" t="n">
        <v>0</v>
      </c>
      <c r="N104" t="n">
        <v>0</v>
      </c>
      <c r="O104" t="n">
        <v>0</v>
      </c>
      <c r="P104" t="n">
        <v>0</v>
      </c>
      <c r="Q104" t="n">
        <v>0</v>
      </c>
      <c r="R104" s="2" t="inlineStr"/>
    </row>
    <row r="105" ht="15" customHeight="1">
      <c r="A105" t="inlineStr">
        <is>
          <t>A 6298-2026</t>
        </is>
      </c>
      <c r="B105" s="1" t="n">
        <v>46055.5656712963</v>
      </c>
      <c r="C105" s="1" t="n">
        <v>46140</v>
      </c>
      <c r="D105" t="inlineStr">
        <is>
          <t>STOCKHOLMS LÄN</t>
        </is>
      </c>
      <c r="E105" t="inlineStr">
        <is>
          <t>VALLENTUNA</t>
        </is>
      </c>
      <c r="G105" t="n">
        <v>3.3</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46140</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46140</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14799-2026</t>
        </is>
      </c>
      <c r="B108" s="1" t="n">
        <v>46102.82101851852</v>
      </c>
      <c r="C108" s="1" t="n">
        <v>46140</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60997-2022</t>
        </is>
      </c>
      <c r="B109" s="1" t="n">
        <v>44914.70746527778</v>
      </c>
      <c r="C109" s="1" t="n">
        <v>46140</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46140</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46140</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12585-2023</t>
        </is>
      </c>
      <c r="B112" s="1" t="n">
        <v>45000.41373842592</v>
      </c>
      <c r="C112" s="1" t="n">
        <v>46140</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8787-2024</t>
        </is>
      </c>
      <c r="B113" s="1" t="n">
        <v>45356</v>
      </c>
      <c r="C113" s="1" t="n">
        <v>46140</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17389-2026</t>
        </is>
      </c>
      <c r="B114" s="1" t="n">
        <v>46119.80603009259</v>
      </c>
      <c r="C114" s="1" t="n">
        <v>46140</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17387-2026</t>
        </is>
      </c>
      <c r="B115" s="1" t="n">
        <v>46119.79578703704</v>
      </c>
      <c r="C115" s="1" t="n">
        <v>46140</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17388-2026</t>
        </is>
      </c>
      <c r="B116" s="1" t="n">
        <v>46119.79952546296</v>
      </c>
      <c r="C116" s="1" t="n">
        <v>46140</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46140</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46140</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46140</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46140</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46140</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46140</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46140</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46140</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12400-2026</t>
        </is>
      </c>
      <c r="B125" s="1" t="n">
        <v>46090.39423611111</v>
      </c>
      <c r="C125" s="1" t="n">
        <v>46140</v>
      </c>
      <c r="D125" t="inlineStr">
        <is>
          <t>STOCKHOLMS LÄN</t>
        </is>
      </c>
      <c r="E125" t="inlineStr">
        <is>
          <t>VALLENTUNA</t>
        </is>
      </c>
      <c r="G125" t="n">
        <v>1.9</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46140</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46140</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46140</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46140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46140</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12819-2026</t>
        </is>
      </c>
      <c r="B131" s="1" t="n">
        <v>46092.40896990741</v>
      </c>
      <c r="C131" s="1" t="n">
        <v>46140</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12830-2026</t>
        </is>
      </c>
      <c r="B132" s="1" t="n">
        <v>46092.42290509259</v>
      </c>
      <c r="C132" s="1" t="n">
        <v>46140</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12822-2026</t>
        </is>
      </c>
      <c r="B133" s="1" t="n">
        <v>46092.41358796296</v>
      </c>
      <c r="C133" s="1" t="n">
        <v>46140</v>
      </c>
      <c r="D133" t="inlineStr">
        <is>
          <t>STOCKHOLMS LÄN</t>
        </is>
      </c>
      <c r="E133" t="inlineStr">
        <is>
          <t>VALLENTUNA</t>
        </is>
      </c>
      <c r="G133" t="n">
        <v>2.7</v>
      </c>
      <c r="H133" t="n">
        <v>0</v>
      </c>
      <c r="I133" t="n">
        <v>0</v>
      </c>
      <c r="J133" t="n">
        <v>0</v>
      </c>
      <c r="K133" t="n">
        <v>0</v>
      </c>
      <c r="L133" t="n">
        <v>0</v>
      </c>
      <c r="M133" t="n">
        <v>0</v>
      </c>
      <c r="N133" t="n">
        <v>0</v>
      </c>
      <c r="O133" t="n">
        <v>0</v>
      </c>
      <c r="P133" t="n">
        <v>0</v>
      </c>
      <c r="Q133" t="n">
        <v>0</v>
      </c>
      <c r="R133" s="2" t="inlineStr"/>
    </row>
    <row r="134" ht="15" customHeight="1">
      <c r="A134" t="inlineStr">
        <is>
          <t>A 12828-2026</t>
        </is>
      </c>
      <c r="B134" s="1" t="n">
        <v>46092.41760416667</v>
      </c>
      <c r="C134" s="1" t="n">
        <v>46140</v>
      </c>
      <c r="D134" t="inlineStr">
        <is>
          <t>STOCKHOLMS LÄN</t>
        </is>
      </c>
      <c r="E134" t="inlineStr">
        <is>
          <t>VALLENTUNA</t>
        </is>
      </c>
      <c r="G134" t="n">
        <v>1</v>
      </c>
      <c r="H134" t="n">
        <v>0</v>
      </c>
      <c r="I134" t="n">
        <v>0</v>
      </c>
      <c r="J134" t="n">
        <v>0</v>
      </c>
      <c r="K134" t="n">
        <v>0</v>
      </c>
      <c r="L134" t="n">
        <v>0</v>
      </c>
      <c r="M134" t="n">
        <v>0</v>
      </c>
      <c r="N134" t="n">
        <v>0</v>
      </c>
      <c r="O134" t="n">
        <v>0</v>
      </c>
      <c r="P134" t="n">
        <v>0</v>
      </c>
      <c r="Q134" t="n">
        <v>0</v>
      </c>
      <c r="R134" s="2" t="inlineStr"/>
    </row>
    <row r="135" ht="15" customHeight="1">
      <c r="A135" t="inlineStr">
        <is>
          <t>A 735-2024</t>
        </is>
      </c>
      <c r="B135" s="1" t="n">
        <v>45300</v>
      </c>
      <c r="C135" s="1" t="n">
        <v>46140</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46140</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45019.41045138889</v>
      </c>
      <c r="C137" s="1" t="n">
        <v>46140</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38102-2024</t>
        </is>
      </c>
      <c r="B138" s="1" t="n">
        <v>45545.36349537037</v>
      </c>
      <c r="C138" s="1" t="n">
        <v>46140</v>
      </c>
      <c r="D138" t="inlineStr">
        <is>
          <t>STOCKHOLMS LÄN</t>
        </is>
      </c>
      <c r="E138" t="inlineStr">
        <is>
          <t>VALLENTUNA</t>
        </is>
      </c>
      <c r="G138" t="n">
        <v>3.2</v>
      </c>
      <c r="H138" t="n">
        <v>0</v>
      </c>
      <c r="I138" t="n">
        <v>0</v>
      </c>
      <c r="J138" t="n">
        <v>0</v>
      </c>
      <c r="K138" t="n">
        <v>0</v>
      </c>
      <c r="L138" t="n">
        <v>0</v>
      </c>
      <c r="M138" t="n">
        <v>0</v>
      </c>
      <c r="N138" t="n">
        <v>0</v>
      </c>
      <c r="O138" t="n">
        <v>0</v>
      </c>
      <c r="P138" t="n">
        <v>0</v>
      </c>
      <c r="Q138" t="n">
        <v>0</v>
      </c>
      <c r="R138" s="2" t="inlineStr"/>
    </row>
    <row r="139" ht="15" customHeight="1">
      <c r="A139" t="inlineStr">
        <is>
          <t>A 17340-2025</t>
        </is>
      </c>
      <c r="B139" s="1" t="n">
        <v>45756</v>
      </c>
      <c r="C139" s="1" t="n">
        <v>46140</v>
      </c>
      <c r="D139" t="inlineStr">
        <is>
          <t>STOCKHOLMS LÄN</t>
        </is>
      </c>
      <c r="E139" t="inlineStr">
        <is>
          <t>VALLENTUNA</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46140</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46140</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34452-2021</t>
        </is>
      </c>
      <c r="B142" s="1" t="n">
        <v>44381</v>
      </c>
      <c r="C142" s="1" t="n">
        <v>46140</v>
      </c>
      <c r="D142" t="inlineStr">
        <is>
          <t>STOCKHOLMS LÄN</t>
        </is>
      </c>
      <c r="E142" t="inlineStr">
        <is>
          <t>VALLENTUNA</t>
        </is>
      </c>
      <c r="G142" t="n">
        <v>14.7</v>
      </c>
      <c r="H142" t="n">
        <v>0</v>
      </c>
      <c r="I142" t="n">
        <v>0</v>
      </c>
      <c r="J142" t="n">
        <v>0</v>
      </c>
      <c r="K142" t="n">
        <v>0</v>
      </c>
      <c r="L142" t="n">
        <v>0</v>
      </c>
      <c r="M142" t="n">
        <v>0</v>
      </c>
      <c r="N142" t="n">
        <v>0</v>
      </c>
      <c r="O142" t="n">
        <v>0</v>
      </c>
      <c r="P142" t="n">
        <v>0</v>
      </c>
      <c r="Q142" t="n">
        <v>0</v>
      </c>
      <c r="R142" s="2" t="inlineStr"/>
    </row>
    <row r="143" ht="15" customHeight="1">
      <c r="A143" t="inlineStr">
        <is>
          <t>A 12621-2024</t>
        </is>
      </c>
      <c r="B143" s="1" t="n">
        <v>45383.6325</v>
      </c>
      <c r="C143" s="1" t="n">
        <v>46140</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row r="144" ht="15" customHeight="1">
      <c r="A144" t="inlineStr">
        <is>
          <t>A 46381-2023</t>
        </is>
      </c>
      <c r="B144" s="1" t="n">
        <v>45193</v>
      </c>
      <c r="C144" s="1" t="n">
        <v>46140</v>
      </c>
      <c r="D144" t="inlineStr">
        <is>
          <t>STOCKHOLMS LÄN</t>
        </is>
      </c>
      <c r="E144" t="inlineStr">
        <is>
          <t>VALLENTUNA</t>
        </is>
      </c>
      <c r="G144" t="n">
        <v>2.9</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46140</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23009-2024</t>
        </is>
      </c>
      <c r="B146" s="1" t="n">
        <v>45450.34506944445</v>
      </c>
      <c r="C146" s="1" t="n">
        <v>46140</v>
      </c>
      <c r="D146" t="inlineStr">
        <is>
          <t>STOCKHOLMS LÄN</t>
        </is>
      </c>
      <c r="E146" t="inlineStr">
        <is>
          <t>VALLENTUNA</t>
        </is>
      </c>
      <c r="G146" t="n">
        <v>1.4</v>
      </c>
      <c r="H146" t="n">
        <v>0</v>
      </c>
      <c r="I146" t="n">
        <v>0</v>
      </c>
      <c r="J146" t="n">
        <v>0</v>
      </c>
      <c r="K146" t="n">
        <v>0</v>
      </c>
      <c r="L146" t="n">
        <v>0</v>
      </c>
      <c r="M146" t="n">
        <v>0</v>
      </c>
      <c r="N146" t="n">
        <v>0</v>
      </c>
      <c r="O146" t="n">
        <v>0</v>
      </c>
      <c r="P146" t="n">
        <v>0</v>
      </c>
      <c r="Q146" t="n">
        <v>0</v>
      </c>
      <c r="R146" s="2" t="inlineStr"/>
    </row>
    <row r="147" ht="15" customHeight="1">
      <c r="A147" t="inlineStr">
        <is>
          <t>A 23923-2025</t>
        </is>
      </c>
      <c r="B147" s="1" t="n">
        <v>45795.39648148148</v>
      </c>
      <c r="C147" s="1" t="n">
        <v>46140</v>
      </c>
      <c r="D147" t="inlineStr">
        <is>
          <t>STOCKHOLMS LÄN</t>
        </is>
      </c>
      <c r="E147" t="inlineStr">
        <is>
          <t>VALLENTUNA</t>
        </is>
      </c>
      <c r="G147" t="n">
        <v>2.3</v>
      </c>
      <c r="H147" t="n">
        <v>0</v>
      </c>
      <c r="I147" t="n">
        <v>0</v>
      </c>
      <c r="J147" t="n">
        <v>0</v>
      </c>
      <c r="K147" t="n">
        <v>0</v>
      </c>
      <c r="L147" t="n">
        <v>0</v>
      </c>
      <c r="M147" t="n">
        <v>0</v>
      </c>
      <c r="N147" t="n">
        <v>0</v>
      </c>
      <c r="O147" t="n">
        <v>0</v>
      </c>
      <c r="P147" t="n">
        <v>0</v>
      </c>
      <c r="Q147" t="n">
        <v>0</v>
      </c>
      <c r="R147" s="2" t="inlineStr"/>
    </row>
    <row r="148" ht="15" customHeight="1">
      <c r="A148" t="inlineStr">
        <is>
          <t>A 25984-2025</t>
        </is>
      </c>
      <c r="B148" s="1" t="n">
        <v>45804.64016203704</v>
      </c>
      <c r="C148" s="1" t="n">
        <v>46140</v>
      </c>
      <c r="D148" t="inlineStr">
        <is>
          <t>STOCKHOLMS LÄN</t>
        </is>
      </c>
      <c r="E148" t="inlineStr">
        <is>
          <t>VALLENTUNA</t>
        </is>
      </c>
      <c r="G148" t="n">
        <v>2.5</v>
      </c>
      <c r="H148" t="n">
        <v>0</v>
      </c>
      <c r="I148" t="n">
        <v>0</v>
      </c>
      <c r="J148" t="n">
        <v>0</v>
      </c>
      <c r="K148" t="n">
        <v>0</v>
      </c>
      <c r="L148" t="n">
        <v>0</v>
      </c>
      <c r="M148" t="n">
        <v>0</v>
      </c>
      <c r="N148" t="n">
        <v>0</v>
      </c>
      <c r="O148" t="n">
        <v>0</v>
      </c>
      <c r="P148" t="n">
        <v>0</v>
      </c>
      <c r="Q148" t="n">
        <v>0</v>
      </c>
      <c r="R148" s="2" t="inlineStr"/>
    </row>
    <row r="149" ht="15" customHeight="1">
      <c r="A149" t="inlineStr">
        <is>
          <t>A 30902-2025</t>
        </is>
      </c>
      <c r="B149" s="1" t="n">
        <v>45832.36104166666</v>
      </c>
      <c r="C149" s="1" t="n">
        <v>46140</v>
      </c>
      <c r="D149" t="inlineStr">
        <is>
          <t>STOCKHOLMS LÄN</t>
        </is>
      </c>
      <c r="E149" t="inlineStr">
        <is>
          <t>VALLENTUNA</t>
        </is>
      </c>
      <c r="G149" t="n">
        <v>8.199999999999999</v>
      </c>
      <c r="H149" t="n">
        <v>0</v>
      </c>
      <c r="I149" t="n">
        <v>0</v>
      </c>
      <c r="J149" t="n">
        <v>0</v>
      </c>
      <c r="K149" t="n">
        <v>0</v>
      </c>
      <c r="L149" t="n">
        <v>0</v>
      </c>
      <c r="M149" t="n">
        <v>0</v>
      </c>
      <c r="N149" t="n">
        <v>0</v>
      </c>
      <c r="O149" t="n">
        <v>0</v>
      </c>
      <c r="P149" t="n">
        <v>0</v>
      </c>
      <c r="Q149" t="n">
        <v>0</v>
      </c>
      <c r="R149" s="2" t="inlineStr"/>
    </row>
    <row r="150">
      <c r="A150" t="inlineStr">
        <is>
          <t>A 28431-2025</t>
        </is>
      </c>
      <c r="B150" s="1" t="n">
        <v>45819.38072916667</v>
      </c>
      <c r="C150" s="1" t="n">
        <v>46140</v>
      </c>
      <c r="D150" t="inlineStr">
        <is>
          <t>STOCKHOLMS LÄN</t>
        </is>
      </c>
      <c r="E150" t="inlineStr">
        <is>
          <t>VALLENTUNA</t>
        </is>
      </c>
      <c r="G150" t="n">
        <v>1.5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2026-04-28T10:49:12Z</dcterms:created>
  <dcterms:modified xmlns:dcterms="http://purl.org/dc/terms/" xmlns:xsi="http://www.w3.org/2001/XMLSchema-instance" xsi:type="dcterms:W3CDTF">2026-04-28T10:49:12Z</dcterms:modified>
</cp:coreProperties>
</file>