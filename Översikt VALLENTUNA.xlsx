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45989</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48717-2024</t>
        </is>
      </c>
      <c r="B14" s="1" t="n">
        <v>45593</v>
      </c>
      <c r="C14" s="1" t="n">
        <v>45989</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17342-2025</t>
        </is>
      </c>
      <c r="B15" s="1" t="n">
        <v>45756</v>
      </c>
      <c r="C15" s="1" t="n">
        <v>45989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45989</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45989</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45989</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45989</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45989</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754-2024</t>
        </is>
      </c>
      <c r="B21" s="1" t="n">
        <v>45300</v>
      </c>
      <c r="C21" s="1" t="n">
        <v>45989</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41021-2023</t>
        </is>
      </c>
      <c r="B22" s="1" t="n">
        <v>45173</v>
      </c>
      <c r="C22" s="1" t="n">
        <v>45989</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45989</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45989</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8817-2025</t>
        </is>
      </c>
      <c r="B25" s="1" t="n">
        <v>45712.70987268518</v>
      </c>
      <c r="C25" s="1" t="n">
        <v>45989</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45989</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17348-2025</t>
        </is>
      </c>
      <c r="B27" s="1" t="n">
        <v>45756</v>
      </c>
      <c r="C27" s="1" t="n">
        <v>45989</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22830-2024</t>
        </is>
      </c>
      <c r="B28" s="1" t="n">
        <v>45448.56583333333</v>
      </c>
      <c r="C28" s="1" t="n">
        <v>45989</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54481-2025</t>
        </is>
      </c>
      <c r="B29" s="1" t="n">
        <v>45965.58837962963</v>
      </c>
      <c r="C29" s="1" t="n">
        <v>45989</v>
      </c>
      <c r="D29" t="inlineStr">
        <is>
          <t>STOCKHOLMS LÄN</t>
        </is>
      </c>
      <c r="E29" t="inlineStr">
        <is>
          <t>VALLENTUNA</t>
        </is>
      </c>
      <c r="G29" t="n">
        <v>1.4</v>
      </c>
      <c r="H29" t="n">
        <v>0</v>
      </c>
      <c r="I29" t="n">
        <v>0</v>
      </c>
      <c r="J29" t="n">
        <v>1</v>
      </c>
      <c r="K29" t="n">
        <v>0</v>
      </c>
      <c r="L29" t="n">
        <v>0</v>
      </c>
      <c r="M29" t="n">
        <v>0</v>
      </c>
      <c r="N29" t="n">
        <v>0</v>
      </c>
      <c r="O29" t="n">
        <v>1</v>
      </c>
      <c r="P29" t="n">
        <v>0</v>
      </c>
      <c r="Q29" t="n">
        <v>1</v>
      </c>
      <c r="R29" s="2" t="inlineStr">
        <is>
          <t>Gullklöver</t>
        </is>
      </c>
      <c r="S29">
        <f>HYPERLINK("https://klasma.github.io/Logging_0115/artfynd/A 54481-2025 artfynd.xlsx", "A 54481-2025")</f>
        <v/>
      </c>
      <c r="T29">
        <f>HYPERLINK("https://klasma.github.io/Logging_0115/kartor/A 54481-2025 karta.png", "A 54481-2025")</f>
        <v/>
      </c>
      <c r="V29">
        <f>HYPERLINK("https://klasma.github.io/Logging_0115/klagomål/A 54481-2025 FSC-klagomål.docx", "A 54481-2025")</f>
        <v/>
      </c>
      <c r="W29">
        <f>HYPERLINK("https://klasma.github.io/Logging_0115/klagomålsmail/A 54481-2025 FSC-klagomål mail.docx", "A 54481-2025")</f>
        <v/>
      </c>
      <c r="X29">
        <f>HYPERLINK("https://klasma.github.io/Logging_0115/tillsyn/A 54481-2025 tillsynsbegäran.docx", "A 54481-2025")</f>
        <v/>
      </c>
      <c r="Y29">
        <f>HYPERLINK("https://klasma.github.io/Logging_0115/tillsynsmail/A 54481-2025 tillsynsbegäran mail.docx", "A 54481-2025")</f>
        <v/>
      </c>
    </row>
    <row r="30" ht="15" customHeight="1">
      <c r="A30" t="inlineStr">
        <is>
          <t>A 7890-2023</t>
        </is>
      </c>
      <c r="B30" s="1" t="n">
        <v>44973</v>
      </c>
      <c r="C30" s="1" t="n">
        <v>45989</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21-2022</t>
        </is>
      </c>
      <c r="B31" s="1" t="n">
        <v>44560</v>
      </c>
      <c r="C31" s="1" t="n">
        <v>45989</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17341-2025</t>
        </is>
      </c>
      <c r="B32" s="1" t="n">
        <v>45756</v>
      </c>
      <c r="C32" s="1" t="n">
        <v>45989</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34458-2023</t>
        </is>
      </c>
      <c r="B33" s="1" t="n">
        <v>45139</v>
      </c>
      <c r="C33" s="1" t="n">
        <v>45989</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34460-2023</t>
        </is>
      </c>
      <c r="B34" s="1" t="n">
        <v>45139</v>
      </c>
      <c r="C34" s="1" t="n">
        <v>45989</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21439-2025</t>
        </is>
      </c>
      <c r="B35" s="1" t="n">
        <v>45782.52939814814</v>
      </c>
      <c r="C35" s="1" t="n">
        <v>45989</v>
      </c>
      <c r="D35" t="inlineStr">
        <is>
          <t>STOCKHOLMS LÄN</t>
        </is>
      </c>
      <c r="E35" t="inlineStr">
        <is>
          <t>VALLENTUNA</t>
        </is>
      </c>
      <c r="G35" t="n">
        <v>2.1</v>
      </c>
      <c r="H35" t="n">
        <v>0</v>
      </c>
      <c r="I35" t="n">
        <v>1</v>
      </c>
      <c r="J35" t="n">
        <v>0</v>
      </c>
      <c r="K35" t="n">
        <v>0</v>
      </c>
      <c r="L35" t="n">
        <v>0</v>
      </c>
      <c r="M35" t="n">
        <v>0</v>
      </c>
      <c r="N35" t="n">
        <v>0</v>
      </c>
      <c r="O35" t="n">
        <v>0</v>
      </c>
      <c r="P35" t="n">
        <v>0</v>
      </c>
      <c r="Q35" t="n">
        <v>1</v>
      </c>
      <c r="R35" s="2" t="inlineStr">
        <is>
          <t>Mindre märgborre</t>
        </is>
      </c>
      <c r="S35">
        <f>HYPERLINK("https://klasma.github.io/Logging_0115/artfynd/A 21439-2025 artfynd.xlsx", "A 21439-2025")</f>
        <v/>
      </c>
      <c r="T35">
        <f>HYPERLINK("https://klasma.github.io/Logging_0115/kartor/A 21439-2025 karta.png", "A 21439-2025")</f>
        <v/>
      </c>
      <c r="V35">
        <f>HYPERLINK("https://klasma.github.io/Logging_0115/klagomål/A 21439-2025 FSC-klagomål.docx", "A 21439-2025")</f>
        <v/>
      </c>
      <c r="W35">
        <f>HYPERLINK("https://klasma.github.io/Logging_0115/klagomålsmail/A 21439-2025 FSC-klagomål mail.docx", "A 21439-2025")</f>
        <v/>
      </c>
      <c r="X35">
        <f>HYPERLINK("https://klasma.github.io/Logging_0115/tillsyn/A 21439-2025 tillsynsbegäran.docx", "A 21439-2025")</f>
        <v/>
      </c>
      <c r="Y35">
        <f>HYPERLINK("https://klasma.github.io/Logging_0115/tillsynsmail/A 21439-2025 tillsynsbegäran mail.docx", "A 21439-2025")</f>
        <v/>
      </c>
    </row>
    <row r="36" ht="15" customHeight="1">
      <c r="A36" t="inlineStr">
        <is>
          <t>A 22936-2025</t>
        </is>
      </c>
      <c r="B36" s="1" t="n">
        <v>45790.45738425926</v>
      </c>
      <c r="C36" s="1" t="n">
        <v>45989</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20612-2021</t>
        </is>
      </c>
      <c r="B37" s="1" t="n">
        <v>44315</v>
      </c>
      <c r="C37" s="1" t="n">
        <v>45989</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45989</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45989</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45989</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45989</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45989</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45989</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45989</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45989</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45989</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45989</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45989</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45989</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45989</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45989</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45989</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45989</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45989</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45989</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45989</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45989</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45989</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45989</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21612-2021</t>
        </is>
      </c>
      <c r="B61" s="1" t="n">
        <v>44321</v>
      </c>
      <c r="C61" s="1" t="n">
        <v>45989</v>
      </c>
      <c r="D61" t="inlineStr">
        <is>
          <t>STOCKHOLMS LÄN</t>
        </is>
      </c>
      <c r="E61" t="inlineStr">
        <is>
          <t>VALLENTUNA</t>
        </is>
      </c>
      <c r="G61" t="n">
        <v>1.4</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45989</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45989</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45989</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45989</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25984-2025</t>
        </is>
      </c>
      <c r="B66" s="1" t="n">
        <v>45804.64016203704</v>
      </c>
      <c r="C66" s="1" t="n">
        <v>45989</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48068-2021</t>
        </is>
      </c>
      <c r="B67" s="1" t="n">
        <v>44449.42270833333</v>
      </c>
      <c r="C67" s="1" t="n">
        <v>45989</v>
      </c>
      <c r="D67" t="inlineStr">
        <is>
          <t>STOCKHOLMS LÄN</t>
        </is>
      </c>
      <c r="E67" t="inlineStr">
        <is>
          <t>VALLENTUNA</t>
        </is>
      </c>
      <c r="G67" t="n">
        <v>1.3</v>
      </c>
      <c r="H67" t="n">
        <v>0</v>
      </c>
      <c r="I67" t="n">
        <v>0</v>
      </c>
      <c r="J67" t="n">
        <v>0</v>
      </c>
      <c r="K67" t="n">
        <v>0</v>
      </c>
      <c r="L67" t="n">
        <v>0</v>
      </c>
      <c r="M67" t="n">
        <v>0</v>
      </c>
      <c r="N67" t="n">
        <v>0</v>
      </c>
      <c r="O67" t="n">
        <v>0</v>
      </c>
      <c r="P67" t="n">
        <v>0</v>
      </c>
      <c r="Q67" t="n">
        <v>0</v>
      </c>
      <c r="R67" s="2" t="inlineStr"/>
    </row>
    <row r="68" ht="15" customHeight="1">
      <c r="A68" t="inlineStr">
        <is>
          <t>A 3937-2022</t>
        </is>
      </c>
      <c r="B68" s="1" t="n">
        <v>44587</v>
      </c>
      <c r="C68" s="1" t="n">
        <v>45989</v>
      </c>
      <c r="D68" t="inlineStr">
        <is>
          <t>STOCKHOLMS LÄN</t>
        </is>
      </c>
      <c r="E68" t="inlineStr">
        <is>
          <t>VALLENTUNA</t>
        </is>
      </c>
      <c r="G68" t="n">
        <v>6.6</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45989</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45989</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45989</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68935-2020</t>
        </is>
      </c>
      <c r="B72" s="1" t="n">
        <v>44187</v>
      </c>
      <c r="C72" s="1" t="n">
        <v>45989</v>
      </c>
      <c r="D72" t="inlineStr">
        <is>
          <t>STOCKHOLMS LÄN</t>
        </is>
      </c>
      <c r="E72" t="inlineStr">
        <is>
          <t>VALLENTUNA</t>
        </is>
      </c>
      <c r="G72" t="n">
        <v>7.8</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45989</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19356-2025</t>
        </is>
      </c>
      <c r="B74" s="1" t="n">
        <v>45769.62061342593</v>
      </c>
      <c r="C74" s="1" t="n">
        <v>45989</v>
      </c>
      <c r="D74" t="inlineStr">
        <is>
          <t>STOCKHOLMS LÄN</t>
        </is>
      </c>
      <c r="E74" t="inlineStr">
        <is>
          <t>VALLENTUNA</t>
        </is>
      </c>
      <c r="F74" t="inlineStr">
        <is>
          <t>Övriga Aktiebolag</t>
        </is>
      </c>
      <c r="G74" t="n">
        <v>1.6</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45989</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45989</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45989</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24068-2024</t>
        </is>
      </c>
      <c r="B78" s="1" t="n">
        <v>45456</v>
      </c>
      <c r="C78" s="1" t="n">
        <v>45989</v>
      </c>
      <c r="D78" t="inlineStr">
        <is>
          <t>STOCKHOLMS LÄN</t>
        </is>
      </c>
      <c r="E78" t="inlineStr">
        <is>
          <t>VALLENTUNA</t>
        </is>
      </c>
      <c r="G78" t="n">
        <v>7.4</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45989</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61442-2024</t>
        </is>
      </c>
      <c r="B80" s="1" t="n">
        <v>45646.47003472222</v>
      </c>
      <c r="C80" s="1" t="n">
        <v>45989</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27868-2025</t>
        </is>
      </c>
      <c r="B81" s="1" t="n">
        <v>45817</v>
      </c>
      <c r="C81" s="1" t="n">
        <v>45989</v>
      </c>
      <c r="D81" t="inlineStr">
        <is>
          <t>STOCKHOLMS LÄN</t>
        </is>
      </c>
      <c r="E81" t="inlineStr">
        <is>
          <t>VALLENTUNA</t>
        </is>
      </c>
      <c r="G81" t="n">
        <v>2.1</v>
      </c>
      <c r="H81" t="n">
        <v>0</v>
      </c>
      <c r="I81" t="n">
        <v>0</v>
      </c>
      <c r="J81" t="n">
        <v>0</v>
      </c>
      <c r="K81" t="n">
        <v>0</v>
      </c>
      <c r="L81" t="n">
        <v>0</v>
      </c>
      <c r="M81" t="n">
        <v>0</v>
      </c>
      <c r="N81" t="n">
        <v>0</v>
      </c>
      <c r="O81" t="n">
        <v>0</v>
      </c>
      <c r="P81" t="n">
        <v>0</v>
      </c>
      <c r="Q81" t="n">
        <v>0</v>
      </c>
      <c r="R81" s="2" t="inlineStr"/>
    </row>
    <row r="82" ht="15" customHeight="1">
      <c r="A82" t="inlineStr">
        <is>
          <t>A 54460-2025</t>
        </is>
      </c>
      <c r="B82" s="1" t="n">
        <v>45965.56219907408</v>
      </c>
      <c r="C82" s="1" t="n">
        <v>45989</v>
      </c>
      <c r="D82" t="inlineStr">
        <is>
          <t>STOCKHOLMS LÄN</t>
        </is>
      </c>
      <c r="E82" t="inlineStr">
        <is>
          <t>VALLENTUNA</t>
        </is>
      </c>
      <c r="G82" t="n">
        <v>22.9</v>
      </c>
      <c r="H82" t="n">
        <v>0</v>
      </c>
      <c r="I82" t="n">
        <v>0</v>
      </c>
      <c r="J82" t="n">
        <v>0</v>
      </c>
      <c r="K82" t="n">
        <v>0</v>
      </c>
      <c r="L82" t="n">
        <v>0</v>
      </c>
      <c r="M82" t="n">
        <v>0</v>
      </c>
      <c r="N82" t="n">
        <v>0</v>
      </c>
      <c r="O82" t="n">
        <v>0</v>
      </c>
      <c r="P82" t="n">
        <v>0</v>
      </c>
      <c r="Q82" t="n">
        <v>0</v>
      </c>
      <c r="R82" s="2" t="inlineStr"/>
    </row>
    <row r="83" ht="15" customHeight="1">
      <c r="A83" t="inlineStr">
        <is>
          <t>A 54466-2025</t>
        </is>
      </c>
      <c r="B83" s="1" t="n">
        <v>45965.56984953704</v>
      </c>
      <c r="C83" s="1" t="n">
        <v>45989</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27870-2025</t>
        </is>
      </c>
      <c r="B84" s="1" t="n">
        <v>45817</v>
      </c>
      <c r="C84" s="1" t="n">
        <v>45989</v>
      </c>
      <c r="D84" t="inlineStr">
        <is>
          <t>STOCKHOLMS LÄN</t>
        </is>
      </c>
      <c r="E84" t="inlineStr">
        <is>
          <t>VALLENTUNA</t>
        </is>
      </c>
      <c r="G84" t="n">
        <v>2.3</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45989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19503-2023</t>
        </is>
      </c>
      <c r="B86" s="1" t="n">
        <v>45050.47333333334</v>
      </c>
      <c r="C86" s="1" t="n">
        <v>45989</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48014-2025</t>
        </is>
      </c>
      <c r="B87" s="1" t="n">
        <v>45932.64520833334</v>
      </c>
      <c r="C87" s="1" t="n">
        <v>45989</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48038-2025</t>
        </is>
      </c>
      <c r="B88" s="1" t="n">
        <v>45932.66008101852</v>
      </c>
      <c r="C88" s="1" t="n">
        <v>45989</v>
      </c>
      <c r="D88" t="inlineStr">
        <is>
          <t>STOCKHOLMS LÄN</t>
        </is>
      </c>
      <c r="E88" t="inlineStr">
        <is>
          <t>VALLENTUNA</t>
        </is>
      </c>
      <c r="G88" t="n">
        <v>0.5</v>
      </c>
      <c r="H88" t="n">
        <v>0</v>
      </c>
      <c r="I88" t="n">
        <v>0</v>
      </c>
      <c r="J88" t="n">
        <v>0</v>
      </c>
      <c r="K88" t="n">
        <v>0</v>
      </c>
      <c r="L88" t="n">
        <v>0</v>
      </c>
      <c r="M88" t="n">
        <v>0</v>
      </c>
      <c r="N88" t="n">
        <v>0</v>
      </c>
      <c r="O88" t="n">
        <v>0</v>
      </c>
      <c r="P88" t="n">
        <v>0</v>
      </c>
      <c r="Q88" t="n">
        <v>0</v>
      </c>
      <c r="R88" s="2" t="inlineStr"/>
    </row>
    <row r="89" ht="15" customHeight="1">
      <c r="A89" t="inlineStr">
        <is>
          <t>A 21445-2023</t>
        </is>
      </c>
      <c r="B89" s="1" t="n">
        <v>45063</v>
      </c>
      <c r="C89" s="1" t="n">
        <v>45989</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22683-2023</t>
        </is>
      </c>
      <c r="B90" s="1" t="n">
        <v>45071</v>
      </c>
      <c r="C90" s="1" t="n">
        <v>45989</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24943-2024</t>
        </is>
      </c>
      <c r="B91" s="1" t="n">
        <v>45461.62585648148</v>
      </c>
      <c r="C91" s="1" t="n">
        <v>45989</v>
      </c>
      <c r="D91" t="inlineStr">
        <is>
          <t>STOCKHOLMS LÄN</t>
        </is>
      </c>
      <c r="E91" t="inlineStr">
        <is>
          <t>VALLENTUNA</t>
        </is>
      </c>
      <c r="G91" t="n">
        <v>2</v>
      </c>
      <c r="H91" t="n">
        <v>0</v>
      </c>
      <c r="I91" t="n">
        <v>0</v>
      </c>
      <c r="J91" t="n">
        <v>0</v>
      </c>
      <c r="K91" t="n">
        <v>0</v>
      </c>
      <c r="L91" t="n">
        <v>0</v>
      </c>
      <c r="M91" t="n">
        <v>0</v>
      </c>
      <c r="N91" t="n">
        <v>0</v>
      </c>
      <c r="O91" t="n">
        <v>0</v>
      </c>
      <c r="P91" t="n">
        <v>0</v>
      </c>
      <c r="Q91" t="n">
        <v>0</v>
      </c>
      <c r="R91" s="2" t="inlineStr"/>
    </row>
    <row r="92" ht="15" customHeight="1">
      <c r="A92" t="inlineStr">
        <is>
          <t>A 5910-2022</t>
        </is>
      </c>
      <c r="B92" s="1" t="n">
        <v>44597</v>
      </c>
      <c r="C92" s="1" t="n">
        <v>45989</v>
      </c>
      <c r="D92" t="inlineStr">
        <is>
          <t>STOCKHOLMS LÄN</t>
        </is>
      </c>
      <c r="E92" t="inlineStr">
        <is>
          <t>VALLENTUNA</t>
        </is>
      </c>
      <c r="G92" t="n">
        <v>0.6</v>
      </c>
      <c r="H92" t="n">
        <v>0</v>
      </c>
      <c r="I92" t="n">
        <v>0</v>
      </c>
      <c r="J92" t="n">
        <v>0</v>
      </c>
      <c r="K92" t="n">
        <v>0</v>
      </c>
      <c r="L92" t="n">
        <v>0</v>
      </c>
      <c r="M92" t="n">
        <v>0</v>
      </c>
      <c r="N92" t="n">
        <v>0</v>
      </c>
      <c r="O92" t="n">
        <v>0</v>
      </c>
      <c r="P92" t="n">
        <v>0</v>
      </c>
      <c r="Q92" t="n">
        <v>0</v>
      </c>
      <c r="R92" s="2" t="inlineStr"/>
    </row>
    <row r="93" ht="15" customHeight="1">
      <c r="A93" t="inlineStr">
        <is>
          <t>A 26390-2023</t>
        </is>
      </c>
      <c r="B93" s="1" t="n">
        <v>45086</v>
      </c>
      <c r="C93" s="1" t="n">
        <v>45989</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50784-2025</t>
        </is>
      </c>
      <c r="B94" s="1" t="n">
        <v>45946</v>
      </c>
      <c r="C94" s="1" t="n">
        <v>45989</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24707-2023</t>
        </is>
      </c>
      <c r="B95" s="1" t="n">
        <v>45084</v>
      </c>
      <c r="C95" s="1" t="n">
        <v>45989</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12609-2024</t>
        </is>
      </c>
      <c r="B96" s="1" t="n">
        <v>45382.8109375</v>
      </c>
      <c r="C96" s="1" t="n">
        <v>45989</v>
      </c>
      <c r="D96" t="inlineStr">
        <is>
          <t>STOCKHOLMS LÄN</t>
        </is>
      </c>
      <c r="E96" t="inlineStr">
        <is>
          <t>VALLENTUNA</t>
        </is>
      </c>
      <c r="G96" t="n">
        <v>0.9</v>
      </c>
      <c r="H96" t="n">
        <v>0</v>
      </c>
      <c r="I96" t="n">
        <v>0</v>
      </c>
      <c r="J96" t="n">
        <v>0</v>
      </c>
      <c r="K96" t="n">
        <v>0</v>
      </c>
      <c r="L96" t="n">
        <v>0</v>
      </c>
      <c r="M96" t="n">
        <v>0</v>
      </c>
      <c r="N96" t="n">
        <v>0</v>
      </c>
      <c r="O96" t="n">
        <v>0</v>
      </c>
      <c r="P96" t="n">
        <v>0</v>
      </c>
      <c r="Q96" t="n">
        <v>0</v>
      </c>
      <c r="R96" s="2" t="inlineStr"/>
    </row>
    <row r="97" ht="15" customHeight="1">
      <c r="A97" t="inlineStr">
        <is>
          <t>A 47140-2024</t>
        </is>
      </c>
      <c r="B97" s="1" t="n">
        <v>45586.58753472222</v>
      </c>
      <c r="C97" s="1" t="n">
        <v>45989</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45989</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45989</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4803-2024</t>
        </is>
      </c>
      <c r="B100" s="1" t="n">
        <v>45328</v>
      </c>
      <c r="C100" s="1" t="n">
        <v>45989</v>
      </c>
      <c r="D100" t="inlineStr">
        <is>
          <t>STOCKHOLMS LÄN</t>
        </is>
      </c>
      <c r="E100" t="inlineStr">
        <is>
          <t>VALLENTUNA</t>
        </is>
      </c>
      <c r="G100" t="n">
        <v>4.6</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45989</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11950-2025</t>
        </is>
      </c>
      <c r="B102" s="1" t="n">
        <v>45728.55622685186</v>
      </c>
      <c r="C102" s="1" t="n">
        <v>45989</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68938-2020</t>
        </is>
      </c>
      <c r="B103" s="1" t="n">
        <v>44187</v>
      </c>
      <c r="C103" s="1" t="n">
        <v>45989</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14489-2024</t>
        </is>
      </c>
      <c r="B104" s="1" t="n">
        <v>45394.58053240741</v>
      </c>
      <c r="C104" s="1" t="n">
        <v>45989</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45989</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45989</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45989</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45989</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45989</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45989</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60997-2022</t>
        </is>
      </c>
      <c r="B111" s="1" t="n">
        <v>44914.70746527778</v>
      </c>
      <c r="C111" s="1" t="n">
        <v>45989</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12234-2022</t>
        </is>
      </c>
      <c r="B112" s="1" t="n">
        <v>44637</v>
      </c>
      <c r="C112" s="1" t="n">
        <v>45989</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45989</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45989</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45989</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34441-2023</t>
        </is>
      </c>
      <c r="B116" s="1" t="n">
        <v>45139</v>
      </c>
      <c r="C116" s="1" t="n">
        <v>45989</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34445-2023</t>
        </is>
      </c>
      <c r="B117" s="1" t="n">
        <v>45139</v>
      </c>
      <c r="C117" s="1" t="n">
        <v>45989</v>
      </c>
      <c r="D117" t="inlineStr">
        <is>
          <t>STOCKHOLMS LÄN</t>
        </is>
      </c>
      <c r="E117" t="inlineStr">
        <is>
          <t>VALLENTUNA</t>
        </is>
      </c>
      <c r="G117" t="n">
        <v>0.9</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45989</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15300-2023</t>
        </is>
      </c>
      <c r="B119" s="1" t="n">
        <v>45019</v>
      </c>
      <c r="C119" s="1" t="n">
        <v>45989</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45989</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45989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29704-2023</t>
        </is>
      </c>
      <c r="B122" s="1" t="n">
        <v>45107</v>
      </c>
      <c r="C122" s="1" t="n">
        <v>45989</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45989</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45496-2023</t>
        </is>
      </c>
      <c r="B124" s="1" t="n">
        <v>45194</v>
      </c>
      <c r="C124" s="1" t="n">
        <v>45989</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45989</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14782-2024</t>
        </is>
      </c>
      <c r="B126" s="1" t="n">
        <v>45397.74266203704</v>
      </c>
      <c r="C126" s="1" t="n">
        <v>45989</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45989</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14775-2024</t>
        </is>
      </c>
      <c r="B128" s="1" t="n">
        <v>45397.73675925926</v>
      </c>
      <c r="C128" s="1" t="n">
        <v>45989</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45989</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45989</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45989</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45989</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17340-2025</t>
        </is>
      </c>
      <c r="B133" s="1" t="n">
        <v>45756</v>
      </c>
      <c r="C133" s="1" t="n">
        <v>45989</v>
      </c>
      <c r="D133" t="inlineStr">
        <is>
          <t>STOCKHOLMS LÄN</t>
        </is>
      </c>
      <c r="E133" t="inlineStr">
        <is>
          <t>VALLENTUNA</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20791-2025</t>
        </is>
      </c>
      <c r="B134" s="1" t="n">
        <v>45776.62738425926</v>
      </c>
      <c r="C134" s="1" t="n">
        <v>45989</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10073-2024</t>
        </is>
      </c>
      <c r="B135" s="1" t="n">
        <v>45364.40821759259</v>
      </c>
      <c r="C135" s="1" t="n">
        <v>45989</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45989</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12621-2024</t>
        </is>
      </c>
      <c r="B137" s="1" t="n">
        <v>45383.6325</v>
      </c>
      <c r="C137" s="1" t="n">
        <v>45989</v>
      </c>
      <c r="D137" t="inlineStr">
        <is>
          <t>STOCKHOLMS LÄN</t>
        </is>
      </c>
      <c r="E137" t="inlineStr">
        <is>
          <t>VALLENTUNA</t>
        </is>
      </c>
      <c r="G137" t="n">
        <v>4.4</v>
      </c>
      <c r="H137" t="n">
        <v>0</v>
      </c>
      <c r="I137" t="n">
        <v>0</v>
      </c>
      <c r="J137" t="n">
        <v>0</v>
      </c>
      <c r="K137" t="n">
        <v>0</v>
      </c>
      <c r="L137" t="n">
        <v>0</v>
      </c>
      <c r="M137" t="n">
        <v>0</v>
      </c>
      <c r="N137" t="n">
        <v>0</v>
      </c>
      <c r="O137" t="n">
        <v>0</v>
      </c>
      <c r="P137" t="n">
        <v>0</v>
      </c>
      <c r="Q137" t="n">
        <v>0</v>
      </c>
      <c r="R137" s="2" t="inlineStr"/>
    </row>
    <row r="138" ht="15" customHeight="1">
      <c r="A138" t="inlineStr">
        <is>
          <t>A 46381-2023</t>
        </is>
      </c>
      <c r="B138" s="1" t="n">
        <v>45193</v>
      </c>
      <c r="C138" s="1" t="n">
        <v>45989</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61027-2023</t>
        </is>
      </c>
      <c r="B139" s="1" t="n">
        <v>45261</v>
      </c>
      <c r="C139" s="1" t="n">
        <v>45989</v>
      </c>
      <c r="D139" t="inlineStr">
        <is>
          <t>STOCKHOLMS LÄN</t>
        </is>
      </c>
      <c r="E139" t="inlineStr">
        <is>
          <t>VALLENTUNA</t>
        </is>
      </c>
      <c r="G139" t="n">
        <v>7.1</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45989</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c r="A141" t="inlineStr">
        <is>
          <t>A 23923-2025</t>
        </is>
      </c>
      <c r="B141" s="1" t="n">
        <v>45795.39648148148</v>
      </c>
      <c r="C141" s="1" t="n">
        <v>45989</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2025-11-28T10:22:39Z</dcterms:created>
  <dcterms:modified xmlns:dcterms="http://purl.org/dc/terms/" xmlns:xsi="http://www.w3.org/2001/XMLSchema-instance" xsi:type="dcterms:W3CDTF">2025-11-28T10:22:39Z</dcterms:modified>
</cp:coreProperties>
</file>