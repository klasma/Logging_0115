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45765</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45765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45765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45765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45765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45765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45765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45765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45765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45765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45765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45765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45765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45765</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45765</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45765</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45765</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45765</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45765</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45765</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45765</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45765</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45765</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45765</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45765</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45765</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45765</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45765</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45765</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45765</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45765</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45765</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45765</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45765</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45765</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9445-2022</t>
        </is>
      </c>
      <c r="B37" s="1" t="n">
        <v>44616</v>
      </c>
      <c r="C37" s="1" t="n">
        <v>45765</v>
      </c>
      <c r="D37" t="inlineStr">
        <is>
          <t>STOCKHOLMS LÄN</t>
        </is>
      </c>
      <c r="E37" t="inlineStr">
        <is>
          <t>VALLENTUNA</t>
        </is>
      </c>
      <c r="G37" t="n">
        <v>10.8</v>
      </c>
      <c r="H37" t="n">
        <v>1</v>
      </c>
      <c r="I37" t="n">
        <v>1</v>
      </c>
      <c r="J37" t="n">
        <v>0</v>
      </c>
      <c r="K37" t="n">
        <v>0</v>
      </c>
      <c r="L37" t="n">
        <v>0</v>
      </c>
      <c r="M37" t="n">
        <v>0</v>
      </c>
      <c r="N37" t="n">
        <v>0</v>
      </c>
      <c r="O37" t="n">
        <v>0</v>
      </c>
      <c r="P37" t="n">
        <v>0</v>
      </c>
      <c r="Q37" t="n">
        <v>2</v>
      </c>
      <c r="R37" s="2" t="inlineStr">
        <is>
          <t>Grönpyrola
Blåsippa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9745-2022</t>
        </is>
      </c>
      <c r="B38" s="1" t="n">
        <v>44618</v>
      </c>
      <c r="C38" s="1" t="n">
        <v>45765</v>
      </c>
      <c r="D38" t="inlineStr">
        <is>
          <t>STOCKHOLMS LÄN</t>
        </is>
      </c>
      <c r="E38" t="inlineStr">
        <is>
          <t>VALLENTUNA</t>
        </is>
      </c>
      <c r="G38" t="n">
        <v>5.9</v>
      </c>
      <c r="H38" t="n">
        <v>1</v>
      </c>
      <c r="I38" t="n">
        <v>1</v>
      </c>
      <c r="J38" t="n">
        <v>1</v>
      </c>
      <c r="K38" t="n">
        <v>0</v>
      </c>
      <c r="L38" t="n">
        <v>0</v>
      </c>
      <c r="M38" t="n">
        <v>0</v>
      </c>
      <c r="N38" t="n">
        <v>0</v>
      </c>
      <c r="O38" t="n">
        <v>1</v>
      </c>
      <c r="P38" t="n">
        <v>0</v>
      </c>
      <c r="Q38" t="n">
        <v>2</v>
      </c>
      <c r="R38" s="2" t="inlineStr">
        <is>
          <t>Spillkråka
Björksplintborre</t>
        </is>
      </c>
      <c r="S38">
        <f>HYPERLINK("https://klasma.github.io/Logging_0115/artfynd/A 9745-2022 artfynd.xlsx", "A 9745-2022")</f>
        <v/>
      </c>
      <c r="T38">
        <f>HYPERLINK("https://klasma.github.io/Logging_0115/kartor/A 9745-2022 karta.png", "A 9745-2022")</f>
        <v/>
      </c>
      <c r="V38">
        <f>HYPERLINK("https://klasma.github.io/Logging_0115/klagomål/A 9745-2022 FSC-klagomål.docx", "A 9745-2022")</f>
        <v/>
      </c>
      <c r="W38">
        <f>HYPERLINK("https://klasma.github.io/Logging_0115/klagomålsmail/A 9745-2022 FSC-klagomål mail.docx", "A 9745-2022")</f>
        <v/>
      </c>
      <c r="X38">
        <f>HYPERLINK("https://klasma.github.io/Logging_0115/tillsyn/A 9745-2022 tillsynsbegäran.docx", "A 9745-2022")</f>
        <v/>
      </c>
      <c r="Y38">
        <f>HYPERLINK("https://klasma.github.io/Logging_0115/tillsynsmail/A 9745-2022 tillsynsbegäran mail.docx", "A 9745-2022")</f>
        <v/>
      </c>
      <c r="Z38">
        <f>HYPERLINK("https://klasma.github.io/Logging_0115/fåglar/A 9745-2022 prioriterade fågelarter.docx", "A 9745-2022")</f>
        <v/>
      </c>
    </row>
    <row r="39" ht="15" customHeight="1">
      <c r="A39" t="inlineStr">
        <is>
          <t>A 41021-2023</t>
        </is>
      </c>
      <c r="B39" s="1" t="n">
        <v>45173</v>
      </c>
      <c r="C39" s="1" t="n">
        <v>45765</v>
      </c>
      <c r="D39" t="inlineStr">
        <is>
          <t>STOCKHOLMS LÄN</t>
        </is>
      </c>
      <c r="E39" t="inlineStr">
        <is>
          <t>VALLENTUNA</t>
        </is>
      </c>
      <c r="G39" t="n">
        <v>3</v>
      </c>
      <c r="H39" t="n">
        <v>0</v>
      </c>
      <c r="I39" t="n">
        <v>1</v>
      </c>
      <c r="J39" t="n">
        <v>1</v>
      </c>
      <c r="K39" t="n">
        <v>0</v>
      </c>
      <c r="L39" t="n">
        <v>0</v>
      </c>
      <c r="M39" t="n">
        <v>0</v>
      </c>
      <c r="N39" t="n">
        <v>0</v>
      </c>
      <c r="O39" t="n">
        <v>1</v>
      </c>
      <c r="P39" t="n">
        <v>0</v>
      </c>
      <c r="Q39" t="n">
        <v>2</v>
      </c>
      <c r="R39" s="2" t="inlineStr">
        <is>
          <t>Orange taggsvamp
Fjällig taggsvamp s.str.</t>
        </is>
      </c>
      <c r="S39">
        <f>HYPERLINK("https://klasma.github.io/Logging_0115/artfynd/A 41021-2023 artfynd.xlsx", "A 41021-2023")</f>
        <v/>
      </c>
      <c r="T39">
        <f>HYPERLINK("https://klasma.github.io/Logging_0115/kartor/A 41021-2023 karta.png", "A 41021-2023")</f>
        <v/>
      </c>
      <c r="V39">
        <f>HYPERLINK("https://klasma.github.io/Logging_0115/klagomål/A 41021-2023 FSC-klagomål.docx", "A 41021-2023")</f>
        <v/>
      </c>
      <c r="W39">
        <f>HYPERLINK("https://klasma.github.io/Logging_0115/klagomålsmail/A 41021-2023 FSC-klagomål mail.docx", "A 41021-2023")</f>
        <v/>
      </c>
      <c r="X39">
        <f>HYPERLINK("https://klasma.github.io/Logging_0115/tillsyn/A 41021-2023 tillsynsbegäran.docx", "A 41021-2023")</f>
        <v/>
      </c>
      <c r="Y39">
        <f>HYPERLINK("https://klasma.github.io/Logging_0115/tillsynsmail/A 41021-2023 tillsynsbegäran mail.docx", "A 41021-2023")</f>
        <v/>
      </c>
    </row>
    <row r="40" ht="15" customHeight="1">
      <c r="A40" t="inlineStr">
        <is>
          <t>A 754-2024</t>
        </is>
      </c>
      <c r="B40" s="1" t="n">
        <v>45300</v>
      </c>
      <c r="C40" s="1" t="n">
        <v>45765</v>
      </c>
      <c r="D40" t="inlineStr">
        <is>
          <t>STOCKHOLMS LÄN</t>
        </is>
      </c>
      <c r="E40" t="inlineStr">
        <is>
          <t>VALLENTUNA</t>
        </is>
      </c>
      <c r="G40" t="n">
        <v>2.5</v>
      </c>
      <c r="H40" t="n">
        <v>1</v>
      </c>
      <c r="I40" t="n">
        <v>1</v>
      </c>
      <c r="J40" t="n">
        <v>0</v>
      </c>
      <c r="K40" t="n">
        <v>0</v>
      </c>
      <c r="L40" t="n">
        <v>0</v>
      </c>
      <c r="M40" t="n">
        <v>0</v>
      </c>
      <c r="N40" t="n">
        <v>0</v>
      </c>
      <c r="O40" t="n">
        <v>0</v>
      </c>
      <c r="P40" t="n">
        <v>0</v>
      </c>
      <c r="Q40" t="n">
        <v>2</v>
      </c>
      <c r="R40" s="2" t="inlineStr">
        <is>
          <t>Vågbandad barkbock
Grönsiska</t>
        </is>
      </c>
      <c r="S40">
        <f>HYPERLINK("https://klasma.github.io/Logging_0115/artfynd/A 754-2024 artfynd.xlsx", "A 754-2024")</f>
        <v/>
      </c>
      <c r="T40">
        <f>HYPERLINK("https://klasma.github.io/Logging_0115/kartor/A 754-2024 karta.png", "A 754-2024")</f>
        <v/>
      </c>
      <c r="V40">
        <f>HYPERLINK("https://klasma.github.io/Logging_0115/klagomål/A 754-2024 FSC-klagomål.docx", "A 754-2024")</f>
        <v/>
      </c>
      <c r="W40">
        <f>HYPERLINK("https://klasma.github.io/Logging_0115/klagomålsmail/A 754-2024 FSC-klagomål mail.docx", "A 754-2024")</f>
        <v/>
      </c>
      <c r="X40">
        <f>HYPERLINK("https://klasma.github.io/Logging_0115/tillsyn/A 754-2024 tillsynsbegäran.docx", "A 754-2024")</f>
        <v/>
      </c>
      <c r="Y40">
        <f>HYPERLINK("https://klasma.github.io/Logging_0115/tillsynsmail/A 754-2024 tillsynsbegäran mail.docx", "A 754-2024")</f>
        <v/>
      </c>
      <c r="Z40">
        <f>HYPERLINK("https://klasma.github.io/Logging_0115/fåglar/A 754-2024 prioriterade fågelarter.docx", "A 754-2024")</f>
        <v/>
      </c>
    </row>
    <row r="41" ht="15" customHeight="1">
      <c r="A41" t="inlineStr">
        <is>
          <t>A 29376-2024</t>
        </is>
      </c>
      <c r="B41" s="1" t="n">
        <v>45483</v>
      </c>
      <c r="C41" s="1" t="n">
        <v>45765</v>
      </c>
      <c r="D41" t="inlineStr">
        <is>
          <t>STOCKHOLMS LÄN</t>
        </is>
      </c>
      <c r="E41" t="inlineStr">
        <is>
          <t>VALLENTUNA</t>
        </is>
      </c>
      <c r="F41" t="inlineStr">
        <is>
          <t>Övriga Aktiebolag</t>
        </is>
      </c>
      <c r="G41" t="n">
        <v>11.9</v>
      </c>
      <c r="H41" t="n">
        <v>0</v>
      </c>
      <c r="I41" t="n">
        <v>0</v>
      </c>
      <c r="J41" t="n">
        <v>1</v>
      </c>
      <c r="K41" t="n">
        <v>1</v>
      </c>
      <c r="L41" t="n">
        <v>0</v>
      </c>
      <c r="M41" t="n">
        <v>0</v>
      </c>
      <c r="N41" t="n">
        <v>0</v>
      </c>
      <c r="O41" t="n">
        <v>2</v>
      </c>
      <c r="P41" t="n">
        <v>1</v>
      </c>
      <c r="Q41" t="n">
        <v>2</v>
      </c>
      <c r="R41" s="2" t="inlineStr">
        <is>
          <t>Bandnate
Vedtrappmossa</t>
        </is>
      </c>
      <c r="S41">
        <f>HYPERLINK("https://klasma.github.io/Logging_0115/artfynd/A 29376-2024 artfynd.xlsx", "A 29376-2024")</f>
        <v/>
      </c>
      <c r="T41">
        <f>HYPERLINK("https://klasma.github.io/Logging_0115/kartor/A 29376-2024 karta.png", "A 29376-2024")</f>
        <v/>
      </c>
      <c r="V41">
        <f>HYPERLINK("https://klasma.github.io/Logging_0115/klagomål/A 29376-2024 FSC-klagomål.docx", "A 29376-2024")</f>
        <v/>
      </c>
      <c r="W41">
        <f>HYPERLINK("https://klasma.github.io/Logging_0115/klagomålsmail/A 29376-2024 FSC-klagomål mail.docx", "A 29376-2024")</f>
        <v/>
      </c>
      <c r="X41">
        <f>HYPERLINK("https://klasma.github.io/Logging_0115/tillsyn/A 29376-2024 tillsynsbegäran.docx", "A 29376-2024")</f>
        <v/>
      </c>
      <c r="Y41">
        <f>HYPERLINK("https://klasma.github.io/Logging_0115/tillsynsmail/A 29376-2024 tillsynsbegäran mail.docx", "A 29376-2024")</f>
        <v/>
      </c>
    </row>
    <row r="42" ht="15" customHeight="1">
      <c r="A42" t="inlineStr">
        <is>
          <t>A 68108-2019</t>
        </is>
      </c>
      <c r="B42" s="1" t="n">
        <v>43817</v>
      </c>
      <c r="C42" s="1" t="n">
        <v>45765</v>
      </c>
      <c r="D42" t="inlineStr">
        <is>
          <t>STOCKHOLMS LÄN</t>
        </is>
      </c>
      <c r="E42" t="inlineStr">
        <is>
          <t>VALLENTUNA</t>
        </is>
      </c>
      <c r="G42" t="n">
        <v>3.2</v>
      </c>
      <c r="H42" t="n">
        <v>0</v>
      </c>
      <c r="I42" t="n">
        <v>1</v>
      </c>
      <c r="J42" t="n">
        <v>0</v>
      </c>
      <c r="K42" t="n">
        <v>0</v>
      </c>
      <c r="L42" t="n">
        <v>0</v>
      </c>
      <c r="M42" t="n">
        <v>0</v>
      </c>
      <c r="N42" t="n">
        <v>0</v>
      </c>
      <c r="O42" t="n">
        <v>0</v>
      </c>
      <c r="P42" t="n">
        <v>0</v>
      </c>
      <c r="Q42" t="n">
        <v>1</v>
      </c>
      <c r="R42" s="2" t="inlineStr">
        <is>
          <t>Skuggblåslav</t>
        </is>
      </c>
      <c r="S42">
        <f>HYPERLINK("https://klasma.github.io/Logging_0115/artfynd/A 68108-2019 artfynd.xlsx", "A 68108-2019")</f>
        <v/>
      </c>
      <c r="T42">
        <f>HYPERLINK("https://klasma.github.io/Logging_0115/kartor/A 68108-2019 karta.png", "A 68108-2019")</f>
        <v/>
      </c>
      <c r="V42">
        <f>HYPERLINK("https://klasma.github.io/Logging_0115/klagomål/A 68108-2019 FSC-klagomål.docx", "A 68108-2019")</f>
        <v/>
      </c>
      <c r="W42">
        <f>HYPERLINK("https://klasma.github.io/Logging_0115/klagomålsmail/A 68108-2019 FSC-klagomål mail.docx", "A 68108-2019")</f>
        <v/>
      </c>
      <c r="X42">
        <f>HYPERLINK("https://klasma.github.io/Logging_0115/tillsyn/A 68108-2019 tillsynsbegäran.docx", "A 68108-2019")</f>
        <v/>
      </c>
      <c r="Y42">
        <f>HYPERLINK("https://klasma.github.io/Logging_0115/tillsynsmail/A 68108-2019 tillsynsbegäran mail.docx", "A 68108-2019")</f>
        <v/>
      </c>
    </row>
    <row r="43" ht="15" customHeight="1">
      <c r="A43" t="inlineStr">
        <is>
          <t>A 68107-2019</t>
        </is>
      </c>
      <c r="B43" s="1" t="n">
        <v>43817</v>
      </c>
      <c r="C43" s="1" t="n">
        <v>45765</v>
      </c>
      <c r="D43" t="inlineStr">
        <is>
          <t>STOCKHOLMS LÄN</t>
        </is>
      </c>
      <c r="E43" t="inlineStr">
        <is>
          <t>VALLENTUNA</t>
        </is>
      </c>
      <c r="G43" t="n">
        <v>11.4</v>
      </c>
      <c r="H43" t="n">
        <v>0</v>
      </c>
      <c r="I43" t="n">
        <v>0</v>
      </c>
      <c r="J43" t="n">
        <v>1</v>
      </c>
      <c r="K43" t="n">
        <v>0</v>
      </c>
      <c r="L43" t="n">
        <v>0</v>
      </c>
      <c r="M43" t="n">
        <v>0</v>
      </c>
      <c r="N43" t="n">
        <v>0</v>
      </c>
      <c r="O43" t="n">
        <v>1</v>
      </c>
      <c r="P43" t="n">
        <v>0</v>
      </c>
      <c r="Q43" t="n">
        <v>1</v>
      </c>
      <c r="R43" s="2" t="inlineStr">
        <is>
          <t>Tallticka</t>
        </is>
      </c>
      <c r="S43">
        <f>HYPERLINK("https://klasma.github.io/Logging_0115/artfynd/A 68107-2019 artfynd.xlsx", "A 68107-2019")</f>
        <v/>
      </c>
      <c r="T43">
        <f>HYPERLINK("https://klasma.github.io/Logging_0115/kartor/A 68107-2019 karta.png", "A 68107-2019")</f>
        <v/>
      </c>
      <c r="V43">
        <f>HYPERLINK("https://klasma.github.io/Logging_0115/klagomål/A 68107-2019 FSC-klagomål.docx", "A 68107-2019")</f>
        <v/>
      </c>
      <c r="W43">
        <f>HYPERLINK("https://klasma.github.io/Logging_0115/klagomålsmail/A 68107-2019 FSC-klagomål mail.docx", "A 68107-2019")</f>
        <v/>
      </c>
      <c r="X43">
        <f>HYPERLINK("https://klasma.github.io/Logging_0115/tillsyn/A 68107-2019 tillsynsbegäran.docx", "A 68107-2019")</f>
        <v/>
      </c>
      <c r="Y43">
        <f>HYPERLINK("https://klasma.github.io/Logging_0115/tillsynsmail/A 68107-2019 tillsynsbegäran mail.docx", "A 68107-2019")</f>
        <v/>
      </c>
    </row>
    <row r="44" ht="15" customHeight="1">
      <c r="A44" t="inlineStr">
        <is>
          <t>A 41934-2021</t>
        </is>
      </c>
      <c r="B44" s="1" t="n">
        <v>44425</v>
      </c>
      <c r="C44" s="1" t="n">
        <v>45765</v>
      </c>
      <c r="D44" t="inlineStr">
        <is>
          <t>STOCKHOLMS LÄN</t>
        </is>
      </c>
      <c r="E44" t="inlineStr">
        <is>
          <t>VALLENTUNA</t>
        </is>
      </c>
      <c r="F44" t="inlineStr">
        <is>
          <t>Övriga Aktiebolag</t>
        </is>
      </c>
      <c r="G44" t="n">
        <v>7.1</v>
      </c>
      <c r="H44" t="n">
        <v>0</v>
      </c>
      <c r="I44" t="n">
        <v>0</v>
      </c>
      <c r="J44" t="n">
        <v>1</v>
      </c>
      <c r="K44" t="n">
        <v>0</v>
      </c>
      <c r="L44" t="n">
        <v>0</v>
      </c>
      <c r="M44" t="n">
        <v>0</v>
      </c>
      <c r="N44" t="n">
        <v>0</v>
      </c>
      <c r="O44" t="n">
        <v>1</v>
      </c>
      <c r="P44" t="n">
        <v>0</v>
      </c>
      <c r="Q44" t="n">
        <v>1</v>
      </c>
      <c r="R44" s="2" t="inlineStr">
        <is>
          <t>Skogsklocka</t>
        </is>
      </c>
      <c r="S44">
        <f>HYPERLINK("https://klasma.github.io/Logging_0115/artfynd/A 41934-2021 artfynd.xlsx", "A 41934-2021")</f>
        <v/>
      </c>
      <c r="T44">
        <f>HYPERLINK("https://klasma.github.io/Logging_0115/kartor/A 41934-2021 karta.png", "A 41934-2021")</f>
        <v/>
      </c>
      <c r="V44">
        <f>HYPERLINK("https://klasma.github.io/Logging_0115/klagomål/A 41934-2021 FSC-klagomål.docx", "A 41934-2021")</f>
        <v/>
      </c>
      <c r="W44">
        <f>HYPERLINK("https://klasma.github.io/Logging_0115/klagomålsmail/A 41934-2021 FSC-klagomål mail.docx", "A 41934-2021")</f>
        <v/>
      </c>
      <c r="X44">
        <f>HYPERLINK("https://klasma.github.io/Logging_0115/tillsyn/A 41934-2021 tillsynsbegäran.docx", "A 41934-2021")</f>
        <v/>
      </c>
      <c r="Y44">
        <f>HYPERLINK("https://klasma.github.io/Logging_0115/tillsynsmail/A 41934-2021 tillsynsbegäran mail.docx", "A 41934-2021")</f>
        <v/>
      </c>
    </row>
    <row r="45" ht="15" customHeight="1">
      <c r="A45" t="inlineStr">
        <is>
          <t>A 131-2022</t>
        </is>
      </c>
      <c r="B45" s="1" t="n">
        <v>44560</v>
      </c>
      <c r="C45" s="1" t="n">
        <v>45765</v>
      </c>
      <c r="D45" t="inlineStr">
        <is>
          <t>STOCKHOLMS LÄN</t>
        </is>
      </c>
      <c r="E45" t="inlineStr">
        <is>
          <t>VALLENTUNA</t>
        </is>
      </c>
      <c r="F45" t="inlineStr">
        <is>
          <t>Övriga Aktiebolag</t>
        </is>
      </c>
      <c r="G45" t="n">
        <v>4.6</v>
      </c>
      <c r="H45" t="n">
        <v>0</v>
      </c>
      <c r="I45" t="n">
        <v>1</v>
      </c>
      <c r="J45" t="n">
        <v>0</v>
      </c>
      <c r="K45" t="n">
        <v>0</v>
      </c>
      <c r="L45" t="n">
        <v>0</v>
      </c>
      <c r="M45" t="n">
        <v>0</v>
      </c>
      <c r="N45" t="n">
        <v>0</v>
      </c>
      <c r="O45" t="n">
        <v>0</v>
      </c>
      <c r="P45" t="n">
        <v>0</v>
      </c>
      <c r="Q45" t="n">
        <v>1</v>
      </c>
      <c r="R45" s="2" t="inlineStr">
        <is>
          <t>Tjockfotad fingersvamp</t>
        </is>
      </c>
      <c r="S45">
        <f>HYPERLINK("https://klasma.github.io/Logging_0115/artfynd/A 131-2022 artfynd.xlsx", "A 131-2022")</f>
        <v/>
      </c>
      <c r="T45">
        <f>HYPERLINK("https://klasma.github.io/Logging_0115/kartor/A 131-2022 karta.png", "A 131-2022")</f>
        <v/>
      </c>
      <c r="V45">
        <f>HYPERLINK("https://klasma.github.io/Logging_0115/klagomål/A 131-2022 FSC-klagomål.docx", "A 131-2022")</f>
        <v/>
      </c>
      <c r="W45">
        <f>HYPERLINK("https://klasma.github.io/Logging_0115/klagomålsmail/A 131-2022 FSC-klagomål mail.docx", "A 131-2022")</f>
        <v/>
      </c>
      <c r="X45">
        <f>HYPERLINK("https://klasma.github.io/Logging_0115/tillsyn/A 131-2022 tillsynsbegäran.docx", "A 131-2022")</f>
        <v/>
      </c>
      <c r="Y45">
        <f>HYPERLINK("https://klasma.github.io/Logging_0115/tillsynsmail/A 131-2022 tillsynsbegäran mail.docx", "A 131-2022")</f>
        <v/>
      </c>
    </row>
    <row r="46" ht="15" customHeight="1">
      <c r="A46" t="inlineStr">
        <is>
          <t>A 21-2022</t>
        </is>
      </c>
      <c r="B46" s="1" t="n">
        <v>44560</v>
      </c>
      <c r="C46" s="1" t="n">
        <v>45765</v>
      </c>
      <c r="D46" t="inlineStr">
        <is>
          <t>STOCKHOLMS LÄN</t>
        </is>
      </c>
      <c r="E46" t="inlineStr">
        <is>
          <t>VALLENTUNA</t>
        </is>
      </c>
      <c r="F46" t="inlineStr">
        <is>
          <t>Övriga Aktiebolag</t>
        </is>
      </c>
      <c r="G46" t="n">
        <v>3.5</v>
      </c>
      <c r="H46" t="n">
        <v>1</v>
      </c>
      <c r="I46" t="n">
        <v>0</v>
      </c>
      <c r="J46" t="n">
        <v>0</v>
      </c>
      <c r="K46" t="n">
        <v>0</v>
      </c>
      <c r="L46" t="n">
        <v>0</v>
      </c>
      <c r="M46" t="n">
        <v>0</v>
      </c>
      <c r="N46" t="n">
        <v>0</v>
      </c>
      <c r="O46" t="n">
        <v>0</v>
      </c>
      <c r="P46" t="n">
        <v>0</v>
      </c>
      <c r="Q46" t="n">
        <v>1</v>
      </c>
      <c r="R46" s="2" t="inlineStr">
        <is>
          <t>Nattviol</t>
        </is>
      </c>
      <c r="S46">
        <f>HYPERLINK("https://klasma.github.io/Logging_0115/artfynd/A 21-2022 artfynd.xlsx", "A 21-2022")</f>
        <v/>
      </c>
      <c r="T46">
        <f>HYPERLINK("https://klasma.github.io/Logging_0115/kartor/A 21-2022 karta.png", "A 21-2022")</f>
        <v/>
      </c>
      <c r="V46">
        <f>HYPERLINK("https://klasma.github.io/Logging_0115/klagomål/A 21-2022 FSC-klagomål.docx", "A 21-2022")</f>
        <v/>
      </c>
      <c r="W46">
        <f>HYPERLINK("https://klasma.github.io/Logging_0115/klagomålsmail/A 21-2022 FSC-klagomål mail.docx", "A 21-2022")</f>
        <v/>
      </c>
      <c r="X46">
        <f>HYPERLINK("https://klasma.github.io/Logging_0115/tillsyn/A 21-2022 tillsynsbegäran.docx", "A 21-2022")</f>
        <v/>
      </c>
      <c r="Y46">
        <f>HYPERLINK("https://klasma.github.io/Logging_0115/tillsynsmail/A 21-2022 tillsynsbegäran mail.docx", "A 21-2022")</f>
        <v/>
      </c>
    </row>
    <row r="47" ht="15" customHeight="1">
      <c r="A47" t="inlineStr">
        <is>
          <t>A 9747-2022</t>
        </is>
      </c>
      <c r="B47" s="1" t="n">
        <v>44618</v>
      </c>
      <c r="C47" s="1" t="n">
        <v>45765</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45765</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45765</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45765</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45765</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45765</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45765</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45765</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45765</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45765</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45765</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45765</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17341-2025</t>
        </is>
      </c>
      <c r="B59" s="1" t="n">
        <v>45756</v>
      </c>
      <c r="C59" s="1" t="n">
        <v>45765</v>
      </c>
      <c r="D59" t="inlineStr">
        <is>
          <t>STOCKHOLMS LÄN</t>
        </is>
      </c>
      <c r="E59" t="inlineStr">
        <is>
          <t>VALLENTUNA</t>
        </is>
      </c>
      <c r="F59" t="inlineStr">
        <is>
          <t>Övriga Aktiebolag</t>
        </is>
      </c>
      <c r="G59" t="n">
        <v>5.2</v>
      </c>
      <c r="H59" t="n">
        <v>0</v>
      </c>
      <c r="I59" t="n">
        <v>1</v>
      </c>
      <c r="J59" t="n">
        <v>0</v>
      </c>
      <c r="K59" t="n">
        <v>0</v>
      </c>
      <c r="L59" t="n">
        <v>0</v>
      </c>
      <c r="M59" t="n">
        <v>0</v>
      </c>
      <c r="N59" t="n">
        <v>0</v>
      </c>
      <c r="O59" t="n">
        <v>0</v>
      </c>
      <c r="P59" t="n">
        <v>0</v>
      </c>
      <c r="Q59" t="n">
        <v>1</v>
      </c>
      <c r="R59" s="2" t="inlineStr">
        <is>
          <t>Björksplintborre</t>
        </is>
      </c>
      <c r="S59">
        <f>HYPERLINK("https://klasma.github.io/Logging_010115/artfynd/A 17341-2025 artfynd.xlsx", "A 17341-2025")</f>
        <v/>
      </c>
      <c r="T59">
        <f>HYPERLINK("https://klasma.github.io/Logging_010115/kartor/A 17341-2025 karta.png", "A 17341-2025")</f>
        <v/>
      </c>
      <c r="V59">
        <f>HYPERLINK("https://klasma.github.io/Logging_010115/klagomål/A 17341-2025 FSC-klagomål.docx", "A 17341-2025")</f>
        <v/>
      </c>
      <c r="W59">
        <f>HYPERLINK("https://klasma.github.io/Logging_010115/klagomålsmail/A 17341-2025 FSC-klagomål mail.docx", "A 17341-2025")</f>
        <v/>
      </c>
      <c r="X59">
        <f>HYPERLINK("https://klasma.github.io/Logging_010115/tillsyn/A 17341-2025 tillsynsbegäran.docx", "A 17341-2025")</f>
        <v/>
      </c>
      <c r="Y59">
        <f>HYPERLINK("https://klasma.github.io/Logging_010115/tillsynsmail/A 17341-2025 tillsynsbegäran mail.docx", "A 17341-2025")</f>
        <v/>
      </c>
    </row>
    <row r="60" ht="15" customHeight="1">
      <c r="A60" t="inlineStr">
        <is>
          <t>A 17348-2025</t>
        </is>
      </c>
      <c r="B60" s="1" t="n">
        <v>45756</v>
      </c>
      <c r="C60" s="1" t="n">
        <v>45765</v>
      </c>
      <c r="D60" t="inlineStr">
        <is>
          <t>STOCKHOLMS LÄN</t>
        </is>
      </c>
      <c r="E60" t="inlineStr">
        <is>
          <t>VALLENTUNA</t>
        </is>
      </c>
      <c r="F60" t="inlineStr">
        <is>
          <t>Övriga Aktiebolag</t>
        </is>
      </c>
      <c r="G60" t="n">
        <v>2.2</v>
      </c>
      <c r="H60" t="n">
        <v>0</v>
      </c>
      <c r="I60" t="n">
        <v>1</v>
      </c>
      <c r="J60" t="n">
        <v>0</v>
      </c>
      <c r="K60" t="n">
        <v>0</v>
      </c>
      <c r="L60" t="n">
        <v>0</v>
      </c>
      <c r="M60" t="n">
        <v>0</v>
      </c>
      <c r="N60" t="n">
        <v>0</v>
      </c>
      <c r="O60" t="n">
        <v>0</v>
      </c>
      <c r="P60" t="n">
        <v>0</v>
      </c>
      <c r="Q60" t="n">
        <v>1</v>
      </c>
      <c r="R60" s="2" t="inlineStr">
        <is>
          <t>Björksplintborre</t>
        </is>
      </c>
      <c r="S60">
        <f>HYPERLINK("https://klasma.github.io/Logging_010115/artfynd/A 17348-2025 artfynd.xlsx", "A 17348-2025")</f>
        <v/>
      </c>
      <c r="T60">
        <f>HYPERLINK("https://klasma.github.io/Logging_010115/kartor/A 17348-2025 karta.png", "A 17348-2025")</f>
        <v/>
      </c>
      <c r="V60">
        <f>HYPERLINK("https://klasma.github.io/Logging_010115/klagomål/A 17348-2025 FSC-klagomål.docx", "A 17348-2025")</f>
        <v/>
      </c>
      <c r="W60">
        <f>HYPERLINK("https://klasma.github.io/Logging_010115/klagomålsmail/A 17348-2025 FSC-klagomål mail.docx", "A 17348-2025")</f>
        <v/>
      </c>
      <c r="X60">
        <f>HYPERLINK("https://klasma.github.io/Logging_010115/tillsyn/A 17348-2025 tillsynsbegäran.docx", "A 17348-2025")</f>
        <v/>
      </c>
      <c r="Y60">
        <f>HYPERLINK("https://klasma.github.io/Logging_010115/tillsynsmail/A 17348-2025 tillsynsbegäran mail.docx", "A 17348-2025")</f>
        <v/>
      </c>
    </row>
    <row r="61" ht="15" customHeight="1">
      <c r="A61" t="inlineStr">
        <is>
          <t>A 19198-2019</t>
        </is>
      </c>
      <c r="B61" s="1" t="n">
        <v>43564</v>
      </c>
      <c r="C61" s="1" t="n">
        <v>45765</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45765</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45765</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45765</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45765</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45765</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45765</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45765</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45765</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45765</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45765</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45765</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45765</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45765</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45765</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45765</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45765</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45765</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45765</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45765</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45765</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45765</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45765</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45765</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45765</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45765</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45765</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45765</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45765</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45765</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45765</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45765</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45765</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45765</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45765</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45765</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45765</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45765</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45765</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45765</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45765</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45765</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45765</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45765</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45765</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45765</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45765</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45765</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45765</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45765</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45765</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45765</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45765</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45765</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45765</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45765</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45765</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45765</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45765</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45765</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45765</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45765</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45765</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45765</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45765</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45765</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45765</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45765</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45765</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45765</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45765</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45765</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45765</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45765</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45765</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45765</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45765</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45765</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45765</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45765</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45765</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45765</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45765</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45765</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45765</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45765</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45765</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45765</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45765</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45765</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45765</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45765</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45765</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45765</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45765</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45765</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45765</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45765</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45765</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45765</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45765</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45765</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45765</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45765</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45765</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45765</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45765</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45765</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45765</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45765</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45765</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45765</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45765</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45765</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45765</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45765</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45765</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45765</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45765</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45765</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45765</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45765</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45765</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45765</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45765</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45765</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45765</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45765</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45765</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45765</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45765</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45765</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45765</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45765</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45765</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45765</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45765</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45765</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45765</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45765</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45765</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45765</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45765</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45765</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45765</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45765</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45765</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45765</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45765</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45765</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45765</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45765</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45765</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45765</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45765</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45765</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45765</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45765</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45765</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45765</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45765</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45765</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45765</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45765</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45765</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45765</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45765</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45765</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45765</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45765</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45765</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45765</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45765</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45765</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45765</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45765</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45765</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45765</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45765</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45765</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45765</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45765</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45765</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45765</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45765</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45765</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45765</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45765</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45765</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45765</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45765</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45765</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45765</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45765</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45765</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45765</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45765</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45765</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45765</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45765</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45765</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45765</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45765</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45765</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45765</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45765</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45765</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45765</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45765</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45765</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45765</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45765</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45765</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45765</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45765</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45765</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45765</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45765</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45765</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45765</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45765</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45765</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45765</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45765</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45765</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45765</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45765</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45765</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45765</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ht="15" customHeight="1">
      <c r="A290" t="inlineStr">
        <is>
          <t>A 17342-2025</t>
        </is>
      </c>
      <c r="B290" s="1" t="n">
        <v>45756</v>
      </c>
      <c r="C290" s="1" t="n">
        <v>45765</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row r="291" ht="15" customHeight="1">
      <c r="A291" t="inlineStr">
        <is>
          <t>A 17721-2025</t>
        </is>
      </c>
      <c r="B291" s="1" t="n">
        <v>45758</v>
      </c>
      <c r="C291" s="1" t="n">
        <v>45765</v>
      </c>
      <c r="D291" t="inlineStr">
        <is>
          <t>STOCKHOLMS LÄN</t>
        </is>
      </c>
      <c r="E291" t="inlineStr">
        <is>
          <t>VALLENTUNA</t>
        </is>
      </c>
      <c r="G291" t="n">
        <v>6.4</v>
      </c>
      <c r="H291" t="n">
        <v>0</v>
      </c>
      <c r="I291" t="n">
        <v>0</v>
      </c>
      <c r="J291" t="n">
        <v>0</v>
      </c>
      <c r="K291" t="n">
        <v>0</v>
      </c>
      <c r="L291" t="n">
        <v>0</v>
      </c>
      <c r="M291" t="n">
        <v>0</v>
      </c>
      <c r="N291" t="n">
        <v>0</v>
      </c>
      <c r="O291" t="n">
        <v>0</v>
      </c>
      <c r="P291" t="n">
        <v>0</v>
      </c>
      <c r="Q291" t="n">
        <v>0</v>
      </c>
      <c r="R291" s="2" t="inlineStr"/>
    </row>
    <row r="292" ht="15" customHeight="1">
      <c r="A292" t="inlineStr">
        <is>
          <t>A 17632-2025</t>
        </is>
      </c>
      <c r="B292" s="1" t="n">
        <v>45758</v>
      </c>
      <c r="C292" s="1" t="n">
        <v>45765</v>
      </c>
      <c r="D292" t="inlineStr">
        <is>
          <t>STOCKHOLMS LÄN</t>
        </is>
      </c>
      <c r="E292" t="inlineStr">
        <is>
          <t>VALLENTUNA</t>
        </is>
      </c>
      <c r="G292" t="n">
        <v>2.4</v>
      </c>
      <c r="H292" t="n">
        <v>0</v>
      </c>
      <c r="I292" t="n">
        <v>0</v>
      </c>
      <c r="J292" t="n">
        <v>0</v>
      </c>
      <c r="K292" t="n">
        <v>0</v>
      </c>
      <c r="L292" t="n">
        <v>0</v>
      </c>
      <c r="M292" t="n">
        <v>0</v>
      </c>
      <c r="N292" t="n">
        <v>0</v>
      </c>
      <c r="O292" t="n">
        <v>0</v>
      </c>
      <c r="P292" t="n">
        <v>0</v>
      </c>
      <c r="Q292" t="n">
        <v>0</v>
      </c>
      <c r="R292" s="2" t="inlineStr"/>
    </row>
    <row r="293" ht="15" customHeight="1">
      <c r="A293" t="inlineStr">
        <is>
          <t>A 17633-2025</t>
        </is>
      </c>
      <c r="B293" s="1" t="n">
        <v>45758</v>
      </c>
      <c r="C293" s="1" t="n">
        <v>45765</v>
      </c>
      <c r="D293" t="inlineStr">
        <is>
          <t>STOCKHOLMS LÄN</t>
        </is>
      </c>
      <c r="E293" t="inlineStr">
        <is>
          <t>VALLENTUNA</t>
        </is>
      </c>
      <c r="G293" t="n">
        <v>0.9</v>
      </c>
      <c r="H293" t="n">
        <v>0</v>
      </c>
      <c r="I293" t="n">
        <v>0</v>
      </c>
      <c r="J293" t="n">
        <v>0</v>
      </c>
      <c r="K293" t="n">
        <v>0</v>
      </c>
      <c r="L293" t="n">
        <v>0</v>
      </c>
      <c r="M293" t="n">
        <v>0</v>
      </c>
      <c r="N293" t="n">
        <v>0</v>
      </c>
      <c r="O293" t="n">
        <v>0</v>
      </c>
      <c r="P293" t="n">
        <v>0</v>
      </c>
      <c r="Q293" t="n">
        <v>0</v>
      </c>
      <c r="R293" s="2" t="inlineStr"/>
    </row>
    <row r="294" ht="15" customHeight="1">
      <c r="A294" t="inlineStr">
        <is>
          <t>A 18012-2025</t>
        </is>
      </c>
      <c r="B294" s="1" t="n">
        <v>45761</v>
      </c>
      <c r="C294" s="1" t="n">
        <v>45765</v>
      </c>
      <c r="D294" t="inlineStr">
        <is>
          <t>STOCKHOLMS LÄN</t>
        </is>
      </c>
      <c r="E294" t="inlineStr">
        <is>
          <t>VALLENTUNA</t>
        </is>
      </c>
      <c r="G294" t="n">
        <v>3.1</v>
      </c>
      <c r="H294" t="n">
        <v>0</v>
      </c>
      <c r="I294" t="n">
        <v>0</v>
      </c>
      <c r="J294" t="n">
        <v>0</v>
      </c>
      <c r="K294" t="n">
        <v>0</v>
      </c>
      <c r="L294" t="n">
        <v>0</v>
      </c>
      <c r="M294" t="n">
        <v>0</v>
      </c>
      <c r="N294" t="n">
        <v>0</v>
      </c>
      <c r="O294" t="n">
        <v>0</v>
      </c>
      <c r="P294" t="n">
        <v>0</v>
      </c>
      <c r="Q294" t="n">
        <v>0</v>
      </c>
      <c r="R294" s="2" t="inlineStr"/>
    </row>
    <row r="295" ht="15" customHeight="1">
      <c r="A295" t="inlineStr">
        <is>
          <t>A 18446-2025</t>
        </is>
      </c>
      <c r="B295" s="1" t="n">
        <v>45762</v>
      </c>
      <c r="C295" s="1" t="n">
        <v>45765</v>
      </c>
      <c r="D295" t="inlineStr">
        <is>
          <t>STOCKHOLMS LÄN</t>
        </is>
      </c>
      <c r="E295" t="inlineStr">
        <is>
          <t>VALLENTUNA</t>
        </is>
      </c>
      <c r="G295" t="n">
        <v>3.7</v>
      </c>
      <c r="H295" t="n">
        <v>0</v>
      </c>
      <c r="I295" t="n">
        <v>0</v>
      </c>
      <c r="J295" t="n">
        <v>0</v>
      </c>
      <c r="K295" t="n">
        <v>0</v>
      </c>
      <c r="L295" t="n">
        <v>0</v>
      </c>
      <c r="M295" t="n">
        <v>0</v>
      </c>
      <c r="N295" t="n">
        <v>0</v>
      </c>
      <c r="O295" t="n">
        <v>0</v>
      </c>
      <c r="P295" t="n">
        <v>0</v>
      </c>
      <c r="Q295" t="n">
        <v>0</v>
      </c>
      <c r="R295" s="2" t="inlineStr"/>
    </row>
    <row r="296" ht="15" customHeight="1">
      <c r="A296" t="inlineStr">
        <is>
          <t>A 18832-2025</t>
        </is>
      </c>
      <c r="B296" s="1" t="n">
        <v>45764</v>
      </c>
      <c r="C296" s="1" t="n">
        <v>45765</v>
      </c>
      <c r="D296" t="inlineStr">
        <is>
          <t>STOCKHOLMS LÄN</t>
        </is>
      </c>
      <c r="E296" t="inlineStr">
        <is>
          <t>VALLENTUNA</t>
        </is>
      </c>
      <c r="G296" t="n">
        <v>2.7</v>
      </c>
      <c r="H296" t="n">
        <v>0</v>
      </c>
      <c r="I296" t="n">
        <v>0</v>
      </c>
      <c r="J296" t="n">
        <v>0</v>
      </c>
      <c r="K296" t="n">
        <v>0</v>
      </c>
      <c r="L296" t="n">
        <v>0</v>
      </c>
      <c r="M296" t="n">
        <v>0</v>
      </c>
      <c r="N296" t="n">
        <v>0</v>
      </c>
      <c r="O296" t="n">
        <v>0</v>
      </c>
      <c r="P296" t="n">
        <v>0</v>
      </c>
      <c r="Q296" t="n">
        <v>0</v>
      </c>
      <c r="R296" s="2" t="inlineStr"/>
    </row>
    <row r="297">
      <c r="A297" t="inlineStr">
        <is>
          <t>A 18847-2025</t>
        </is>
      </c>
      <c r="B297" s="1" t="n">
        <v>45764</v>
      </c>
      <c r="C297" s="1" t="n">
        <v>45765</v>
      </c>
      <c r="D297" t="inlineStr">
        <is>
          <t>STOCKHOLMS LÄN</t>
        </is>
      </c>
      <c r="E297" t="inlineStr">
        <is>
          <t>VALLENTUNA</t>
        </is>
      </c>
      <c r="G297" t="n">
        <v>1.1</v>
      </c>
      <c r="H297" t="n">
        <v>0</v>
      </c>
      <c r="I297" t="n">
        <v>0</v>
      </c>
      <c r="J297" t="n">
        <v>0</v>
      </c>
      <c r="K297" t="n">
        <v>0</v>
      </c>
      <c r="L297" t="n">
        <v>0</v>
      </c>
      <c r="M297" t="n">
        <v>0</v>
      </c>
      <c r="N297" t="n">
        <v>0</v>
      </c>
      <c r="O297" t="n">
        <v>0</v>
      </c>
      <c r="P297" t="n">
        <v>0</v>
      </c>
      <c r="Q297" t="n">
        <v>0</v>
      </c>
      <c r="R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2025-04-18T16:36:11Z</dcterms:created>
  <dcterms:modified xmlns:dcterms="http://purl.org/dc/terms/" xmlns:xsi="http://www.w3.org/2001/XMLSchema-instance" xsi:type="dcterms:W3CDTF">2025-04-18T16:36:11Z</dcterms:modified>
</cp:coreProperties>
</file>