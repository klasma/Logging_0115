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45995</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45995</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45995</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45995</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45995</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45995</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45995</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45995</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45995</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45995</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45995</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45995</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34460-2023</t>
        </is>
      </c>
      <c r="B25" s="1" t="n">
        <v>45139</v>
      </c>
      <c r="C25" s="1" t="n">
        <v>45995</v>
      </c>
      <c r="D25" t="inlineStr">
        <is>
          <t>STOCKHOLMS LÄN</t>
        </is>
      </c>
      <c r="E25" t="inlineStr">
        <is>
          <t>VALLENTUNA</t>
        </is>
      </c>
      <c r="G25" t="n">
        <v>1.7</v>
      </c>
      <c r="H25" t="n">
        <v>0</v>
      </c>
      <c r="I25" t="n">
        <v>0</v>
      </c>
      <c r="J25" t="n">
        <v>1</v>
      </c>
      <c r="K25" t="n">
        <v>0</v>
      </c>
      <c r="L25" t="n">
        <v>0</v>
      </c>
      <c r="M25" t="n">
        <v>0</v>
      </c>
      <c r="N25" t="n">
        <v>0</v>
      </c>
      <c r="O25" t="n">
        <v>1</v>
      </c>
      <c r="P25" t="n">
        <v>0</v>
      </c>
      <c r="Q25" t="n">
        <v>1</v>
      </c>
      <c r="R25" s="2" t="inlineStr">
        <is>
          <t>Orange taggsvamp</t>
        </is>
      </c>
      <c r="S25">
        <f>HYPERLINK("https://klasma.github.io/Logging_0115/artfynd/A 34460-2023 artfynd.xlsx", "A 34460-2023")</f>
        <v/>
      </c>
      <c r="T25">
        <f>HYPERLINK("https://klasma.github.io/Logging_0115/kartor/A 34460-2023 karta.png", "A 34460-2023")</f>
        <v/>
      </c>
      <c r="V25">
        <f>HYPERLINK("https://klasma.github.io/Logging_0115/klagomål/A 34460-2023 FSC-klagomål.docx", "A 34460-2023")</f>
        <v/>
      </c>
      <c r="W25">
        <f>HYPERLINK("https://klasma.github.io/Logging_0115/klagomålsmail/A 34460-2023 FSC-klagomål mail.docx", "A 34460-2023")</f>
        <v/>
      </c>
      <c r="X25">
        <f>HYPERLINK("https://klasma.github.io/Logging_0115/tillsyn/A 34460-2023 tillsynsbegäran.docx", "A 34460-2023")</f>
        <v/>
      </c>
      <c r="Y25">
        <f>HYPERLINK("https://klasma.github.io/Logging_0115/tillsynsmail/A 34460-2023 tillsynsbegäran mail.docx", "A 34460-2023")</f>
        <v/>
      </c>
    </row>
    <row r="26" ht="15" customHeight="1">
      <c r="A26" t="inlineStr">
        <is>
          <t>A 8817-2025</t>
        </is>
      </c>
      <c r="B26" s="1" t="n">
        <v>45712.70987268518</v>
      </c>
      <c r="C26" s="1" t="n">
        <v>45995</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7890-2023</t>
        </is>
      </c>
      <c r="B27" s="1" t="n">
        <v>44973</v>
      </c>
      <c r="C27" s="1" t="n">
        <v>45995</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14508-2024</t>
        </is>
      </c>
      <c r="B28" s="1" t="n">
        <v>45394.61583333334</v>
      </c>
      <c r="C28" s="1" t="n">
        <v>45995</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45995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45995</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45995</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21439-2025</t>
        </is>
      </c>
      <c r="B32" s="1" t="n">
        <v>45782.52939814814</v>
      </c>
      <c r="C32" s="1" t="n">
        <v>45995</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21-2022</t>
        </is>
      </c>
      <c r="B33" s="1" t="n">
        <v>44560</v>
      </c>
      <c r="C33" s="1" t="n">
        <v>45995</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22936-2025</t>
        </is>
      </c>
      <c r="B34" s="1" t="n">
        <v>45790.45738425926</v>
      </c>
      <c r="C34" s="1" t="n">
        <v>45995</v>
      </c>
      <c r="D34" t="inlineStr">
        <is>
          <t>STOCKHOLMS LÄN</t>
        </is>
      </c>
      <c r="E34" t="inlineStr">
        <is>
          <t>VALLENTUNA</t>
        </is>
      </c>
      <c r="G34" t="n">
        <v>2.7</v>
      </c>
      <c r="H34" t="n">
        <v>0</v>
      </c>
      <c r="I34" t="n">
        <v>1</v>
      </c>
      <c r="J34" t="n">
        <v>0</v>
      </c>
      <c r="K34" t="n">
        <v>0</v>
      </c>
      <c r="L34" t="n">
        <v>0</v>
      </c>
      <c r="M34" t="n">
        <v>0</v>
      </c>
      <c r="N34" t="n">
        <v>0</v>
      </c>
      <c r="O34" t="n">
        <v>0</v>
      </c>
      <c r="P34" t="n">
        <v>0</v>
      </c>
      <c r="Q34" t="n">
        <v>1</v>
      </c>
      <c r="R34" s="2" t="inlineStr">
        <is>
          <t>Björksplintborre</t>
        </is>
      </c>
      <c r="S34">
        <f>HYPERLINK("https://klasma.github.io/Logging_0115/artfynd/A 22936-2025 artfynd.xlsx", "A 22936-2025")</f>
        <v/>
      </c>
      <c r="T34">
        <f>HYPERLINK("https://klasma.github.io/Logging_0115/kartor/A 22936-2025 karta.png", "A 22936-2025")</f>
        <v/>
      </c>
      <c r="V34">
        <f>HYPERLINK("https://klasma.github.io/Logging_0115/klagomål/A 22936-2025 FSC-klagomål.docx", "A 22936-2025")</f>
        <v/>
      </c>
      <c r="W34">
        <f>HYPERLINK("https://klasma.github.io/Logging_0115/klagomålsmail/A 22936-2025 FSC-klagomål mail.docx", "A 22936-2025")</f>
        <v/>
      </c>
      <c r="X34">
        <f>HYPERLINK("https://klasma.github.io/Logging_0115/tillsyn/A 22936-2025 tillsynsbegäran.docx", "A 22936-2025")</f>
        <v/>
      </c>
      <c r="Y34">
        <f>HYPERLINK("https://klasma.github.io/Logging_0115/tillsynsmail/A 22936-2025 tillsynsbegäran mail.docx", "A 22936-2025")</f>
        <v/>
      </c>
    </row>
    <row r="35" ht="15" customHeight="1">
      <c r="A35" t="inlineStr">
        <is>
          <t>A 17341-2025</t>
        </is>
      </c>
      <c r="B35" s="1" t="n">
        <v>45756</v>
      </c>
      <c r="C35" s="1" t="n">
        <v>45995</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34458-2023</t>
        </is>
      </c>
      <c r="B36" s="1" t="n">
        <v>45139</v>
      </c>
      <c r="C36" s="1" t="n">
        <v>45995</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20612-2021</t>
        </is>
      </c>
      <c r="B37" s="1" t="n">
        <v>44315</v>
      </c>
      <c r="C37" s="1" t="n">
        <v>45995</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45995</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45995</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45995</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45995</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45995</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45995</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45995</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45995</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45995</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45995</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45995</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45995</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45995</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45995</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45995</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45995</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45995</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45995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34441-2023</t>
        </is>
      </c>
      <c r="B58" s="1" t="n">
        <v>45139</v>
      </c>
      <c r="C58" s="1" t="n">
        <v>45995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34445-2023</t>
        </is>
      </c>
      <c r="B59" s="1" t="n">
        <v>45139</v>
      </c>
      <c r="C59" s="1" t="n">
        <v>45995</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23986-2023</t>
        </is>
      </c>
      <c r="B60" s="1" t="n">
        <v>45078</v>
      </c>
      <c r="C60" s="1" t="n">
        <v>45995</v>
      </c>
      <c r="D60" t="inlineStr">
        <is>
          <t>STOCKHOLMS LÄN</t>
        </is>
      </c>
      <c r="E60" t="inlineStr">
        <is>
          <t>VALLENTUNA</t>
        </is>
      </c>
      <c r="F60" t="inlineStr">
        <is>
          <t>Kyrkan</t>
        </is>
      </c>
      <c r="G60" t="n">
        <v>5.7</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45995</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15300-2023</t>
        </is>
      </c>
      <c r="B62" s="1" t="n">
        <v>45019</v>
      </c>
      <c r="C62" s="1" t="n">
        <v>45995</v>
      </c>
      <c r="D62" t="inlineStr">
        <is>
          <t>STOCKHOLMS LÄN</t>
        </is>
      </c>
      <c r="E62" t="inlineStr">
        <is>
          <t>VALLENTUNA</t>
        </is>
      </c>
      <c r="G62" t="n">
        <v>1.7</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45995</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24994-2021</t>
        </is>
      </c>
      <c r="B64" s="1" t="n">
        <v>44341</v>
      </c>
      <c r="C64" s="1" t="n">
        <v>45995</v>
      </c>
      <c r="D64" t="inlineStr">
        <is>
          <t>STOCKHOLMS LÄN</t>
        </is>
      </c>
      <c r="E64" t="inlineStr">
        <is>
          <t>VALLENTUNA</t>
        </is>
      </c>
      <c r="G64" t="n">
        <v>2.6</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45995</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21612-2021</t>
        </is>
      </c>
      <c r="B66" s="1" t="n">
        <v>44321</v>
      </c>
      <c r="C66" s="1" t="n">
        <v>45995</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8077-2022</t>
        </is>
      </c>
      <c r="B67" s="1" t="n">
        <v>44609</v>
      </c>
      <c r="C67" s="1" t="n">
        <v>45995</v>
      </c>
      <c r="D67" t="inlineStr">
        <is>
          <t>STOCKHOLMS LÄN</t>
        </is>
      </c>
      <c r="E67" t="inlineStr">
        <is>
          <t>VALLENTUNA</t>
        </is>
      </c>
      <c r="G67" t="n">
        <v>1.3</v>
      </c>
      <c r="H67" t="n">
        <v>0</v>
      </c>
      <c r="I67" t="n">
        <v>0</v>
      </c>
      <c r="J67" t="n">
        <v>0</v>
      </c>
      <c r="K67" t="n">
        <v>0</v>
      </c>
      <c r="L67" t="n">
        <v>0</v>
      </c>
      <c r="M67" t="n">
        <v>0</v>
      </c>
      <c r="N67" t="n">
        <v>0</v>
      </c>
      <c r="O67" t="n">
        <v>0</v>
      </c>
      <c r="P67" t="n">
        <v>0</v>
      </c>
      <c r="Q67" t="n">
        <v>0</v>
      </c>
      <c r="R67" s="2" t="inlineStr"/>
    </row>
    <row r="68" ht="15" customHeight="1">
      <c r="A68" t="inlineStr">
        <is>
          <t>A 13836-2022</t>
        </is>
      </c>
      <c r="B68" s="1" t="n">
        <v>44649</v>
      </c>
      <c r="C68" s="1" t="n">
        <v>45995</v>
      </c>
      <c r="D68" t="inlineStr">
        <is>
          <t>STOCKHOLMS LÄN</t>
        </is>
      </c>
      <c r="E68" t="inlineStr">
        <is>
          <t>VALLENTUNA</t>
        </is>
      </c>
      <c r="G68" t="n">
        <v>3.5</v>
      </c>
      <c r="H68" t="n">
        <v>0</v>
      </c>
      <c r="I68" t="n">
        <v>0</v>
      </c>
      <c r="J68" t="n">
        <v>0</v>
      </c>
      <c r="K68" t="n">
        <v>0</v>
      </c>
      <c r="L68" t="n">
        <v>0</v>
      </c>
      <c r="M68" t="n">
        <v>0</v>
      </c>
      <c r="N68" t="n">
        <v>0</v>
      </c>
      <c r="O68" t="n">
        <v>0</v>
      </c>
      <c r="P68" t="n">
        <v>0</v>
      </c>
      <c r="Q68" t="n">
        <v>0</v>
      </c>
      <c r="R68" s="2" t="inlineStr"/>
    </row>
    <row r="69" ht="15" customHeight="1">
      <c r="A69" t="inlineStr">
        <is>
          <t>A 19503-2023</t>
        </is>
      </c>
      <c r="B69" s="1" t="n">
        <v>45050.47333333334</v>
      </c>
      <c r="C69" s="1" t="n">
        <v>45995</v>
      </c>
      <c r="D69" t="inlineStr">
        <is>
          <t>STOCKHOLMS LÄN</t>
        </is>
      </c>
      <c r="E69" t="inlineStr">
        <is>
          <t>VALLENTUNA</t>
        </is>
      </c>
      <c r="G69" t="n">
        <v>0.7</v>
      </c>
      <c r="H69" t="n">
        <v>0</v>
      </c>
      <c r="I69" t="n">
        <v>0</v>
      </c>
      <c r="J69" t="n">
        <v>0</v>
      </c>
      <c r="K69" t="n">
        <v>0</v>
      </c>
      <c r="L69" t="n">
        <v>0</v>
      </c>
      <c r="M69" t="n">
        <v>0</v>
      </c>
      <c r="N69" t="n">
        <v>0</v>
      </c>
      <c r="O69" t="n">
        <v>0</v>
      </c>
      <c r="P69" t="n">
        <v>0</v>
      </c>
      <c r="Q69" t="n">
        <v>0</v>
      </c>
      <c r="R69" s="2" t="inlineStr"/>
    </row>
    <row r="70" ht="15" customHeight="1">
      <c r="A70" t="inlineStr">
        <is>
          <t>A 3078-2023</t>
        </is>
      </c>
      <c r="B70" s="1" t="n">
        <v>44946.41527777778</v>
      </c>
      <c r="C70" s="1" t="n">
        <v>45995</v>
      </c>
      <c r="D70" t="inlineStr">
        <is>
          <t>STOCKHOLMS LÄN</t>
        </is>
      </c>
      <c r="E70" t="inlineStr">
        <is>
          <t>VALLENTUNA</t>
        </is>
      </c>
      <c r="G70" t="n">
        <v>3.9</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45995</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45995</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21765-2023</t>
        </is>
      </c>
      <c r="B73" s="1" t="n">
        <v>45064</v>
      </c>
      <c r="C73" s="1" t="n">
        <v>45995</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45496-2023</t>
        </is>
      </c>
      <c r="B74" s="1" t="n">
        <v>45194</v>
      </c>
      <c r="C74" s="1" t="n">
        <v>45995</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45499-2023</t>
        </is>
      </c>
      <c r="B75" s="1" t="n">
        <v>45194</v>
      </c>
      <c r="C75" s="1" t="n">
        <v>45995</v>
      </c>
      <c r="D75" t="inlineStr">
        <is>
          <t>STOCKHOLMS LÄN</t>
        </is>
      </c>
      <c r="E75" t="inlineStr">
        <is>
          <t>VALLENTUNA</t>
        </is>
      </c>
      <c r="G75" t="n">
        <v>2.5</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45995</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41206-2025</t>
        </is>
      </c>
      <c r="B77" s="1" t="n">
        <v>45898</v>
      </c>
      <c r="C77" s="1" t="n">
        <v>45995</v>
      </c>
      <c r="D77" t="inlineStr">
        <is>
          <t>STOCKHOLMS LÄN</t>
        </is>
      </c>
      <c r="E77" t="inlineStr">
        <is>
          <t>VALLENTUNA</t>
        </is>
      </c>
      <c r="G77" t="n">
        <v>10</v>
      </c>
      <c r="H77" t="n">
        <v>0</v>
      </c>
      <c r="I77" t="n">
        <v>0</v>
      </c>
      <c r="J77" t="n">
        <v>0</v>
      </c>
      <c r="K77" t="n">
        <v>0</v>
      </c>
      <c r="L77" t="n">
        <v>0</v>
      </c>
      <c r="M77" t="n">
        <v>0</v>
      </c>
      <c r="N77" t="n">
        <v>0</v>
      </c>
      <c r="O77" t="n">
        <v>0</v>
      </c>
      <c r="P77" t="n">
        <v>0</v>
      </c>
      <c r="Q77" t="n">
        <v>0</v>
      </c>
      <c r="R77" s="2" t="inlineStr"/>
    </row>
    <row r="78" ht="15" customHeight="1">
      <c r="A78" t="inlineStr">
        <is>
          <t>A 14782-2024</t>
        </is>
      </c>
      <c r="B78" s="1" t="n">
        <v>45397.74266203704</v>
      </c>
      <c r="C78" s="1" t="n">
        <v>45995</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45995</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21445-2023</t>
        </is>
      </c>
      <c r="B80" s="1" t="n">
        <v>45063</v>
      </c>
      <c r="C80" s="1" t="n">
        <v>45995</v>
      </c>
      <c r="D80" t="inlineStr">
        <is>
          <t>STOCKHOLMS LÄN</t>
        </is>
      </c>
      <c r="E80" t="inlineStr">
        <is>
          <t>VALLENTUNA</t>
        </is>
      </c>
      <c r="G80" t="n">
        <v>3.1</v>
      </c>
      <c r="H80" t="n">
        <v>0</v>
      </c>
      <c r="I80" t="n">
        <v>0</v>
      </c>
      <c r="J80" t="n">
        <v>0</v>
      </c>
      <c r="K80" t="n">
        <v>0</v>
      </c>
      <c r="L80" t="n">
        <v>0</v>
      </c>
      <c r="M80" t="n">
        <v>0</v>
      </c>
      <c r="N80" t="n">
        <v>0</v>
      </c>
      <c r="O80" t="n">
        <v>0</v>
      </c>
      <c r="P80" t="n">
        <v>0</v>
      </c>
      <c r="Q80" t="n">
        <v>0</v>
      </c>
      <c r="R80" s="2" t="inlineStr"/>
    </row>
    <row r="81" ht="15" customHeight="1">
      <c r="A81" t="inlineStr">
        <is>
          <t>A 22683-2023</t>
        </is>
      </c>
      <c r="B81" s="1" t="n">
        <v>45071</v>
      </c>
      <c r="C81" s="1" t="n">
        <v>45995</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1385-2024</t>
        </is>
      </c>
      <c r="B82" s="1" t="n">
        <v>45303</v>
      </c>
      <c r="C82" s="1" t="n">
        <v>45995</v>
      </c>
      <c r="D82" t="inlineStr">
        <is>
          <t>STOCKHOLMS LÄN</t>
        </is>
      </c>
      <c r="E82" t="inlineStr">
        <is>
          <t>VALLENTUNA</t>
        </is>
      </c>
      <c r="G82" t="n">
        <v>2.6</v>
      </c>
      <c r="H82" t="n">
        <v>0</v>
      </c>
      <c r="I82" t="n">
        <v>0</v>
      </c>
      <c r="J82" t="n">
        <v>0</v>
      </c>
      <c r="K82" t="n">
        <v>0</v>
      </c>
      <c r="L82" t="n">
        <v>0</v>
      </c>
      <c r="M82" t="n">
        <v>0</v>
      </c>
      <c r="N82" t="n">
        <v>0</v>
      </c>
      <c r="O82" t="n">
        <v>0</v>
      </c>
      <c r="P82" t="n">
        <v>0</v>
      </c>
      <c r="Q82" t="n">
        <v>0</v>
      </c>
      <c r="R82" s="2" t="inlineStr"/>
    </row>
    <row r="83" ht="15" customHeight="1">
      <c r="A83" t="inlineStr">
        <is>
          <t>A 14775-2024</t>
        </is>
      </c>
      <c r="B83" s="1" t="n">
        <v>45397.73675925926</v>
      </c>
      <c r="C83" s="1" t="n">
        <v>45995</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24943-2024</t>
        </is>
      </c>
      <c r="B84" s="1" t="n">
        <v>45461.62585648148</v>
      </c>
      <c r="C84" s="1" t="n">
        <v>45995</v>
      </c>
      <c r="D84" t="inlineStr">
        <is>
          <t>STOCKHOLMS LÄN</t>
        </is>
      </c>
      <c r="E84" t="inlineStr">
        <is>
          <t>VALLENTUNA</t>
        </is>
      </c>
      <c r="G84" t="n">
        <v>2</v>
      </c>
      <c r="H84" t="n">
        <v>0</v>
      </c>
      <c r="I84" t="n">
        <v>0</v>
      </c>
      <c r="J84" t="n">
        <v>0</v>
      </c>
      <c r="K84" t="n">
        <v>0</v>
      </c>
      <c r="L84" t="n">
        <v>0</v>
      </c>
      <c r="M84" t="n">
        <v>0</v>
      </c>
      <c r="N84" t="n">
        <v>0</v>
      </c>
      <c r="O84" t="n">
        <v>0</v>
      </c>
      <c r="P84" t="n">
        <v>0</v>
      </c>
      <c r="Q84" t="n">
        <v>0</v>
      </c>
      <c r="R84" s="2" t="inlineStr"/>
    </row>
    <row r="85" ht="15" customHeight="1">
      <c r="A85" t="inlineStr">
        <is>
          <t>A 5910-2022</t>
        </is>
      </c>
      <c r="B85" s="1" t="n">
        <v>44597</v>
      </c>
      <c r="C85" s="1" t="n">
        <v>45995</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735-2024</t>
        </is>
      </c>
      <c r="B86" s="1" t="n">
        <v>45300</v>
      </c>
      <c r="C86" s="1" t="n">
        <v>45995</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17411-2023</t>
        </is>
      </c>
      <c r="B87" s="1" t="n">
        <v>45035.82512731481</v>
      </c>
      <c r="C87" s="1" t="n">
        <v>45995</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48068-2021</t>
        </is>
      </c>
      <c r="B88" s="1" t="n">
        <v>44449.42270833333</v>
      </c>
      <c r="C88" s="1" t="n">
        <v>45995</v>
      </c>
      <c r="D88" t="inlineStr">
        <is>
          <t>STOCKHOLMS LÄN</t>
        </is>
      </c>
      <c r="E88" t="inlineStr">
        <is>
          <t>VALLENTUNA</t>
        </is>
      </c>
      <c r="G88" t="n">
        <v>1.3</v>
      </c>
      <c r="H88" t="n">
        <v>0</v>
      </c>
      <c r="I88" t="n">
        <v>0</v>
      </c>
      <c r="J88" t="n">
        <v>0</v>
      </c>
      <c r="K88" t="n">
        <v>0</v>
      </c>
      <c r="L88" t="n">
        <v>0</v>
      </c>
      <c r="M88" t="n">
        <v>0</v>
      </c>
      <c r="N88" t="n">
        <v>0</v>
      </c>
      <c r="O88" t="n">
        <v>0</v>
      </c>
      <c r="P88" t="n">
        <v>0</v>
      </c>
      <c r="Q88" t="n">
        <v>0</v>
      </c>
      <c r="R88" s="2" t="inlineStr"/>
    </row>
    <row r="89" ht="15" customHeight="1">
      <c r="A89" t="inlineStr">
        <is>
          <t>A 3937-2022</t>
        </is>
      </c>
      <c r="B89" s="1" t="n">
        <v>44587</v>
      </c>
      <c r="C89" s="1" t="n">
        <v>45995</v>
      </c>
      <c r="D89" t="inlineStr">
        <is>
          <t>STOCKHOLMS LÄN</t>
        </is>
      </c>
      <c r="E89" t="inlineStr">
        <is>
          <t>VALLENTUNA</t>
        </is>
      </c>
      <c r="G89" t="n">
        <v>6.6</v>
      </c>
      <c r="H89" t="n">
        <v>0</v>
      </c>
      <c r="I89" t="n">
        <v>0</v>
      </c>
      <c r="J89" t="n">
        <v>0</v>
      </c>
      <c r="K89" t="n">
        <v>0</v>
      </c>
      <c r="L89" t="n">
        <v>0</v>
      </c>
      <c r="M89" t="n">
        <v>0</v>
      </c>
      <c r="N89" t="n">
        <v>0</v>
      </c>
      <c r="O89" t="n">
        <v>0</v>
      </c>
      <c r="P89" t="n">
        <v>0</v>
      </c>
      <c r="Q89" t="n">
        <v>0</v>
      </c>
      <c r="R89" s="2" t="inlineStr"/>
    </row>
    <row r="90" ht="15" customHeight="1">
      <c r="A90" t="inlineStr">
        <is>
          <t>A 60818-2023</t>
        </is>
      </c>
      <c r="B90" s="1" t="n">
        <v>45259</v>
      </c>
      <c r="C90" s="1" t="n">
        <v>45995</v>
      </c>
      <c r="D90" t="inlineStr">
        <is>
          <t>STOCKHOLMS LÄN</t>
        </is>
      </c>
      <c r="E90" t="inlineStr">
        <is>
          <t>VALLENTUNA</t>
        </is>
      </c>
      <c r="G90" t="n">
        <v>9.4</v>
      </c>
      <c r="H90" t="n">
        <v>0</v>
      </c>
      <c r="I90" t="n">
        <v>0</v>
      </c>
      <c r="J90" t="n">
        <v>0</v>
      </c>
      <c r="K90" t="n">
        <v>0</v>
      </c>
      <c r="L90" t="n">
        <v>0</v>
      </c>
      <c r="M90" t="n">
        <v>0</v>
      </c>
      <c r="N90" t="n">
        <v>0</v>
      </c>
      <c r="O90" t="n">
        <v>0</v>
      </c>
      <c r="P90" t="n">
        <v>0</v>
      </c>
      <c r="Q90" t="n">
        <v>0</v>
      </c>
      <c r="R90" s="2" t="inlineStr"/>
    </row>
    <row r="91" ht="15" customHeight="1">
      <c r="A91" t="inlineStr">
        <is>
          <t>A 26390-2023</t>
        </is>
      </c>
      <c r="B91" s="1" t="n">
        <v>45086</v>
      </c>
      <c r="C91" s="1" t="n">
        <v>45995</v>
      </c>
      <c r="D91" t="inlineStr">
        <is>
          <t>STOCKHOLMS LÄN</t>
        </is>
      </c>
      <c r="E91" t="inlineStr">
        <is>
          <t>VALLENTUNA</t>
        </is>
      </c>
      <c r="G91" t="n">
        <v>1.6</v>
      </c>
      <c r="H91" t="n">
        <v>0</v>
      </c>
      <c r="I91" t="n">
        <v>0</v>
      </c>
      <c r="J91" t="n">
        <v>0</v>
      </c>
      <c r="K91" t="n">
        <v>0</v>
      </c>
      <c r="L91" t="n">
        <v>0</v>
      </c>
      <c r="M91" t="n">
        <v>0</v>
      </c>
      <c r="N91" t="n">
        <v>0</v>
      </c>
      <c r="O91" t="n">
        <v>0</v>
      </c>
      <c r="P91" t="n">
        <v>0</v>
      </c>
      <c r="Q91" t="n">
        <v>0</v>
      </c>
      <c r="R91" s="2" t="inlineStr"/>
    </row>
    <row r="92" ht="15" customHeight="1">
      <c r="A92" t="inlineStr">
        <is>
          <t>A 7264-2022</t>
        </is>
      </c>
      <c r="B92" s="1" t="n">
        <v>44606</v>
      </c>
      <c r="C92" s="1" t="n">
        <v>45995</v>
      </c>
      <c r="D92" t="inlineStr">
        <is>
          <t>STOCKHOLMS LÄN</t>
        </is>
      </c>
      <c r="E92" t="inlineStr">
        <is>
          <t>VALLENTUNA</t>
        </is>
      </c>
      <c r="G92" t="n">
        <v>2.4</v>
      </c>
      <c r="H92" t="n">
        <v>0</v>
      </c>
      <c r="I92" t="n">
        <v>0</v>
      </c>
      <c r="J92" t="n">
        <v>0</v>
      </c>
      <c r="K92" t="n">
        <v>0</v>
      </c>
      <c r="L92" t="n">
        <v>0</v>
      </c>
      <c r="M92" t="n">
        <v>0</v>
      </c>
      <c r="N92" t="n">
        <v>0</v>
      </c>
      <c r="O92" t="n">
        <v>0</v>
      </c>
      <c r="P92" t="n">
        <v>0</v>
      </c>
      <c r="Q92" t="n">
        <v>0</v>
      </c>
      <c r="R92" s="2" t="inlineStr"/>
    </row>
    <row r="93" ht="15" customHeight="1">
      <c r="A93" t="inlineStr">
        <is>
          <t>A 68935-2020</t>
        </is>
      </c>
      <c r="B93" s="1" t="n">
        <v>44187</v>
      </c>
      <c r="C93" s="1" t="n">
        <v>45995</v>
      </c>
      <c r="D93" t="inlineStr">
        <is>
          <t>STOCKHOLMS LÄN</t>
        </is>
      </c>
      <c r="E93" t="inlineStr">
        <is>
          <t>VALLENTUNA</t>
        </is>
      </c>
      <c r="G93" t="n">
        <v>7.8</v>
      </c>
      <c r="H93" t="n">
        <v>0</v>
      </c>
      <c r="I93" t="n">
        <v>0</v>
      </c>
      <c r="J93" t="n">
        <v>0</v>
      </c>
      <c r="K93" t="n">
        <v>0</v>
      </c>
      <c r="L93" t="n">
        <v>0</v>
      </c>
      <c r="M93" t="n">
        <v>0</v>
      </c>
      <c r="N93" t="n">
        <v>0</v>
      </c>
      <c r="O93" t="n">
        <v>0</v>
      </c>
      <c r="P93" t="n">
        <v>0</v>
      </c>
      <c r="Q93" t="n">
        <v>0</v>
      </c>
      <c r="R93" s="2" t="inlineStr"/>
    </row>
    <row r="94" ht="15" customHeight="1">
      <c r="A94" t="inlineStr">
        <is>
          <t>A 44988-2025</t>
        </is>
      </c>
      <c r="B94" s="1" t="n">
        <v>45918.65505787037</v>
      </c>
      <c r="C94" s="1" t="n">
        <v>45995</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19356-2025</t>
        </is>
      </c>
      <c r="B95" s="1" t="n">
        <v>45769.62061342593</v>
      </c>
      <c r="C95" s="1" t="n">
        <v>45995</v>
      </c>
      <c r="D95" t="inlineStr">
        <is>
          <t>STOCKHOLMS LÄN</t>
        </is>
      </c>
      <c r="E95" t="inlineStr">
        <is>
          <t>VALLENTUNA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12562-2023</t>
        </is>
      </c>
      <c r="B96" s="1" t="n">
        <v>45000</v>
      </c>
      <c r="C96" s="1" t="n">
        <v>45995</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27868-2025</t>
        </is>
      </c>
      <c r="B97" s="1" t="n">
        <v>45817</v>
      </c>
      <c r="C97" s="1" t="n">
        <v>45995</v>
      </c>
      <c r="D97" t="inlineStr">
        <is>
          <t>STOCKHOLMS LÄN</t>
        </is>
      </c>
      <c r="E97" t="inlineStr">
        <is>
          <t>VALLENTUNA</t>
        </is>
      </c>
      <c r="G97" t="n">
        <v>2.1</v>
      </c>
      <c r="H97" t="n">
        <v>0</v>
      </c>
      <c r="I97" t="n">
        <v>0</v>
      </c>
      <c r="J97" t="n">
        <v>0</v>
      </c>
      <c r="K97" t="n">
        <v>0</v>
      </c>
      <c r="L97" t="n">
        <v>0</v>
      </c>
      <c r="M97" t="n">
        <v>0</v>
      </c>
      <c r="N97" t="n">
        <v>0</v>
      </c>
      <c r="O97" t="n">
        <v>0</v>
      </c>
      <c r="P97" t="n">
        <v>0</v>
      </c>
      <c r="Q97" t="n">
        <v>0</v>
      </c>
      <c r="R97" s="2" t="inlineStr"/>
    </row>
    <row r="98" ht="15" customHeight="1">
      <c r="A98" t="inlineStr">
        <is>
          <t>A 54460-2025</t>
        </is>
      </c>
      <c r="B98" s="1" t="n">
        <v>45965.56219907408</v>
      </c>
      <c r="C98" s="1" t="n">
        <v>45995</v>
      </c>
      <c r="D98" t="inlineStr">
        <is>
          <t>STOCKHOLMS LÄN</t>
        </is>
      </c>
      <c r="E98" t="inlineStr">
        <is>
          <t>VALLENTUNA</t>
        </is>
      </c>
      <c r="G98" t="n">
        <v>22.9</v>
      </c>
      <c r="H98" t="n">
        <v>0</v>
      </c>
      <c r="I98" t="n">
        <v>0</v>
      </c>
      <c r="J98" t="n">
        <v>0</v>
      </c>
      <c r="K98" t="n">
        <v>0</v>
      </c>
      <c r="L98" t="n">
        <v>0</v>
      </c>
      <c r="M98" t="n">
        <v>0</v>
      </c>
      <c r="N98" t="n">
        <v>0</v>
      </c>
      <c r="O98" t="n">
        <v>0</v>
      </c>
      <c r="P98" t="n">
        <v>0</v>
      </c>
      <c r="Q98" t="n">
        <v>0</v>
      </c>
      <c r="R98" s="2" t="inlineStr"/>
    </row>
    <row r="99" ht="15" customHeight="1">
      <c r="A99" t="inlineStr">
        <is>
          <t>A 54466-2025</t>
        </is>
      </c>
      <c r="B99" s="1" t="n">
        <v>45965.56984953704</v>
      </c>
      <c r="C99" s="1" t="n">
        <v>45995</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27870-2025</t>
        </is>
      </c>
      <c r="B100" s="1" t="n">
        <v>45817</v>
      </c>
      <c r="C100" s="1" t="n">
        <v>45995</v>
      </c>
      <c r="D100" t="inlineStr">
        <is>
          <t>STOCKHOLMS LÄN</t>
        </is>
      </c>
      <c r="E100" t="inlineStr">
        <is>
          <t>VALLENTUNA</t>
        </is>
      </c>
      <c r="G100" t="n">
        <v>2.3</v>
      </c>
      <c r="H100" t="n">
        <v>0</v>
      </c>
      <c r="I100" t="n">
        <v>0</v>
      </c>
      <c r="J100" t="n">
        <v>0</v>
      </c>
      <c r="K100" t="n">
        <v>0</v>
      </c>
      <c r="L100" t="n">
        <v>0</v>
      </c>
      <c r="M100" t="n">
        <v>0</v>
      </c>
      <c r="N100" t="n">
        <v>0</v>
      </c>
      <c r="O100" t="n">
        <v>0</v>
      </c>
      <c r="P100" t="n">
        <v>0</v>
      </c>
      <c r="Q100" t="n">
        <v>0</v>
      </c>
      <c r="R100" s="2" t="inlineStr"/>
    </row>
    <row r="101" ht="15" customHeight="1">
      <c r="A101" t="inlineStr">
        <is>
          <t>A 6593-2021</t>
        </is>
      </c>
      <c r="B101" s="1" t="n">
        <v>44236</v>
      </c>
      <c r="C101" s="1" t="n">
        <v>45995</v>
      </c>
      <c r="D101" t="inlineStr">
        <is>
          <t>STOCKHOLMS LÄN</t>
        </is>
      </c>
      <c r="E101" t="inlineStr">
        <is>
          <t>VALLENTUNA</t>
        </is>
      </c>
      <c r="G101" t="n">
        <v>2.3</v>
      </c>
      <c r="H101" t="n">
        <v>0</v>
      </c>
      <c r="I101" t="n">
        <v>0</v>
      </c>
      <c r="J101" t="n">
        <v>0</v>
      </c>
      <c r="K101" t="n">
        <v>0</v>
      </c>
      <c r="L101" t="n">
        <v>0</v>
      </c>
      <c r="M101" t="n">
        <v>0</v>
      </c>
      <c r="N101" t="n">
        <v>0</v>
      </c>
      <c r="O101" t="n">
        <v>0</v>
      </c>
      <c r="P101" t="n">
        <v>0</v>
      </c>
      <c r="Q101" t="n">
        <v>0</v>
      </c>
      <c r="R101" s="2" t="inlineStr"/>
    </row>
    <row r="102" ht="15" customHeight="1">
      <c r="A102" t="inlineStr">
        <is>
          <t>A 15268-2023</t>
        </is>
      </c>
      <c r="B102" s="1" t="n">
        <v>45019.41045138889</v>
      </c>
      <c r="C102" s="1" t="n">
        <v>45995</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24707-2023</t>
        </is>
      </c>
      <c r="B103" s="1" t="n">
        <v>45084</v>
      </c>
      <c r="C103" s="1" t="n">
        <v>45995</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12609-2024</t>
        </is>
      </c>
      <c r="B104" s="1" t="n">
        <v>45382.8109375</v>
      </c>
      <c r="C104" s="1" t="n">
        <v>45995</v>
      </c>
      <c r="D104" t="inlineStr">
        <is>
          <t>STOCKHOLMS LÄN</t>
        </is>
      </c>
      <c r="E104" t="inlineStr">
        <is>
          <t>VALLENTUNA</t>
        </is>
      </c>
      <c r="G104" t="n">
        <v>0.9</v>
      </c>
      <c r="H104" t="n">
        <v>0</v>
      </c>
      <c r="I104" t="n">
        <v>0</v>
      </c>
      <c r="J104" t="n">
        <v>0</v>
      </c>
      <c r="K104" t="n">
        <v>0</v>
      </c>
      <c r="L104" t="n">
        <v>0</v>
      </c>
      <c r="M104" t="n">
        <v>0</v>
      </c>
      <c r="N104" t="n">
        <v>0</v>
      </c>
      <c r="O104" t="n">
        <v>0</v>
      </c>
      <c r="P104" t="n">
        <v>0</v>
      </c>
      <c r="Q104" t="n">
        <v>0</v>
      </c>
      <c r="R104" s="2" t="inlineStr"/>
    </row>
    <row r="105" ht="15" customHeight="1">
      <c r="A105" t="inlineStr">
        <is>
          <t>A 24068-2024</t>
        </is>
      </c>
      <c r="B105" s="1" t="n">
        <v>45456</v>
      </c>
      <c r="C105" s="1" t="n">
        <v>45995</v>
      </c>
      <c r="D105" t="inlineStr">
        <is>
          <t>STOCKHOLMS LÄN</t>
        </is>
      </c>
      <c r="E105" t="inlineStr">
        <is>
          <t>VALLENTUNA</t>
        </is>
      </c>
      <c r="G105" t="n">
        <v>7.4</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45995</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38102-2024</t>
        </is>
      </c>
      <c r="B107" s="1" t="n">
        <v>45545.36349537037</v>
      </c>
      <c r="C107" s="1" t="n">
        <v>45995</v>
      </c>
      <c r="D107" t="inlineStr">
        <is>
          <t>STOCKHOLMS LÄN</t>
        </is>
      </c>
      <c r="E107" t="inlineStr">
        <is>
          <t>VALLENTUNA</t>
        </is>
      </c>
      <c r="G107" t="n">
        <v>3.2</v>
      </c>
      <c r="H107" t="n">
        <v>0</v>
      </c>
      <c r="I107" t="n">
        <v>0</v>
      </c>
      <c r="J107" t="n">
        <v>0</v>
      </c>
      <c r="K107" t="n">
        <v>0</v>
      </c>
      <c r="L107" t="n">
        <v>0</v>
      </c>
      <c r="M107" t="n">
        <v>0</v>
      </c>
      <c r="N107" t="n">
        <v>0</v>
      </c>
      <c r="O107" t="n">
        <v>0</v>
      </c>
      <c r="P107" t="n">
        <v>0</v>
      </c>
      <c r="Q107" t="n">
        <v>0</v>
      </c>
      <c r="R107" s="2" t="inlineStr"/>
    </row>
    <row r="108" ht="15" customHeight="1">
      <c r="A108" t="inlineStr">
        <is>
          <t>A 48014-2025</t>
        </is>
      </c>
      <c r="B108" s="1" t="n">
        <v>45932.64520833334</v>
      </c>
      <c r="C108" s="1" t="n">
        <v>45995</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17340-2025</t>
        </is>
      </c>
      <c r="B109" s="1" t="n">
        <v>45756</v>
      </c>
      <c r="C109" s="1" t="n">
        <v>45995</v>
      </c>
      <c r="D109" t="inlineStr">
        <is>
          <t>STOCKHOLMS LÄN</t>
        </is>
      </c>
      <c r="E109" t="inlineStr">
        <is>
          <t>VALLENTUNA</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20791-2025</t>
        </is>
      </c>
      <c r="B110" s="1" t="n">
        <v>45776.62738425926</v>
      </c>
      <c r="C110" s="1" t="n">
        <v>45995</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10073-2024</t>
        </is>
      </c>
      <c r="B111" s="1" t="n">
        <v>45364.40821759259</v>
      </c>
      <c r="C111" s="1" t="n">
        <v>45995</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34452-2021</t>
        </is>
      </c>
      <c r="B112" s="1" t="n">
        <v>44381</v>
      </c>
      <c r="C112" s="1" t="n">
        <v>45995</v>
      </c>
      <c r="D112" t="inlineStr">
        <is>
          <t>STOCKHOLMS LÄN</t>
        </is>
      </c>
      <c r="E112" t="inlineStr">
        <is>
          <t>VALLENTUNA</t>
        </is>
      </c>
      <c r="G112" t="n">
        <v>14.7</v>
      </c>
      <c r="H112" t="n">
        <v>0</v>
      </c>
      <c r="I112" t="n">
        <v>0</v>
      </c>
      <c r="J112" t="n">
        <v>0</v>
      </c>
      <c r="K112" t="n">
        <v>0</v>
      </c>
      <c r="L112" t="n">
        <v>0</v>
      </c>
      <c r="M112" t="n">
        <v>0</v>
      </c>
      <c r="N112" t="n">
        <v>0</v>
      </c>
      <c r="O112" t="n">
        <v>0</v>
      </c>
      <c r="P112" t="n">
        <v>0</v>
      </c>
      <c r="Q112" t="n">
        <v>0</v>
      </c>
      <c r="R112" s="2" t="inlineStr"/>
    </row>
    <row r="113" ht="15" customHeight="1">
      <c r="A113" t="inlineStr">
        <is>
          <t>A 12621-2024</t>
        </is>
      </c>
      <c r="B113" s="1" t="n">
        <v>45383.6325</v>
      </c>
      <c r="C113" s="1" t="n">
        <v>45995</v>
      </c>
      <c r="D113" t="inlineStr">
        <is>
          <t>STOCKHOLMS LÄN</t>
        </is>
      </c>
      <c r="E113" t="inlineStr">
        <is>
          <t>VALLENTUNA</t>
        </is>
      </c>
      <c r="G113" t="n">
        <v>4.4</v>
      </c>
      <c r="H113" t="n">
        <v>0</v>
      </c>
      <c r="I113" t="n">
        <v>0</v>
      </c>
      <c r="J113" t="n">
        <v>0</v>
      </c>
      <c r="K113" t="n">
        <v>0</v>
      </c>
      <c r="L113" t="n">
        <v>0</v>
      </c>
      <c r="M113" t="n">
        <v>0</v>
      </c>
      <c r="N113" t="n">
        <v>0</v>
      </c>
      <c r="O113" t="n">
        <v>0</v>
      </c>
      <c r="P113" t="n">
        <v>0</v>
      </c>
      <c r="Q113" t="n">
        <v>0</v>
      </c>
      <c r="R113" s="2" t="inlineStr"/>
    </row>
    <row r="114" ht="15" customHeight="1">
      <c r="A114" t="inlineStr">
        <is>
          <t>A 48038-2025</t>
        </is>
      </c>
      <c r="B114" s="1" t="n">
        <v>45932.66008101852</v>
      </c>
      <c r="C114" s="1" t="n">
        <v>45995</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8565-2025</t>
        </is>
      </c>
      <c r="B115" s="1" t="n">
        <v>45709</v>
      </c>
      <c r="C115" s="1" t="n">
        <v>45995</v>
      </c>
      <c r="D115" t="inlineStr">
        <is>
          <t>STOCKHOLMS LÄN</t>
        </is>
      </c>
      <c r="E115" t="inlineStr">
        <is>
          <t>VALLENTUNA</t>
        </is>
      </c>
      <c r="F115" t="inlineStr">
        <is>
          <t>Kommuner</t>
        </is>
      </c>
      <c r="G115" t="n">
        <v>4.2</v>
      </c>
      <c r="H115" t="n">
        <v>0</v>
      </c>
      <c r="I115" t="n">
        <v>0</v>
      </c>
      <c r="J115" t="n">
        <v>0</v>
      </c>
      <c r="K115" t="n">
        <v>0</v>
      </c>
      <c r="L115" t="n">
        <v>0</v>
      </c>
      <c r="M115" t="n">
        <v>0</v>
      </c>
      <c r="N115" t="n">
        <v>0</v>
      </c>
      <c r="O115" t="n">
        <v>0</v>
      </c>
      <c r="P115" t="n">
        <v>0</v>
      </c>
      <c r="Q115" t="n">
        <v>0</v>
      </c>
      <c r="R115" s="2" t="inlineStr"/>
    </row>
    <row r="116" ht="15" customHeight="1">
      <c r="A116" t="inlineStr">
        <is>
          <t>A 9063-2024</t>
        </is>
      </c>
      <c r="B116" s="1" t="n">
        <v>45357.72652777778</v>
      </c>
      <c r="C116" s="1" t="n">
        <v>45995</v>
      </c>
      <c r="D116" t="inlineStr">
        <is>
          <t>STOCKHOLMS LÄN</t>
        </is>
      </c>
      <c r="E116" t="inlineStr">
        <is>
          <t>VALLENTUNA</t>
        </is>
      </c>
      <c r="G116" t="n">
        <v>4.1</v>
      </c>
      <c r="H116" t="n">
        <v>0</v>
      </c>
      <c r="I116" t="n">
        <v>0</v>
      </c>
      <c r="J116" t="n">
        <v>0</v>
      </c>
      <c r="K116" t="n">
        <v>0</v>
      </c>
      <c r="L116" t="n">
        <v>0</v>
      </c>
      <c r="M116" t="n">
        <v>0</v>
      </c>
      <c r="N116" t="n">
        <v>0</v>
      </c>
      <c r="O116" t="n">
        <v>0</v>
      </c>
      <c r="P116" t="n">
        <v>0</v>
      </c>
      <c r="Q116" t="n">
        <v>0</v>
      </c>
      <c r="R116" s="2" t="inlineStr"/>
    </row>
    <row r="117" ht="15" customHeight="1">
      <c r="A117" t="inlineStr">
        <is>
          <t>A 4803-2024</t>
        </is>
      </c>
      <c r="B117" s="1" t="n">
        <v>45328</v>
      </c>
      <c r="C117" s="1" t="n">
        <v>45995</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46381-2023</t>
        </is>
      </c>
      <c r="B118" s="1" t="n">
        <v>45193</v>
      </c>
      <c r="C118" s="1" t="n">
        <v>45995</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52542-2023</t>
        </is>
      </c>
      <c r="B119" s="1" t="n">
        <v>45225</v>
      </c>
      <c r="C119" s="1" t="n">
        <v>45995</v>
      </c>
      <c r="D119" t="inlineStr">
        <is>
          <t>STOCKHOLMS LÄN</t>
        </is>
      </c>
      <c r="E119" t="inlineStr">
        <is>
          <t>VALLENTUNA</t>
        </is>
      </c>
      <c r="G119" t="n">
        <v>3.8</v>
      </c>
      <c r="H119" t="n">
        <v>0</v>
      </c>
      <c r="I119" t="n">
        <v>0</v>
      </c>
      <c r="J119" t="n">
        <v>0</v>
      </c>
      <c r="K119" t="n">
        <v>0</v>
      </c>
      <c r="L119" t="n">
        <v>0</v>
      </c>
      <c r="M119" t="n">
        <v>0</v>
      </c>
      <c r="N119" t="n">
        <v>0</v>
      </c>
      <c r="O119" t="n">
        <v>0</v>
      </c>
      <c r="P119" t="n">
        <v>0</v>
      </c>
      <c r="Q119" t="n">
        <v>0</v>
      </c>
      <c r="R119" s="2" t="inlineStr"/>
    </row>
    <row r="120" ht="15" customHeight="1">
      <c r="A120" t="inlineStr">
        <is>
          <t>A 61027-2023</t>
        </is>
      </c>
      <c r="B120" s="1" t="n">
        <v>45261</v>
      </c>
      <c r="C120" s="1" t="n">
        <v>45995</v>
      </c>
      <c r="D120" t="inlineStr">
        <is>
          <t>STOCKHOLMS LÄN</t>
        </is>
      </c>
      <c r="E120" t="inlineStr">
        <is>
          <t>VALLENTUNA</t>
        </is>
      </c>
      <c r="G120" t="n">
        <v>7.1</v>
      </c>
      <c r="H120" t="n">
        <v>0</v>
      </c>
      <c r="I120" t="n">
        <v>0</v>
      </c>
      <c r="J120" t="n">
        <v>0</v>
      </c>
      <c r="K120" t="n">
        <v>0</v>
      </c>
      <c r="L120" t="n">
        <v>0</v>
      </c>
      <c r="M120" t="n">
        <v>0</v>
      </c>
      <c r="N120" t="n">
        <v>0</v>
      </c>
      <c r="O120" t="n">
        <v>0</v>
      </c>
      <c r="P120" t="n">
        <v>0</v>
      </c>
      <c r="Q120" t="n">
        <v>0</v>
      </c>
      <c r="R120" s="2" t="inlineStr"/>
    </row>
    <row r="121" ht="15" customHeight="1">
      <c r="A121" t="inlineStr">
        <is>
          <t>A 23009-2024</t>
        </is>
      </c>
      <c r="B121" s="1" t="n">
        <v>45450.34506944445</v>
      </c>
      <c r="C121" s="1" t="n">
        <v>45995</v>
      </c>
      <c r="D121" t="inlineStr">
        <is>
          <t>STOCKHOLMS LÄN</t>
        </is>
      </c>
      <c r="E121" t="inlineStr">
        <is>
          <t>VALLENTUNA</t>
        </is>
      </c>
      <c r="G121" t="n">
        <v>1.4</v>
      </c>
      <c r="H121" t="n">
        <v>0</v>
      </c>
      <c r="I121" t="n">
        <v>0</v>
      </c>
      <c r="J121" t="n">
        <v>0</v>
      </c>
      <c r="K121" t="n">
        <v>0</v>
      </c>
      <c r="L121" t="n">
        <v>0</v>
      </c>
      <c r="M121" t="n">
        <v>0</v>
      </c>
      <c r="N121" t="n">
        <v>0</v>
      </c>
      <c r="O121" t="n">
        <v>0</v>
      </c>
      <c r="P121" t="n">
        <v>0</v>
      </c>
      <c r="Q121" t="n">
        <v>0</v>
      </c>
      <c r="R121" s="2" t="inlineStr"/>
    </row>
    <row r="122" ht="15" customHeight="1">
      <c r="A122" t="inlineStr">
        <is>
          <t>A 11950-2025</t>
        </is>
      </c>
      <c r="B122" s="1" t="n">
        <v>45728.55622685186</v>
      </c>
      <c r="C122" s="1" t="n">
        <v>45995</v>
      </c>
      <c r="D122" t="inlineStr">
        <is>
          <t>STOCKHOLMS LÄN</t>
        </is>
      </c>
      <c r="E122" t="inlineStr">
        <is>
          <t>VALLENTUNA</t>
        </is>
      </c>
      <c r="G122" t="n">
        <v>1.4</v>
      </c>
      <c r="H122" t="n">
        <v>0</v>
      </c>
      <c r="I122" t="n">
        <v>0</v>
      </c>
      <c r="J122" t="n">
        <v>0</v>
      </c>
      <c r="K122" t="n">
        <v>0</v>
      </c>
      <c r="L122" t="n">
        <v>0</v>
      </c>
      <c r="M122" t="n">
        <v>0</v>
      </c>
      <c r="N122" t="n">
        <v>0</v>
      </c>
      <c r="O122" t="n">
        <v>0</v>
      </c>
      <c r="P122" t="n">
        <v>0</v>
      </c>
      <c r="Q122" t="n">
        <v>0</v>
      </c>
      <c r="R122" s="2" t="inlineStr"/>
    </row>
    <row r="123" ht="15" customHeight="1">
      <c r="A123" t="inlineStr">
        <is>
          <t>A 68938-2020</t>
        </is>
      </c>
      <c r="B123" s="1" t="n">
        <v>44187</v>
      </c>
      <c r="C123" s="1" t="n">
        <v>45995</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50784-2025</t>
        </is>
      </c>
      <c r="B124" s="1" t="n">
        <v>45946</v>
      </c>
      <c r="C124" s="1" t="n">
        <v>45995</v>
      </c>
      <c r="D124" t="inlineStr">
        <is>
          <t>STOCKHOLMS LÄN</t>
        </is>
      </c>
      <c r="E124" t="inlineStr">
        <is>
          <t>VALLENTUNA</t>
        </is>
      </c>
      <c r="G124" t="n">
        <v>1</v>
      </c>
      <c r="H124" t="n">
        <v>0</v>
      </c>
      <c r="I124" t="n">
        <v>0</v>
      </c>
      <c r="J124" t="n">
        <v>0</v>
      </c>
      <c r="K124" t="n">
        <v>0</v>
      </c>
      <c r="L124" t="n">
        <v>0</v>
      </c>
      <c r="M124" t="n">
        <v>0</v>
      </c>
      <c r="N124" t="n">
        <v>0</v>
      </c>
      <c r="O124" t="n">
        <v>0</v>
      </c>
      <c r="P124" t="n">
        <v>0</v>
      </c>
      <c r="Q124" t="n">
        <v>0</v>
      </c>
      <c r="R124" s="2" t="inlineStr"/>
    </row>
    <row r="125" ht="15" customHeight="1">
      <c r="A125" t="inlineStr">
        <is>
          <t>A 14489-2024</t>
        </is>
      </c>
      <c r="B125" s="1" t="n">
        <v>45394.58053240741</v>
      </c>
      <c r="C125" s="1" t="n">
        <v>45995</v>
      </c>
      <c r="D125" t="inlineStr">
        <is>
          <t>STOCKHOLMS LÄN</t>
        </is>
      </c>
      <c r="E125" t="inlineStr">
        <is>
          <t>VALLENTUNA</t>
        </is>
      </c>
      <c r="G125" t="n">
        <v>2.3</v>
      </c>
      <c r="H125" t="n">
        <v>0</v>
      </c>
      <c r="I125" t="n">
        <v>0</v>
      </c>
      <c r="J125" t="n">
        <v>0</v>
      </c>
      <c r="K125" t="n">
        <v>0</v>
      </c>
      <c r="L125" t="n">
        <v>0</v>
      </c>
      <c r="M125" t="n">
        <v>0</v>
      </c>
      <c r="N125" t="n">
        <v>0</v>
      </c>
      <c r="O125" t="n">
        <v>0</v>
      </c>
      <c r="P125" t="n">
        <v>0</v>
      </c>
      <c r="Q125" t="n">
        <v>0</v>
      </c>
      <c r="R125" s="2" t="inlineStr"/>
    </row>
    <row r="126" ht="15" customHeight="1">
      <c r="A126" t="inlineStr">
        <is>
          <t>A 23923-2025</t>
        </is>
      </c>
      <c r="B126" s="1" t="n">
        <v>45795.39648148148</v>
      </c>
      <c r="C126" s="1" t="n">
        <v>45995</v>
      </c>
      <c r="D126" t="inlineStr">
        <is>
          <t>STOCKHOLMS LÄN</t>
        </is>
      </c>
      <c r="E126" t="inlineStr">
        <is>
          <t>VALLENTUNA</t>
        </is>
      </c>
      <c r="G126" t="n">
        <v>2.3</v>
      </c>
      <c r="H126" t="n">
        <v>0</v>
      </c>
      <c r="I126" t="n">
        <v>0</v>
      </c>
      <c r="J126" t="n">
        <v>0</v>
      </c>
      <c r="K126" t="n">
        <v>0</v>
      </c>
      <c r="L126" t="n">
        <v>0</v>
      </c>
      <c r="M126" t="n">
        <v>0</v>
      </c>
      <c r="N126" t="n">
        <v>0</v>
      </c>
      <c r="O126" t="n">
        <v>0</v>
      </c>
      <c r="P126" t="n">
        <v>0</v>
      </c>
      <c r="Q126" t="n">
        <v>0</v>
      </c>
      <c r="R126" s="2" t="inlineStr"/>
    </row>
    <row r="127" ht="15" customHeight="1">
      <c r="A127" t="inlineStr">
        <is>
          <t>A 52562-2023</t>
        </is>
      </c>
      <c r="B127" s="1" t="n">
        <v>45225</v>
      </c>
      <c r="C127" s="1" t="n">
        <v>45995</v>
      </c>
      <c r="D127" t="inlineStr">
        <is>
          <t>STOCKHOLMS LÄN</t>
        </is>
      </c>
      <c r="E127" t="inlineStr">
        <is>
          <t>VALLENTUNA</t>
        </is>
      </c>
      <c r="G127" t="n">
        <v>3.4</v>
      </c>
      <c r="H127" t="n">
        <v>0</v>
      </c>
      <c r="I127" t="n">
        <v>0</v>
      </c>
      <c r="J127" t="n">
        <v>0</v>
      </c>
      <c r="K127" t="n">
        <v>0</v>
      </c>
      <c r="L127" t="n">
        <v>0</v>
      </c>
      <c r="M127" t="n">
        <v>0</v>
      </c>
      <c r="N127" t="n">
        <v>0</v>
      </c>
      <c r="O127" t="n">
        <v>0</v>
      </c>
      <c r="P127" t="n">
        <v>0</v>
      </c>
      <c r="Q127" t="n">
        <v>0</v>
      </c>
      <c r="R127" s="2" t="inlineStr"/>
    </row>
    <row r="128" ht="15" customHeight="1">
      <c r="A128" t="inlineStr">
        <is>
          <t>A 4804-2024</t>
        </is>
      </c>
      <c r="B128" s="1" t="n">
        <v>45328</v>
      </c>
      <c r="C128" s="1" t="n">
        <v>45995</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23013-2024</t>
        </is>
      </c>
      <c r="B129" s="1" t="n">
        <v>45450.35116898148</v>
      </c>
      <c r="C129" s="1" t="n">
        <v>45995</v>
      </c>
      <c r="D129" t="inlineStr">
        <is>
          <t>STOCKHOLMS LÄN</t>
        </is>
      </c>
      <c r="E129" t="inlineStr">
        <is>
          <t>VALLENTUNA</t>
        </is>
      </c>
      <c r="G129" t="n">
        <v>0.4</v>
      </c>
      <c r="H129" t="n">
        <v>0</v>
      </c>
      <c r="I129" t="n">
        <v>0</v>
      </c>
      <c r="J129" t="n">
        <v>0</v>
      </c>
      <c r="K129" t="n">
        <v>0</v>
      </c>
      <c r="L129" t="n">
        <v>0</v>
      </c>
      <c r="M129" t="n">
        <v>0</v>
      </c>
      <c r="N129" t="n">
        <v>0</v>
      </c>
      <c r="O129" t="n">
        <v>0</v>
      </c>
      <c r="P129" t="n">
        <v>0</v>
      </c>
      <c r="Q129" t="n">
        <v>0</v>
      </c>
      <c r="R129" s="2" t="inlineStr"/>
    </row>
    <row r="130" ht="15" customHeight="1">
      <c r="A130" t="inlineStr">
        <is>
          <t>A 25984-2025</t>
        </is>
      </c>
      <c r="B130" s="1" t="n">
        <v>45804.64016203704</v>
      </c>
      <c r="C130" s="1" t="n">
        <v>45995</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2318-2024</t>
        </is>
      </c>
      <c r="B131" s="1" t="n">
        <v>45310</v>
      </c>
      <c r="C131" s="1" t="n">
        <v>45995</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45995</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3698-2022</t>
        </is>
      </c>
      <c r="B133" s="1" t="n">
        <v>44586</v>
      </c>
      <c r="C133" s="1" t="n">
        <v>45995</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44914.70746527778</v>
      </c>
      <c r="C134" s="1" t="n">
        <v>45995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30902-2025</t>
        </is>
      </c>
      <c r="B135" s="1" t="n">
        <v>45832.36104166666</v>
      </c>
      <c r="C135" s="1" t="n">
        <v>45995</v>
      </c>
      <c r="D135" t="inlineStr">
        <is>
          <t>STOCKHOLMS LÄN</t>
        </is>
      </c>
      <c r="E135" t="inlineStr">
        <is>
          <t>VALLENTUNA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12234-2022</t>
        </is>
      </c>
      <c r="B136" s="1" t="n">
        <v>44637</v>
      </c>
      <c r="C136" s="1" t="n">
        <v>45995</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21614-2022</t>
        </is>
      </c>
      <c r="B137" s="1" t="n">
        <v>44706</v>
      </c>
      <c r="C137" s="1" t="n">
        <v>45995</v>
      </c>
      <c r="D137" t="inlineStr">
        <is>
          <t>STOCKHOLMS LÄN</t>
        </is>
      </c>
      <c r="E137" t="inlineStr">
        <is>
          <t>VALLENTUNA</t>
        </is>
      </c>
      <c r="G137" t="n">
        <v>4</v>
      </c>
      <c r="H137" t="n">
        <v>0</v>
      </c>
      <c r="I137" t="n">
        <v>0</v>
      </c>
      <c r="J137" t="n">
        <v>0</v>
      </c>
      <c r="K137" t="n">
        <v>0</v>
      </c>
      <c r="L137" t="n">
        <v>0</v>
      </c>
      <c r="M137" t="n">
        <v>0</v>
      </c>
      <c r="N137" t="n">
        <v>0</v>
      </c>
      <c r="O137" t="n">
        <v>0</v>
      </c>
      <c r="P137" t="n">
        <v>0</v>
      </c>
      <c r="Q137" t="n">
        <v>0</v>
      </c>
      <c r="R137" s="2" t="inlineStr"/>
    </row>
    <row r="138" ht="15" customHeight="1">
      <c r="A138" t="inlineStr">
        <is>
          <t>A 12585-2023</t>
        </is>
      </c>
      <c r="B138" s="1" t="n">
        <v>45000.41373842592</v>
      </c>
      <c r="C138" s="1" t="n">
        <v>45995</v>
      </c>
      <c r="D138" t="inlineStr">
        <is>
          <t>STOCKHOLMS LÄN</t>
        </is>
      </c>
      <c r="E138" t="inlineStr">
        <is>
          <t>VALLENTUNA</t>
        </is>
      </c>
      <c r="G138" t="n">
        <v>3.7</v>
      </c>
      <c r="H138" t="n">
        <v>0</v>
      </c>
      <c r="I138" t="n">
        <v>0</v>
      </c>
      <c r="J138" t="n">
        <v>0</v>
      </c>
      <c r="K138" t="n">
        <v>0</v>
      </c>
      <c r="L138" t="n">
        <v>0</v>
      </c>
      <c r="M138" t="n">
        <v>0</v>
      </c>
      <c r="N138" t="n">
        <v>0</v>
      </c>
      <c r="O138" t="n">
        <v>0</v>
      </c>
      <c r="P138" t="n">
        <v>0</v>
      </c>
      <c r="Q138" t="n">
        <v>0</v>
      </c>
      <c r="R138" s="2" t="inlineStr"/>
    </row>
    <row r="139" ht="15" customHeight="1">
      <c r="A139" t="inlineStr">
        <is>
          <t>A 8787-2024</t>
        </is>
      </c>
      <c r="B139" s="1" t="n">
        <v>45356</v>
      </c>
      <c r="C139" s="1" t="n">
        <v>45995</v>
      </c>
      <c r="D139" t="inlineStr">
        <is>
          <t>STOCKHOLMS LÄN</t>
        </is>
      </c>
      <c r="E139" t="inlineStr">
        <is>
          <t>VALLENTUNA</t>
        </is>
      </c>
      <c r="G139" t="n">
        <v>1.2</v>
      </c>
      <c r="H139" t="n">
        <v>0</v>
      </c>
      <c r="I139" t="n">
        <v>0</v>
      </c>
      <c r="J139" t="n">
        <v>0</v>
      </c>
      <c r="K139" t="n">
        <v>0</v>
      </c>
      <c r="L139" t="n">
        <v>0</v>
      </c>
      <c r="M139" t="n">
        <v>0</v>
      </c>
      <c r="N139" t="n">
        <v>0</v>
      </c>
      <c r="O139" t="n">
        <v>0</v>
      </c>
      <c r="P139" t="n">
        <v>0</v>
      </c>
      <c r="Q139" t="n">
        <v>0</v>
      </c>
      <c r="R139" s="2" t="inlineStr"/>
    </row>
    <row r="140" ht="15" customHeight="1">
      <c r="A140" t="inlineStr">
        <is>
          <t>A 28431-2025</t>
        </is>
      </c>
      <c r="B140" s="1" t="n">
        <v>45819.38072916667</v>
      </c>
      <c r="C140" s="1" t="n">
        <v>45995</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c r="A141" t="inlineStr">
        <is>
          <t>A 44346-2021</t>
        </is>
      </c>
      <c r="B141" s="1" t="n">
        <v>44434</v>
      </c>
      <c r="C141" s="1" t="n">
        <v>45995</v>
      </c>
      <c r="D141" t="inlineStr">
        <is>
          <t>STOCKHOLMS LÄN</t>
        </is>
      </c>
      <c r="E141" t="inlineStr">
        <is>
          <t>VALLENTUNA</t>
        </is>
      </c>
      <c r="G141" t="n">
        <v>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2025-12-04T10:31:16Z</dcterms:created>
  <dcterms:modified xmlns:dcterms="http://purl.org/dc/terms/" xmlns:xsi="http://www.w3.org/2001/XMLSchema-instance" xsi:type="dcterms:W3CDTF">2025-12-04T10:31:16Z</dcterms:modified>
</cp:coreProperties>
</file>