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46202</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46202</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46202</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46202</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42922-2023</t>
        </is>
      </c>
      <c r="B6" s="1" t="n">
        <v>45182</v>
      </c>
      <c r="C6" s="1" t="n">
        <v>46202</v>
      </c>
      <c r="D6" t="inlineStr">
        <is>
          <t>STOCKHOLMS LÄN</t>
        </is>
      </c>
      <c r="E6" t="inlineStr">
        <is>
          <t>VALLENTUNA</t>
        </is>
      </c>
      <c r="G6" t="n">
        <v>4.2</v>
      </c>
      <c r="H6" t="n">
        <v>4</v>
      </c>
      <c r="I6" t="n">
        <v>7</v>
      </c>
      <c r="J6" t="n">
        <v>5</v>
      </c>
      <c r="K6" t="n">
        <v>1</v>
      </c>
      <c r="L6" t="n">
        <v>0</v>
      </c>
      <c r="M6" t="n">
        <v>0</v>
      </c>
      <c r="N6" t="n">
        <v>0</v>
      </c>
      <c r="O6" t="n">
        <v>6</v>
      </c>
      <c r="P6" t="n">
        <v>1</v>
      </c>
      <c r="Q6" t="n">
        <v>16</v>
      </c>
      <c r="R6" s="2" t="inlineStr">
        <is>
          <t>Ostticka
Fjällig taggsvamp s.str.
Motaggsvamp
Orange taggsvamp
Talltita
Tjockfotad fingersvamp
Björksplintborre
Granbarkgnagare
Grönpyrola
Mindre märgborre
Rödgul trumpetsvamp
Vedticka
Vågbandad barkbock
Blåsippa
Spillkråka
Kungsfågel</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50718-2023</t>
        </is>
      </c>
      <c r="B7" s="1" t="n">
        <v>45217</v>
      </c>
      <c r="C7" s="1" t="n">
        <v>46202</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50435-2024</t>
        </is>
      </c>
      <c r="B8" s="1" t="n">
        <v>45601</v>
      </c>
      <c r="C8" s="1" t="n">
        <v>46202</v>
      </c>
      <c r="D8" t="inlineStr">
        <is>
          <t>STOCKHOLMS LÄN</t>
        </is>
      </c>
      <c r="E8" t="inlineStr">
        <is>
          <t>VALLENTUNA</t>
        </is>
      </c>
      <c r="F8" t="inlineStr">
        <is>
          <t>Allmännings- och besparingsskogar</t>
        </is>
      </c>
      <c r="G8" t="n">
        <v>2.3</v>
      </c>
      <c r="H8" t="n">
        <v>5</v>
      </c>
      <c r="I8" t="n">
        <v>5</v>
      </c>
      <c r="J8" t="n">
        <v>2</v>
      </c>
      <c r="K8" t="n">
        <v>0</v>
      </c>
      <c r="L8" t="n">
        <v>0</v>
      </c>
      <c r="M8" t="n">
        <v>0</v>
      </c>
      <c r="N8" t="n">
        <v>0</v>
      </c>
      <c r="O8" t="n">
        <v>2</v>
      </c>
      <c r="P8" t="n">
        <v>0</v>
      </c>
      <c r="Q8" t="n">
        <v>9</v>
      </c>
      <c r="R8" s="2" t="inlineStr">
        <is>
          <t>Grönsångare
Talltita
Aprikosfingersvamp
Mindre märgborre
Mönjevaxing
Nästrot
Tibast
Blåsippa
Tjäder</t>
        </is>
      </c>
      <c r="S8">
        <f>HYPERLINK("https://klasma.github.io/Logging_0115/artfynd/A 50435-2024 artfynd.xlsx", "A 50435-2024")</f>
        <v/>
      </c>
      <c r="T8">
        <f>HYPERLINK("https://klasma.github.io/Logging_0115/kartor/A 50435-2024 karta.png", "A 50435-2024")</f>
        <v/>
      </c>
      <c r="V8">
        <f>HYPERLINK("https://klasma.github.io/Logging_0115/klagomål/A 50435-2024 FSC-klagomål.docx", "A 50435-2024")</f>
        <v/>
      </c>
      <c r="W8">
        <f>HYPERLINK("https://klasma.github.io/Logging_0115/klagomålsmail/A 50435-2024 FSC-klagomål mail.docx", "A 50435-2024")</f>
        <v/>
      </c>
      <c r="X8">
        <f>HYPERLINK("https://klasma.github.io/Logging_0115/tillsyn/A 50435-2024 tillsynsbegäran.docx", "A 50435-2024")</f>
        <v/>
      </c>
      <c r="Y8">
        <f>HYPERLINK("https://klasma.github.io/Logging_0115/tillsynsmail/A 50435-2024 tillsynsbegäran mail.docx", "A 50435-2024")</f>
        <v/>
      </c>
      <c r="Z8">
        <f>HYPERLINK("https://klasma.github.io/Logging_0115/fåglar/A 50435-2024 prioriterade fågelarter.docx", "A 50435-2024")</f>
        <v/>
      </c>
    </row>
    <row r="9" ht="15" customHeight="1">
      <c r="A9" t="inlineStr">
        <is>
          <t>A 61763-2025</t>
        </is>
      </c>
      <c r="B9" s="1" t="n">
        <v>46002</v>
      </c>
      <c r="C9" s="1" t="n">
        <v>46202</v>
      </c>
      <c r="D9" t="inlineStr">
        <is>
          <t>STOCKHOLMS LÄN</t>
        </is>
      </c>
      <c r="E9" t="inlineStr">
        <is>
          <t>VALLENTUNA</t>
        </is>
      </c>
      <c r="G9" t="n">
        <v>6.9</v>
      </c>
      <c r="H9" t="n">
        <v>2</v>
      </c>
      <c r="I9" t="n">
        <v>5</v>
      </c>
      <c r="J9" t="n">
        <v>2</v>
      </c>
      <c r="K9" t="n">
        <v>1</v>
      </c>
      <c r="L9" t="n">
        <v>0</v>
      </c>
      <c r="M9" t="n">
        <v>0</v>
      </c>
      <c r="N9" t="n">
        <v>0</v>
      </c>
      <c r="O9" t="n">
        <v>3</v>
      </c>
      <c r="P9" t="n">
        <v>1</v>
      </c>
      <c r="Q9" t="n">
        <v>9</v>
      </c>
      <c r="R9" s="2" t="inlineStr">
        <is>
          <t>Gränsticka
Dunmossa
Talltita
Björksplintborre
Blomkålssvamp
Mörk husmossa
Stubbspretmossa
Vågbandad barkbock
Kungsfågel</t>
        </is>
      </c>
      <c r="S9">
        <f>HYPERLINK("https://klasma.github.io/Logging_0115/artfynd/A 61763-2025 artfynd.xlsx", "A 61763-2025")</f>
        <v/>
      </c>
      <c r="T9">
        <f>HYPERLINK("https://klasma.github.io/Logging_0115/kartor/A 61763-2025 karta.png", "A 61763-2025")</f>
        <v/>
      </c>
      <c r="V9">
        <f>HYPERLINK("https://klasma.github.io/Logging_0115/klagomål/A 61763-2025 FSC-klagomål.docx", "A 61763-2025")</f>
        <v/>
      </c>
      <c r="W9">
        <f>HYPERLINK("https://klasma.github.io/Logging_0115/klagomålsmail/A 61763-2025 FSC-klagomål mail.docx", "A 61763-2025")</f>
        <v/>
      </c>
      <c r="X9">
        <f>HYPERLINK("https://klasma.github.io/Logging_0115/tillsyn/A 61763-2025 tillsynsbegäran.docx", "A 61763-2025")</f>
        <v/>
      </c>
      <c r="Y9">
        <f>HYPERLINK("https://klasma.github.io/Logging_0115/tillsynsmail/A 61763-2025 tillsynsbegäran mail.docx", "A 61763-2025")</f>
        <v/>
      </c>
      <c r="Z9">
        <f>HYPERLINK("https://klasma.github.io/Logging_0115/fåglar/A 61763-2025 prioriterade fågelarter.docx", "A 61763-2025")</f>
        <v/>
      </c>
    </row>
    <row r="10" ht="15" customHeight="1">
      <c r="A10" t="inlineStr">
        <is>
          <t>A 25512-2022</t>
        </is>
      </c>
      <c r="B10" s="1" t="n">
        <v>44732</v>
      </c>
      <c r="C10" s="1" t="n">
        <v>46202</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62402-2022</t>
        </is>
      </c>
      <c r="B11" s="1" t="n">
        <v>44923</v>
      </c>
      <c r="C11" s="1" t="n">
        <v>46202</v>
      </c>
      <c r="D11" t="inlineStr">
        <is>
          <t>STOCKHOLMS LÄN</t>
        </is>
      </c>
      <c r="E11" t="inlineStr">
        <is>
          <t>VALLENTUNA</t>
        </is>
      </c>
      <c r="G11" t="n">
        <v>3.8</v>
      </c>
      <c r="H11" t="n">
        <v>0</v>
      </c>
      <c r="I11" t="n">
        <v>2</v>
      </c>
      <c r="J11" t="n">
        <v>4</v>
      </c>
      <c r="K11" t="n">
        <v>0</v>
      </c>
      <c r="L11" t="n">
        <v>0</v>
      </c>
      <c r="M11" t="n">
        <v>0</v>
      </c>
      <c r="N11" t="n">
        <v>0</v>
      </c>
      <c r="O11" t="n">
        <v>4</v>
      </c>
      <c r="P11" t="n">
        <v>0</v>
      </c>
      <c r="Q11" t="n">
        <v>6</v>
      </c>
      <c r="R11" s="2" t="inlineStr">
        <is>
          <t>Denisespindling
Kryddspindling
Motaggsvamp
Orange taggsvamp
Anisspindling
Brandticka</t>
        </is>
      </c>
      <c r="S11">
        <f>HYPERLINK("https://klasma.github.io/Logging_0115/artfynd/A 62402-2022 artfynd.xlsx", "A 62402-2022")</f>
        <v/>
      </c>
      <c r="T11">
        <f>HYPERLINK("https://klasma.github.io/Logging_0115/kartor/A 62402-2022 karta.png", "A 62402-2022")</f>
        <v/>
      </c>
      <c r="V11">
        <f>HYPERLINK("https://klasma.github.io/Logging_0115/klagomål/A 62402-2022 FSC-klagomål.docx", "A 62402-2022")</f>
        <v/>
      </c>
      <c r="W11">
        <f>HYPERLINK("https://klasma.github.io/Logging_0115/klagomålsmail/A 62402-2022 FSC-klagomål mail.docx", "A 62402-2022")</f>
        <v/>
      </c>
      <c r="X11">
        <f>HYPERLINK("https://klasma.github.io/Logging_0115/tillsyn/A 62402-2022 tillsynsbegäran.docx", "A 62402-2022")</f>
        <v/>
      </c>
      <c r="Y11">
        <f>HYPERLINK("https://klasma.github.io/Logging_0115/tillsynsmail/A 62402-2022 tillsynsbegäran mail.docx", "A 62402-2022")</f>
        <v/>
      </c>
    </row>
    <row r="12" ht="15" customHeight="1">
      <c r="A12" t="inlineStr">
        <is>
          <t>A 8500-2022</t>
        </is>
      </c>
      <c r="B12" s="1" t="n">
        <v>44613</v>
      </c>
      <c r="C12" s="1" t="n">
        <v>46202</v>
      </c>
      <c r="D12" t="inlineStr">
        <is>
          <t>STOCKHOLMS LÄN</t>
        </is>
      </c>
      <c r="E12" t="inlineStr">
        <is>
          <t>VALLENTUNA</t>
        </is>
      </c>
      <c r="G12" t="n">
        <v>5</v>
      </c>
      <c r="H12" t="n">
        <v>2</v>
      </c>
      <c r="I12" t="n">
        <v>4</v>
      </c>
      <c r="J12" t="n">
        <v>0</v>
      </c>
      <c r="K12" t="n">
        <v>1</v>
      </c>
      <c r="L12" t="n">
        <v>0</v>
      </c>
      <c r="M12" t="n">
        <v>0</v>
      </c>
      <c r="N12" t="n">
        <v>0</v>
      </c>
      <c r="O12" t="n">
        <v>1</v>
      </c>
      <c r="P12" t="n">
        <v>1</v>
      </c>
      <c r="Q12" t="n">
        <v>6</v>
      </c>
      <c r="R12" s="2" t="inlineStr">
        <is>
          <t>Knärot
Björksplintborre
Blåmossa
Bronshjon
Vedticka
Spillkråka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17342-2025</t>
        </is>
      </c>
      <c r="B13" s="1" t="n">
        <v>45756</v>
      </c>
      <c r="C13" s="1" t="n">
        <v>46202</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9745-2022</t>
        </is>
      </c>
      <c r="B14" s="1" t="n">
        <v>44618</v>
      </c>
      <c r="C14" s="1" t="n">
        <v>46202</v>
      </c>
      <c r="D14" t="inlineStr">
        <is>
          <t>STOCKHOLMS LÄN</t>
        </is>
      </c>
      <c r="E14" t="inlineStr">
        <is>
          <t>VALLENTUNA</t>
        </is>
      </c>
      <c r="G14" t="n">
        <v>5.9</v>
      </c>
      <c r="H14" t="n">
        <v>1</v>
      </c>
      <c r="I14" t="n">
        <v>2</v>
      </c>
      <c r="J14" t="n">
        <v>0</v>
      </c>
      <c r="K14" t="n">
        <v>0</v>
      </c>
      <c r="L14" t="n">
        <v>0</v>
      </c>
      <c r="M14" t="n">
        <v>0</v>
      </c>
      <c r="N14" t="n">
        <v>0</v>
      </c>
      <c r="O14" t="n">
        <v>0</v>
      </c>
      <c r="P14" t="n">
        <v>0</v>
      </c>
      <c r="Q14" t="n">
        <v>3</v>
      </c>
      <c r="R14" s="2" t="inlineStr">
        <is>
          <t>Björksplintborre
Vedticka
Spillkråka</t>
        </is>
      </c>
      <c r="S14">
        <f>HYPERLINK("https://klasma.github.io/Logging_0115/artfynd/A 9745-2022 artfynd.xlsx", "A 9745-2022")</f>
        <v/>
      </c>
      <c r="T14">
        <f>HYPERLINK("https://klasma.github.io/Logging_0115/kartor/A 9745-2022 karta.png", "A 9745-2022")</f>
        <v/>
      </c>
      <c r="V14">
        <f>HYPERLINK("https://klasma.github.io/Logging_0115/klagomål/A 9745-2022 FSC-klagomål.docx", "A 9745-2022")</f>
        <v/>
      </c>
      <c r="W14">
        <f>HYPERLINK("https://klasma.github.io/Logging_0115/klagomålsmail/A 9745-2022 FSC-klagomål mail.docx", "A 9745-2022")</f>
        <v/>
      </c>
      <c r="X14">
        <f>HYPERLINK("https://klasma.github.io/Logging_0115/tillsyn/A 9745-2022 tillsynsbegäran.docx", "A 9745-2022")</f>
        <v/>
      </c>
      <c r="Y14">
        <f>HYPERLINK("https://klasma.github.io/Logging_0115/tillsynsmail/A 9745-2022 tillsynsbegäran mail.docx", "A 9745-2022")</f>
        <v/>
      </c>
      <c r="Z14">
        <f>HYPERLINK("https://klasma.github.io/Logging_0115/fåglar/A 9745-2022 prioriterade fågelarter.docx", "A 9745-2022")</f>
        <v/>
      </c>
    </row>
    <row r="15" ht="15" customHeight="1">
      <c r="A15" t="inlineStr">
        <is>
          <t>A 14508-2024</t>
        </is>
      </c>
      <c r="B15" s="1" t="n">
        <v>45394</v>
      </c>
      <c r="C15" s="1" t="n">
        <v>46202</v>
      </c>
      <c r="D15" t="inlineStr">
        <is>
          <t>STOCKHOLMS LÄN</t>
        </is>
      </c>
      <c r="E15" t="inlineStr">
        <is>
          <t>VALLENTUNA</t>
        </is>
      </c>
      <c r="G15" t="n">
        <v>1.7</v>
      </c>
      <c r="H15" t="n">
        <v>2</v>
      </c>
      <c r="I15" t="n">
        <v>0</v>
      </c>
      <c r="J15" t="n">
        <v>2</v>
      </c>
      <c r="K15" t="n">
        <v>1</v>
      </c>
      <c r="L15" t="n">
        <v>0</v>
      </c>
      <c r="M15" t="n">
        <v>0</v>
      </c>
      <c r="N15" t="n">
        <v>0</v>
      </c>
      <c r="O15" t="n">
        <v>3</v>
      </c>
      <c r="P15" t="n">
        <v>1</v>
      </c>
      <c r="Q15" t="n">
        <v>3</v>
      </c>
      <c r="R15" s="2" t="inlineStr">
        <is>
          <t>Hussvala
Berggräsfjäril
Mindre hackspett</t>
        </is>
      </c>
      <c r="S15">
        <f>HYPERLINK("https://klasma.github.io/Logging_0115/artfynd/A 14508-2024 artfynd.xlsx", "A 14508-2024")</f>
        <v/>
      </c>
      <c r="T15">
        <f>HYPERLINK("https://klasma.github.io/Logging_0115/kartor/A 14508-2024 karta.png", "A 14508-2024")</f>
        <v/>
      </c>
      <c r="V15">
        <f>HYPERLINK("https://klasma.github.io/Logging_0115/klagomål/A 14508-2024 FSC-klagomål.docx", "A 14508-2024")</f>
        <v/>
      </c>
      <c r="W15">
        <f>HYPERLINK("https://klasma.github.io/Logging_0115/klagomålsmail/A 14508-2024 FSC-klagomål mail.docx", "A 14508-2024")</f>
        <v/>
      </c>
      <c r="X15">
        <f>HYPERLINK("https://klasma.github.io/Logging_0115/tillsyn/A 14508-2024 tillsynsbegäran.docx", "A 14508-2024")</f>
        <v/>
      </c>
      <c r="Y15">
        <f>HYPERLINK("https://klasma.github.io/Logging_0115/tillsynsmail/A 14508-2024 tillsynsbegäran mail.docx", "A 14508-2024")</f>
        <v/>
      </c>
      <c r="Z15">
        <f>HYPERLINK("https://klasma.github.io/Logging_0115/fåglar/A 14508-2024 prioriterade fågelarter.docx", "A 14508-2024")</f>
        <v/>
      </c>
    </row>
    <row r="16" ht="15" customHeight="1">
      <c r="A16" t="inlineStr">
        <is>
          <t>A 34452-2021</t>
        </is>
      </c>
      <c r="B16" s="1" t="n">
        <v>44381</v>
      </c>
      <c r="C16" s="1" t="n">
        <v>46202</v>
      </c>
      <c r="D16" t="inlineStr">
        <is>
          <t>STOCKHOLMS LÄN</t>
        </is>
      </c>
      <c r="E16" t="inlineStr">
        <is>
          <t>VALLENTUNA</t>
        </is>
      </c>
      <c r="G16" t="n">
        <v>14.7</v>
      </c>
      <c r="H16" t="n">
        <v>0</v>
      </c>
      <c r="I16" t="n">
        <v>0</v>
      </c>
      <c r="J16" t="n">
        <v>0</v>
      </c>
      <c r="K16" t="n">
        <v>0</v>
      </c>
      <c r="L16" t="n">
        <v>0</v>
      </c>
      <c r="M16" t="n">
        <v>0</v>
      </c>
      <c r="N16" t="n">
        <v>0</v>
      </c>
      <c r="O16" t="n">
        <v>0</v>
      </c>
      <c r="P16" t="n">
        <v>0</v>
      </c>
      <c r="Q16" t="n">
        <v>3</v>
      </c>
      <c r="R16" s="2" t="inlineStr">
        <is>
          <t>Ekorrbär
Kärrviol
Skogsstjärna</t>
        </is>
      </c>
      <c r="S16">
        <f>HYPERLINK("https://klasma.github.io/Logging_0115/artfynd/A 34452-2021 artfynd.xlsx", "A 34452-2021")</f>
        <v/>
      </c>
      <c r="T16">
        <f>HYPERLINK("https://klasma.github.io/Logging_0115/kartor/A 34452-2021 karta.png", "A 34452-2021")</f>
        <v/>
      </c>
      <c r="V16">
        <f>HYPERLINK("https://klasma.github.io/Logging_0115/klagomål/A 34452-2021 FSC-klagomål.docx", "A 34452-2021")</f>
        <v/>
      </c>
      <c r="W16">
        <f>HYPERLINK("https://klasma.github.io/Logging_0115/klagomålsmail/A 34452-2021 FSC-klagomål mail.docx", "A 34452-2021")</f>
        <v/>
      </c>
      <c r="X16">
        <f>HYPERLINK("https://klasma.github.io/Logging_0115/tillsyn/A 34452-2021 tillsynsbegäran.docx", "A 34452-2021")</f>
        <v/>
      </c>
      <c r="Y16">
        <f>HYPERLINK("https://klasma.github.io/Logging_0115/tillsynsmail/A 34452-2021 tillsynsbegäran mail.docx", "A 34452-2021")</f>
        <v/>
      </c>
    </row>
    <row r="17" ht="15" customHeight="1">
      <c r="A17" t="inlineStr">
        <is>
          <t>A 37456-2023</t>
        </is>
      </c>
      <c r="B17" s="1" t="n">
        <v>45156</v>
      </c>
      <c r="C17" s="1" t="n">
        <v>46202</v>
      </c>
      <c r="D17" t="inlineStr">
        <is>
          <t>STOCKHOLMS LÄN</t>
        </is>
      </c>
      <c r="E17" t="inlineStr">
        <is>
          <t>VALLENTUNA</t>
        </is>
      </c>
      <c r="F17" t="inlineStr">
        <is>
          <t>Övriga Aktiebolag</t>
        </is>
      </c>
      <c r="G17" t="n">
        <v>3.3</v>
      </c>
      <c r="H17" t="n">
        <v>1</v>
      </c>
      <c r="I17" t="n">
        <v>0</v>
      </c>
      <c r="J17" t="n">
        <v>2</v>
      </c>
      <c r="K17" t="n">
        <v>0</v>
      </c>
      <c r="L17" t="n">
        <v>0</v>
      </c>
      <c r="M17" t="n">
        <v>0</v>
      </c>
      <c r="N17" t="n">
        <v>0</v>
      </c>
      <c r="O17" t="n">
        <v>2</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63543-2025</t>
        </is>
      </c>
      <c r="B18" s="1" t="n">
        <v>46013</v>
      </c>
      <c r="C18" s="1" t="n">
        <v>46202</v>
      </c>
      <c r="D18" t="inlineStr">
        <is>
          <t>STOCKHOLMS LÄN</t>
        </is>
      </c>
      <c r="E18" t="inlineStr">
        <is>
          <t>VALLENTUNA</t>
        </is>
      </c>
      <c r="G18" t="n">
        <v>3.4</v>
      </c>
      <c r="H18" t="n">
        <v>0</v>
      </c>
      <c r="I18" t="n">
        <v>1</v>
      </c>
      <c r="J18" t="n">
        <v>2</v>
      </c>
      <c r="K18" t="n">
        <v>0</v>
      </c>
      <c r="L18" t="n">
        <v>0</v>
      </c>
      <c r="M18" t="n">
        <v>0</v>
      </c>
      <c r="N18" t="n">
        <v>0</v>
      </c>
      <c r="O18" t="n">
        <v>2</v>
      </c>
      <c r="P18" t="n">
        <v>0</v>
      </c>
      <c r="Q18" t="n">
        <v>3</v>
      </c>
      <c r="R18" s="2" t="inlineStr">
        <is>
          <t>Tallticka
Vedskivlav
Björksplintborre</t>
        </is>
      </c>
      <c r="S18">
        <f>HYPERLINK("https://klasma.github.io/Logging_0115/artfynd/A 63543-2025 artfynd.xlsx", "A 63543-2025")</f>
        <v/>
      </c>
      <c r="T18">
        <f>HYPERLINK("https://klasma.github.io/Logging_0115/kartor/A 63543-2025 karta.png", "A 63543-2025")</f>
        <v/>
      </c>
      <c r="V18">
        <f>HYPERLINK("https://klasma.github.io/Logging_0115/klagomål/A 63543-2025 FSC-klagomål.docx", "A 63543-2025")</f>
        <v/>
      </c>
      <c r="W18">
        <f>HYPERLINK("https://klasma.github.io/Logging_0115/klagomålsmail/A 63543-2025 FSC-klagomål mail.docx", "A 63543-2025")</f>
        <v/>
      </c>
      <c r="X18">
        <f>HYPERLINK("https://klasma.github.io/Logging_0115/tillsyn/A 63543-2025 tillsynsbegäran.docx", "A 63543-2025")</f>
        <v/>
      </c>
      <c r="Y18">
        <f>HYPERLINK("https://klasma.github.io/Logging_0115/tillsynsmail/A 63543-2025 tillsynsbegäran mail.docx", "A 63543-2025")</f>
        <v/>
      </c>
    </row>
    <row r="19" ht="15" customHeight="1">
      <c r="A19" t="inlineStr">
        <is>
          <t>A 48717-2024</t>
        </is>
      </c>
      <c r="B19" s="1" t="n">
        <v>45593</v>
      </c>
      <c r="C19" s="1" t="n">
        <v>46202</v>
      </c>
      <c r="D19" t="inlineStr">
        <is>
          <t>STOCKHOLMS LÄN</t>
        </is>
      </c>
      <c r="E19" t="inlineStr">
        <is>
          <t>VALLENTUNA</t>
        </is>
      </c>
      <c r="G19" t="n">
        <v>6.2</v>
      </c>
      <c r="H19" t="n">
        <v>2</v>
      </c>
      <c r="I19" t="n">
        <v>0</v>
      </c>
      <c r="J19" t="n">
        <v>1</v>
      </c>
      <c r="K19" t="n">
        <v>0</v>
      </c>
      <c r="L19" t="n">
        <v>0</v>
      </c>
      <c r="M19" t="n">
        <v>0</v>
      </c>
      <c r="N19" t="n">
        <v>0</v>
      </c>
      <c r="O19" t="n">
        <v>1</v>
      </c>
      <c r="P19" t="n">
        <v>0</v>
      </c>
      <c r="Q19" t="n">
        <v>3</v>
      </c>
      <c r="R19" s="2" t="inlineStr">
        <is>
          <t>Ullticka
Tjäder
Kungsfågel</t>
        </is>
      </c>
      <c r="S19">
        <f>HYPERLINK("https://klasma.github.io/Logging_0115/artfynd/A 48717-2024 artfynd.xlsx", "A 48717-2024")</f>
        <v/>
      </c>
      <c r="T19">
        <f>HYPERLINK("https://klasma.github.io/Logging_0115/kartor/A 48717-2024 karta.png", "A 48717-2024")</f>
        <v/>
      </c>
      <c r="V19">
        <f>HYPERLINK("https://klasma.github.io/Logging_0115/klagomål/A 48717-2024 FSC-klagomål.docx", "A 48717-2024")</f>
        <v/>
      </c>
      <c r="W19">
        <f>HYPERLINK("https://klasma.github.io/Logging_0115/klagomålsmail/A 48717-2024 FSC-klagomål mail.docx", "A 48717-2024")</f>
        <v/>
      </c>
      <c r="X19">
        <f>HYPERLINK("https://klasma.github.io/Logging_0115/tillsyn/A 48717-2024 tillsynsbegäran.docx", "A 48717-2024")</f>
        <v/>
      </c>
      <c r="Y19">
        <f>HYPERLINK("https://klasma.github.io/Logging_0115/tillsynsmail/A 48717-2024 tillsynsbegäran mail.docx", "A 48717-2024")</f>
        <v/>
      </c>
      <c r="Z19">
        <f>HYPERLINK("https://klasma.github.io/Logging_0115/fåglar/A 48717-2024 prioriterade fågelarter.docx", "A 48717-2024")</f>
        <v/>
      </c>
    </row>
    <row r="20" ht="15" customHeight="1">
      <c r="A20" t="inlineStr">
        <is>
          <t>A 9807-2026</t>
        </is>
      </c>
      <c r="B20" s="1" t="n">
        <v>46072</v>
      </c>
      <c r="C20" s="1" t="n">
        <v>46202</v>
      </c>
      <c r="D20" t="inlineStr">
        <is>
          <t>STOCKHOLMS LÄN</t>
        </is>
      </c>
      <c r="E20" t="inlineStr">
        <is>
          <t>VALLENTUNA</t>
        </is>
      </c>
      <c r="G20" t="n">
        <v>2.1</v>
      </c>
      <c r="H20" t="n">
        <v>3</v>
      </c>
      <c r="I20" t="n">
        <v>0</v>
      </c>
      <c r="J20" t="n">
        <v>1</v>
      </c>
      <c r="K20" t="n">
        <v>0</v>
      </c>
      <c r="L20" t="n">
        <v>0</v>
      </c>
      <c r="M20" t="n">
        <v>0</v>
      </c>
      <c r="N20" t="n">
        <v>0</v>
      </c>
      <c r="O20" t="n">
        <v>1</v>
      </c>
      <c r="P20" t="n">
        <v>0</v>
      </c>
      <c r="Q20" t="n">
        <v>3</v>
      </c>
      <c r="R20" s="2" t="inlineStr">
        <is>
          <t>Järnsparv
Grönsiska
Kungsfågel</t>
        </is>
      </c>
      <c r="S20">
        <f>HYPERLINK("https://klasma.github.io/Logging_0115/artfynd/A 9807-2026 artfynd.xlsx", "A 9807-2026")</f>
        <v/>
      </c>
      <c r="T20">
        <f>HYPERLINK("https://klasma.github.io/Logging_0115/kartor/A 9807-2026 karta.png", "A 9807-2026")</f>
        <v/>
      </c>
      <c r="V20">
        <f>HYPERLINK("https://klasma.github.io/Logging_0115/klagomål/A 9807-2026 FSC-klagomål.docx", "A 9807-2026")</f>
        <v/>
      </c>
      <c r="W20">
        <f>HYPERLINK("https://klasma.github.io/Logging_0115/klagomålsmail/A 9807-2026 FSC-klagomål mail.docx", "A 9807-2026")</f>
        <v/>
      </c>
      <c r="X20">
        <f>HYPERLINK("https://klasma.github.io/Logging_0115/tillsyn/A 9807-2026 tillsynsbegäran.docx", "A 9807-2026")</f>
        <v/>
      </c>
      <c r="Y20">
        <f>HYPERLINK("https://klasma.github.io/Logging_0115/tillsynsmail/A 9807-2026 tillsynsbegäran mail.docx", "A 9807-2026")</f>
        <v/>
      </c>
      <c r="Z20">
        <f>HYPERLINK("https://klasma.github.io/Logging_0115/fåglar/A 9807-2026 prioriterade fågelarter.docx", "A 9807-2026")</f>
        <v/>
      </c>
    </row>
    <row r="21" ht="15" customHeight="1">
      <c r="A21" t="inlineStr">
        <is>
          <t>A 70608-2021</t>
        </is>
      </c>
      <c r="B21" s="1" t="n">
        <v>44536</v>
      </c>
      <c r="C21" s="1" t="n">
        <v>46202</v>
      </c>
      <c r="D21" t="inlineStr">
        <is>
          <t>STOCKHOLMS LÄN</t>
        </is>
      </c>
      <c r="E21" t="inlineStr">
        <is>
          <t>VALLENTUNA</t>
        </is>
      </c>
      <c r="G21" t="n">
        <v>10.4</v>
      </c>
      <c r="H21" t="n">
        <v>1</v>
      </c>
      <c r="I21" t="n">
        <v>1</v>
      </c>
      <c r="J21" t="n">
        <v>1</v>
      </c>
      <c r="K21" t="n">
        <v>0</v>
      </c>
      <c r="L21" t="n">
        <v>0</v>
      </c>
      <c r="M21" t="n">
        <v>0</v>
      </c>
      <c r="N21" t="n">
        <v>0</v>
      </c>
      <c r="O21" t="n">
        <v>1</v>
      </c>
      <c r="P21" t="n">
        <v>0</v>
      </c>
      <c r="Q21" t="n">
        <v>2</v>
      </c>
      <c r="R21" s="2" t="inlineStr">
        <is>
          <t>Talltita
Tibast</t>
        </is>
      </c>
      <c r="S21">
        <f>HYPERLINK("https://klasma.github.io/Logging_0115/artfynd/A 70608-2021 artfynd.xlsx", "A 70608-2021")</f>
        <v/>
      </c>
      <c r="T21">
        <f>HYPERLINK("https://klasma.github.io/Logging_0115/kartor/A 70608-2021 karta.png", "A 70608-2021")</f>
        <v/>
      </c>
      <c r="V21">
        <f>HYPERLINK("https://klasma.github.io/Logging_0115/klagomål/A 70608-2021 FSC-klagomål.docx", "A 70608-2021")</f>
        <v/>
      </c>
      <c r="W21">
        <f>HYPERLINK("https://klasma.github.io/Logging_0115/klagomålsmail/A 70608-2021 FSC-klagomål mail.docx", "A 70608-2021")</f>
        <v/>
      </c>
      <c r="X21">
        <f>HYPERLINK("https://klasma.github.io/Logging_0115/tillsyn/A 70608-2021 tillsynsbegäran.docx", "A 70608-2021")</f>
        <v/>
      </c>
      <c r="Y21">
        <f>HYPERLINK("https://klasma.github.io/Logging_0115/tillsynsmail/A 70608-2021 tillsynsbegäran mail.docx", "A 70608-2021")</f>
        <v/>
      </c>
      <c r="Z21">
        <f>HYPERLINK("https://klasma.github.io/Logging_0115/fåglar/A 70608-2021 prioriterade fågelarter.docx", "A 70608-2021")</f>
        <v/>
      </c>
    </row>
    <row r="22" ht="15" customHeight="1">
      <c r="A22" t="inlineStr">
        <is>
          <t>A 60-2022</t>
        </is>
      </c>
      <c r="B22" s="1" t="n">
        <v>44560</v>
      </c>
      <c r="C22" s="1" t="n">
        <v>46202</v>
      </c>
      <c r="D22" t="inlineStr">
        <is>
          <t>STOCKHOLMS LÄN</t>
        </is>
      </c>
      <c r="E22" t="inlineStr">
        <is>
          <t>VALLENTUNA</t>
        </is>
      </c>
      <c r="F22" t="inlineStr">
        <is>
          <t>Övriga Aktiebolag</t>
        </is>
      </c>
      <c r="G22" t="n">
        <v>14.3</v>
      </c>
      <c r="H22" t="n">
        <v>0</v>
      </c>
      <c r="I22" t="n">
        <v>1</v>
      </c>
      <c r="J22" t="n">
        <v>1</v>
      </c>
      <c r="K22" t="n">
        <v>0</v>
      </c>
      <c r="L22" t="n">
        <v>0</v>
      </c>
      <c r="M22" t="n">
        <v>0</v>
      </c>
      <c r="N22" t="n">
        <v>0</v>
      </c>
      <c r="O22" t="n">
        <v>1</v>
      </c>
      <c r="P22" t="n">
        <v>0</v>
      </c>
      <c r="Q22" t="n">
        <v>2</v>
      </c>
      <c r="R22" s="2" t="inlineStr">
        <is>
          <t>Vårärt
Vätteros</t>
        </is>
      </c>
      <c r="S22">
        <f>HYPERLINK("https://klasma.github.io/Logging_0115/artfynd/A 60-2022 artfynd.xlsx", "A 60-2022")</f>
        <v/>
      </c>
      <c r="T22">
        <f>HYPERLINK("https://klasma.github.io/Logging_0115/kartor/A 60-2022 karta.png", "A 60-2022")</f>
        <v/>
      </c>
      <c r="V22">
        <f>HYPERLINK("https://klasma.github.io/Logging_0115/klagomål/A 60-2022 FSC-klagomål.docx", "A 60-2022")</f>
        <v/>
      </c>
      <c r="W22">
        <f>HYPERLINK("https://klasma.github.io/Logging_0115/klagomålsmail/A 60-2022 FSC-klagomål mail.docx", "A 60-2022")</f>
        <v/>
      </c>
      <c r="X22">
        <f>HYPERLINK("https://klasma.github.io/Logging_0115/tillsyn/A 60-2022 tillsynsbegäran.docx", "A 60-2022")</f>
        <v/>
      </c>
      <c r="Y22">
        <f>HYPERLINK("https://klasma.github.io/Logging_0115/tillsynsmail/A 60-2022 tillsynsbegäran mail.docx", "A 60-2022")</f>
        <v/>
      </c>
    </row>
    <row r="23" ht="15" customHeight="1">
      <c r="A23" t="inlineStr">
        <is>
          <t>A 9445-2022</t>
        </is>
      </c>
      <c r="B23" s="1" t="n">
        <v>44616</v>
      </c>
      <c r="C23" s="1" t="n">
        <v>46202</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41021-2023</t>
        </is>
      </c>
      <c r="B24" s="1" t="n">
        <v>45173</v>
      </c>
      <c r="C24" s="1" t="n">
        <v>46202</v>
      </c>
      <c r="D24" t="inlineStr">
        <is>
          <t>STOCKHOLMS LÄN</t>
        </is>
      </c>
      <c r="E24" t="inlineStr">
        <is>
          <t>VALLENTUNA</t>
        </is>
      </c>
      <c r="G24" t="n">
        <v>3</v>
      </c>
      <c r="H24" t="n">
        <v>0</v>
      </c>
      <c r="I24" t="n">
        <v>0</v>
      </c>
      <c r="J24" t="n">
        <v>2</v>
      </c>
      <c r="K24" t="n">
        <v>0</v>
      </c>
      <c r="L24" t="n">
        <v>0</v>
      </c>
      <c r="M24" t="n">
        <v>0</v>
      </c>
      <c r="N24" t="n">
        <v>0</v>
      </c>
      <c r="O24" t="n">
        <v>2</v>
      </c>
      <c r="P24" t="n">
        <v>0</v>
      </c>
      <c r="Q24" t="n">
        <v>2</v>
      </c>
      <c r="R24" s="2" t="inlineStr">
        <is>
          <t>Fjällig taggsvamp s.str.
Orange taggsvamp</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34460-2023</t>
        </is>
      </c>
      <c r="B25" s="1" t="n">
        <v>45139</v>
      </c>
      <c r="C25" s="1" t="n">
        <v>46202</v>
      </c>
      <c r="D25" t="inlineStr">
        <is>
          <t>STOCKHOLMS LÄN</t>
        </is>
      </c>
      <c r="E25" t="inlineStr">
        <is>
          <t>VALLENTUNA</t>
        </is>
      </c>
      <c r="G25" t="n">
        <v>1.7</v>
      </c>
      <c r="H25" t="n">
        <v>0</v>
      </c>
      <c r="I25" t="n">
        <v>0</v>
      </c>
      <c r="J25" t="n">
        <v>2</v>
      </c>
      <c r="K25" t="n">
        <v>0</v>
      </c>
      <c r="L25" t="n">
        <v>0</v>
      </c>
      <c r="M25" t="n">
        <v>0</v>
      </c>
      <c r="N25" t="n">
        <v>0</v>
      </c>
      <c r="O25" t="n">
        <v>2</v>
      </c>
      <c r="P25" t="n">
        <v>0</v>
      </c>
      <c r="Q25" t="n">
        <v>2</v>
      </c>
      <c r="R25" s="2" t="inlineStr">
        <is>
          <t>Motaggsvamp
Orange taggsvamp</t>
        </is>
      </c>
      <c r="S25">
        <f>HYPERLINK("https://klasma.github.io/Logging_0115/artfynd/A 34460-2023 artfynd.xlsx", "A 34460-2023")</f>
        <v/>
      </c>
      <c r="T25">
        <f>HYPERLINK("https://klasma.github.io/Logging_0115/kartor/A 34460-2023 karta.png", "A 34460-2023")</f>
        <v/>
      </c>
      <c r="V25">
        <f>HYPERLINK("https://klasma.github.io/Logging_0115/klagomål/A 34460-2023 FSC-klagomål.docx", "A 34460-2023")</f>
        <v/>
      </c>
      <c r="W25">
        <f>HYPERLINK("https://klasma.github.io/Logging_0115/klagomålsmail/A 34460-2023 FSC-klagomål mail.docx", "A 34460-2023")</f>
        <v/>
      </c>
      <c r="X25">
        <f>HYPERLINK("https://klasma.github.io/Logging_0115/tillsyn/A 34460-2023 tillsynsbegäran.docx", "A 34460-2023")</f>
        <v/>
      </c>
      <c r="Y25">
        <f>HYPERLINK("https://klasma.github.io/Logging_0115/tillsynsmail/A 34460-2023 tillsynsbegäran mail.docx", "A 34460-2023")</f>
        <v/>
      </c>
    </row>
    <row r="26" ht="15" customHeight="1">
      <c r="A26" t="inlineStr">
        <is>
          <t>A 23923-2025</t>
        </is>
      </c>
      <c r="B26" s="1" t="n">
        <v>45795</v>
      </c>
      <c r="C26" s="1" t="n">
        <v>46202</v>
      </c>
      <c r="D26" t="inlineStr">
        <is>
          <t>STOCKHOLMS LÄN</t>
        </is>
      </c>
      <c r="E26" t="inlineStr">
        <is>
          <t>VALLENTUNA</t>
        </is>
      </c>
      <c r="G26" t="n">
        <v>2.3</v>
      </c>
      <c r="H26" t="n">
        <v>2</v>
      </c>
      <c r="I26" t="n">
        <v>0</v>
      </c>
      <c r="J26" t="n">
        <v>1</v>
      </c>
      <c r="K26" t="n">
        <v>0</v>
      </c>
      <c r="L26" t="n">
        <v>0</v>
      </c>
      <c r="M26" t="n">
        <v>0</v>
      </c>
      <c r="N26" t="n">
        <v>0</v>
      </c>
      <c r="O26" t="n">
        <v>1</v>
      </c>
      <c r="P26" t="n">
        <v>0</v>
      </c>
      <c r="Q26" t="n">
        <v>2</v>
      </c>
      <c r="R26" s="2" t="inlineStr">
        <is>
          <t>Gulsparv
Kråka</t>
        </is>
      </c>
      <c r="S26">
        <f>HYPERLINK("https://klasma.github.io/Logging_0115/artfynd/A 23923-2025 artfynd.xlsx", "A 23923-2025")</f>
        <v/>
      </c>
      <c r="T26">
        <f>HYPERLINK("https://klasma.github.io/Logging_0115/kartor/A 23923-2025 karta.png", "A 23923-2025")</f>
        <v/>
      </c>
      <c r="V26">
        <f>HYPERLINK("https://klasma.github.io/Logging_0115/klagomål/A 23923-2025 FSC-klagomål.docx", "A 23923-2025")</f>
        <v/>
      </c>
      <c r="W26">
        <f>HYPERLINK("https://klasma.github.io/Logging_0115/klagomålsmail/A 23923-2025 FSC-klagomål mail.docx", "A 23923-2025")</f>
        <v/>
      </c>
      <c r="X26">
        <f>HYPERLINK("https://klasma.github.io/Logging_0115/tillsyn/A 23923-2025 tillsynsbegäran.docx", "A 23923-2025")</f>
        <v/>
      </c>
      <c r="Y26">
        <f>HYPERLINK("https://klasma.github.io/Logging_0115/tillsynsmail/A 23923-2025 tillsynsbegäran mail.docx", "A 23923-2025")</f>
        <v/>
      </c>
      <c r="Z26">
        <f>HYPERLINK("https://klasma.github.io/Logging_0115/fåglar/A 23923-2025 prioriterade fågelarter.docx", "A 23923-2025")</f>
        <v/>
      </c>
    </row>
    <row r="27" ht="15" customHeight="1">
      <c r="A27" t="inlineStr">
        <is>
          <t>A 63539-2025</t>
        </is>
      </c>
      <c r="B27" s="1" t="n">
        <v>46013</v>
      </c>
      <c r="C27" s="1" t="n">
        <v>46202</v>
      </c>
      <c r="D27" t="inlineStr">
        <is>
          <t>STOCKHOLMS LÄN</t>
        </is>
      </c>
      <c r="E27" t="inlineStr">
        <is>
          <t>VALLENTUNA</t>
        </is>
      </c>
      <c r="G27" t="n">
        <v>1.1</v>
      </c>
      <c r="H27" t="n">
        <v>0</v>
      </c>
      <c r="I27" t="n">
        <v>0</v>
      </c>
      <c r="J27" t="n">
        <v>2</v>
      </c>
      <c r="K27" t="n">
        <v>0</v>
      </c>
      <c r="L27" t="n">
        <v>0</v>
      </c>
      <c r="M27" t="n">
        <v>0</v>
      </c>
      <c r="N27" t="n">
        <v>0</v>
      </c>
      <c r="O27" t="n">
        <v>2</v>
      </c>
      <c r="P27" t="n">
        <v>0</v>
      </c>
      <c r="Q27" t="n">
        <v>2</v>
      </c>
      <c r="R27" s="2" t="inlineStr">
        <is>
          <t>Tallticka
Vårärt</t>
        </is>
      </c>
      <c r="S27">
        <f>HYPERLINK("https://klasma.github.io/Logging_0115/artfynd/A 63539-2025 artfynd.xlsx", "A 63539-2025")</f>
        <v/>
      </c>
      <c r="T27">
        <f>HYPERLINK("https://klasma.github.io/Logging_0115/kartor/A 63539-2025 karta.png", "A 63539-2025")</f>
        <v/>
      </c>
      <c r="V27">
        <f>HYPERLINK("https://klasma.github.io/Logging_0115/klagomål/A 63539-2025 FSC-klagomål.docx", "A 63539-2025")</f>
        <v/>
      </c>
      <c r="W27">
        <f>HYPERLINK("https://klasma.github.io/Logging_0115/klagomålsmail/A 63539-2025 FSC-klagomål mail.docx", "A 63539-2025")</f>
        <v/>
      </c>
      <c r="X27">
        <f>HYPERLINK("https://klasma.github.io/Logging_0115/tillsyn/A 63539-2025 tillsynsbegäran.docx", "A 63539-2025")</f>
        <v/>
      </c>
      <c r="Y27">
        <f>HYPERLINK("https://klasma.github.io/Logging_0115/tillsynsmail/A 63539-2025 tillsynsbegäran mail.docx", "A 63539-2025")</f>
        <v/>
      </c>
    </row>
    <row r="28" ht="15" customHeight="1">
      <c r="A28" t="inlineStr">
        <is>
          <t>A 27935-2026</t>
        </is>
      </c>
      <c r="B28" s="1" t="n">
        <v>46191</v>
      </c>
      <c r="C28" s="1" t="n">
        <v>46202</v>
      </c>
      <c r="D28" t="inlineStr">
        <is>
          <t>STOCKHOLMS LÄN</t>
        </is>
      </c>
      <c r="E28" t="inlineStr">
        <is>
          <t>VALLENTUNA</t>
        </is>
      </c>
      <c r="G28" t="n">
        <v>5</v>
      </c>
      <c r="H28" t="n">
        <v>2</v>
      </c>
      <c r="I28" t="n">
        <v>0</v>
      </c>
      <c r="J28" t="n">
        <v>0</v>
      </c>
      <c r="K28" t="n">
        <v>0</v>
      </c>
      <c r="L28" t="n">
        <v>0</v>
      </c>
      <c r="M28" t="n">
        <v>0</v>
      </c>
      <c r="N28" t="n">
        <v>0</v>
      </c>
      <c r="O28" t="n">
        <v>0</v>
      </c>
      <c r="P28" t="n">
        <v>0</v>
      </c>
      <c r="Q28" t="n">
        <v>2</v>
      </c>
      <c r="R28" s="2" t="inlineStr">
        <is>
          <t>Större vattensalamander
Mindre vattensalamander</t>
        </is>
      </c>
      <c r="S28">
        <f>HYPERLINK("https://klasma.github.io/Logging_0115/artfynd/A 27935-2026 artfynd.xlsx", "A 27935-2026")</f>
        <v/>
      </c>
      <c r="T28">
        <f>HYPERLINK("https://klasma.github.io/Logging_0115/kartor/A 27935-2026 karta.png", "A 27935-2026")</f>
        <v/>
      </c>
      <c r="V28">
        <f>HYPERLINK("https://klasma.github.io/Logging_0115/klagomål/A 27935-2026 FSC-klagomål.docx", "A 27935-2026")</f>
        <v/>
      </c>
      <c r="W28">
        <f>HYPERLINK("https://klasma.github.io/Logging_0115/klagomålsmail/A 27935-2026 FSC-klagomål mail.docx", "A 27935-2026")</f>
        <v/>
      </c>
      <c r="X28">
        <f>HYPERLINK("https://klasma.github.io/Logging_0115/tillsyn/A 27935-2026 tillsynsbegäran.docx", "A 27935-2026")</f>
        <v/>
      </c>
      <c r="Y28">
        <f>HYPERLINK("https://klasma.github.io/Logging_0115/tillsynsmail/A 27935-2026 tillsynsbegäran mail.docx", "A 27935-2026")</f>
        <v/>
      </c>
    </row>
    <row r="29" ht="15" customHeight="1">
      <c r="A29" t="inlineStr">
        <is>
          <t>A 17348-2025</t>
        </is>
      </c>
      <c r="B29" s="1" t="n">
        <v>45756</v>
      </c>
      <c r="C29" s="1" t="n">
        <v>46202</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8817-2025</t>
        </is>
      </c>
      <c r="B30" s="1" t="n">
        <v>45712</v>
      </c>
      <c r="C30" s="1" t="n">
        <v>46202</v>
      </c>
      <c r="D30" t="inlineStr">
        <is>
          <t>STOCKHOLMS LÄN</t>
        </is>
      </c>
      <c r="E30" t="inlineStr">
        <is>
          <t>VALLENTUNA</t>
        </is>
      </c>
      <c r="G30" t="n">
        <v>3.6</v>
      </c>
      <c r="H30" t="n">
        <v>0</v>
      </c>
      <c r="I30" t="n">
        <v>1</v>
      </c>
      <c r="J30" t="n">
        <v>0</v>
      </c>
      <c r="K30" t="n">
        <v>0</v>
      </c>
      <c r="L30" t="n">
        <v>0</v>
      </c>
      <c r="M30" t="n">
        <v>0</v>
      </c>
      <c r="N30" t="n">
        <v>0</v>
      </c>
      <c r="O30" t="n">
        <v>0</v>
      </c>
      <c r="P30" t="n">
        <v>0</v>
      </c>
      <c r="Q30" t="n">
        <v>1</v>
      </c>
      <c r="R30" s="2" t="inlineStr">
        <is>
          <t>Tibast</t>
        </is>
      </c>
      <c r="S30">
        <f>HYPERLINK("https://klasma.github.io/Logging_0115/artfynd/A 8817-2025 artfynd.xlsx", "A 8817-2025")</f>
        <v/>
      </c>
      <c r="T30">
        <f>HYPERLINK("https://klasma.github.io/Logging_0115/kartor/A 8817-2025 karta.png", "A 8817-2025")</f>
        <v/>
      </c>
      <c r="V30">
        <f>HYPERLINK("https://klasma.github.io/Logging_0115/klagomål/A 8817-2025 FSC-klagomål.docx", "A 8817-2025")</f>
        <v/>
      </c>
      <c r="W30">
        <f>HYPERLINK("https://klasma.github.io/Logging_0115/klagomålsmail/A 8817-2025 FSC-klagomål mail.docx", "A 8817-2025")</f>
        <v/>
      </c>
      <c r="X30">
        <f>HYPERLINK("https://klasma.github.io/Logging_0115/tillsyn/A 8817-2025 tillsynsbegäran.docx", "A 8817-2025")</f>
        <v/>
      </c>
      <c r="Y30">
        <f>HYPERLINK("https://klasma.github.io/Logging_0115/tillsynsmail/A 8817-2025 tillsynsbegäran mail.docx", "A 8817-2025")</f>
        <v/>
      </c>
    </row>
    <row r="31" ht="15" customHeight="1">
      <c r="A31" t="inlineStr">
        <is>
          <t>A 7890-2023</t>
        </is>
      </c>
      <c r="B31" s="1" t="n">
        <v>44973</v>
      </c>
      <c r="C31" s="1" t="n">
        <v>46202</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22830-2024</t>
        </is>
      </c>
      <c r="B32" s="1" t="n">
        <v>45448</v>
      </c>
      <c r="C32" s="1" t="n">
        <v>46202</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17341-2025</t>
        </is>
      </c>
      <c r="B33" s="1" t="n">
        <v>45756</v>
      </c>
      <c r="C33" s="1" t="n">
        <v>46202</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34458-2023</t>
        </is>
      </c>
      <c r="B34" s="1" t="n">
        <v>45139</v>
      </c>
      <c r="C34" s="1" t="n">
        <v>46202</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24068-2024</t>
        </is>
      </c>
      <c r="B35" s="1" t="n">
        <v>45456</v>
      </c>
      <c r="C35" s="1" t="n">
        <v>46202</v>
      </c>
      <c r="D35" t="inlineStr">
        <is>
          <t>STOCKHOLMS LÄN</t>
        </is>
      </c>
      <c r="E35" t="inlineStr">
        <is>
          <t>VALLENTUNA</t>
        </is>
      </c>
      <c r="G35" t="n">
        <v>7.4</v>
      </c>
      <c r="H35" t="n">
        <v>0</v>
      </c>
      <c r="I35" t="n">
        <v>0</v>
      </c>
      <c r="J35" t="n">
        <v>1</v>
      </c>
      <c r="K35" t="n">
        <v>0</v>
      </c>
      <c r="L35" t="n">
        <v>0</v>
      </c>
      <c r="M35" t="n">
        <v>0</v>
      </c>
      <c r="N35" t="n">
        <v>0</v>
      </c>
      <c r="O35" t="n">
        <v>1</v>
      </c>
      <c r="P35" t="n">
        <v>0</v>
      </c>
      <c r="Q35" t="n">
        <v>1</v>
      </c>
      <c r="R35" s="2" t="inlineStr">
        <is>
          <t>Vedskivlav</t>
        </is>
      </c>
      <c r="S35">
        <f>HYPERLINK("https://klasma.github.io/Logging_0115/artfynd/A 24068-2024 artfynd.xlsx", "A 24068-2024")</f>
        <v/>
      </c>
      <c r="T35">
        <f>HYPERLINK("https://klasma.github.io/Logging_0115/kartor/A 24068-2024 karta.png", "A 24068-2024")</f>
        <v/>
      </c>
      <c r="V35">
        <f>HYPERLINK("https://klasma.github.io/Logging_0115/klagomål/A 24068-2024 FSC-klagomål.docx", "A 24068-2024")</f>
        <v/>
      </c>
      <c r="W35">
        <f>HYPERLINK("https://klasma.github.io/Logging_0115/klagomålsmail/A 24068-2024 FSC-klagomål mail.docx", "A 24068-2024")</f>
        <v/>
      </c>
      <c r="X35">
        <f>HYPERLINK("https://klasma.github.io/Logging_0115/tillsyn/A 24068-2024 tillsynsbegäran.docx", "A 24068-2024")</f>
        <v/>
      </c>
      <c r="Y35">
        <f>HYPERLINK("https://klasma.github.io/Logging_0115/tillsynsmail/A 24068-2024 tillsynsbegäran mail.docx", "A 24068-2024")</f>
        <v/>
      </c>
    </row>
    <row r="36" ht="15" customHeight="1">
      <c r="A36" t="inlineStr">
        <is>
          <t>A 21-2022</t>
        </is>
      </c>
      <c r="B36" s="1" t="n">
        <v>44560</v>
      </c>
      <c r="C36" s="1" t="n">
        <v>46202</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23009-2024</t>
        </is>
      </c>
      <c r="B37" s="1" t="n">
        <v>45450</v>
      </c>
      <c r="C37" s="1" t="n">
        <v>46202</v>
      </c>
      <c r="D37" t="inlineStr">
        <is>
          <t>STOCKHOLMS LÄN</t>
        </is>
      </c>
      <c r="E37" t="inlineStr">
        <is>
          <t>VALLENTUNA</t>
        </is>
      </c>
      <c r="G37" t="n">
        <v>1.4</v>
      </c>
      <c r="H37" t="n">
        <v>0</v>
      </c>
      <c r="I37" t="n">
        <v>1</v>
      </c>
      <c r="J37" t="n">
        <v>0</v>
      </c>
      <c r="K37" t="n">
        <v>0</v>
      </c>
      <c r="L37" t="n">
        <v>0</v>
      </c>
      <c r="M37" t="n">
        <v>0</v>
      </c>
      <c r="N37" t="n">
        <v>0</v>
      </c>
      <c r="O37" t="n">
        <v>0</v>
      </c>
      <c r="P37" t="n">
        <v>0</v>
      </c>
      <c r="Q37" t="n">
        <v>1</v>
      </c>
      <c r="R37" s="2" t="inlineStr">
        <is>
          <t>Tibast</t>
        </is>
      </c>
      <c r="S37">
        <f>HYPERLINK("https://klasma.github.io/Logging_0115/artfynd/A 23009-2024 artfynd.xlsx", "A 23009-2024")</f>
        <v/>
      </c>
      <c r="T37">
        <f>HYPERLINK("https://klasma.github.io/Logging_0115/kartor/A 23009-2024 karta.png", "A 23009-2024")</f>
        <v/>
      </c>
      <c r="V37">
        <f>HYPERLINK("https://klasma.github.io/Logging_0115/klagomål/A 23009-2024 FSC-klagomål.docx", "A 23009-2024")</f>
        <v/>
      </c>
      <c r="W37">
        <f>HYPERLINK("https://klasma.github.io/Logging_0115/klagomålsmail/A 23009-2024 FSC-klagomål mail.docx", "A 23009-2024")</f>
        <v/>
      </c>
      <c r="X37">
        <f>HYPERLINK("https://klasma.github.io/Logging_0115/tillsyn/A 23009-2024 tillsynsbegäran.docx", "A 23009-2024")</f>
        <v/>
      </c>
      <c r="Y37">
        <f>HYPERLINK("https://klasma.github.io/Logging_0115/tillsynsmail/A 23009-2024 tillsynsbegäran mail.docx", "A 23009-2024")</f>
        <v/>
      </c>
    </row>
    <row r="38" ht="15" customHeight="1">
      <c r="A38" t="inlineStr">
        <is>
          <t>A 54460-2025</t>
        </is>
      </c>
      <c r="B38" s="1" t="n">
        <v>45965</v>
      </c>
      <c r="C38" s="1" t="n">
        <v>46202</v>
      </c>
      <c r="D38" t="inlineStr">
        <is>
          <t>STOCKHOLMS LÄN</t>
        </is>
      </c>
      <c r="E38" t="inlineStr">
        <is>
          <t>VALLENTUNA</t>
        </is>
      </c>
      <c r="G38" t="n">
        <v>22.9</v>
      </c>
      <c r="H38" t="n">
        <v>0</v>
      </c>
      <c r="I38" t="n">
        <v>0</v>
      </c>
      <c r="J38" t="n">
        <v>1</v>
      </c>
      <c r="K38" t="n">
        <v>0</v>
      </c>
      <c r="L38" t="n">
        <v>0</v>
      </c>
      <c r="M38" t="n">
        <v>0</v>
      </c>
      <c r="N38" t="n">
        <v>0</v>
      </c>
      <c r="O38" t="n">
        <v>1</v>
      </c>
      <c r="P38" t="n">
        <v>0</v>
      </c>
      <c r="Q38" t="n">
        <v>1</v>
      </c>
      <c r="R38" s="2" t="inlineStr">
        <is>
          <t>Gullklöver</t>
        </is>
      </c>
      <c r="S38">
        <f>HYPERLINK("https://klasma.github.io/Logging_0115/artfynd/A 54460-2025 artfynd.xlsx", "A 54460-2025")</f>
        <v/>
      </c>
      <c r="T38">
        <f>HYPERLINK("https://klasma.github.io/Logging_0115/kartor/A 54460-2025 karta.png", "A 54460-2025")</f>
        <v/>
      </c>
      <c r="V38">
        <f>HYPERLINK("https://klasma.github.io/Logging_0115/klagomål/A 54460-2025 FSC-klagomål.docx", "A 54460-2025")</f>
        <v/>
      </c>
      <c r="W38">
        <f>HYPERLINK("https://klasma.github.io/Logging_0115/klagomålsmail/A 54460-2025 FSC-klagomål mail.docx", "A 54460-2025")</f>
        <v/>
      </c>
      <c r="X38">
        <f>HYPERLINK("https://klasma.github.io/Logging_0115/tillsyn/A 54460-2025 tillsynsbegäran.docx", "A 54460-2025")</f>
        <v/>
      </c>
      <c r="Y38">
        <f>HYPERLINK("https://klasma.github.io/Logging_0115/tillsynsmail/A 54460-2025 tillsynsbegäran mail.docx", "A 54460-2025")</f>
        <v/>
      </c>
    </row>
    <row r="39" ht="15" customHeight="1">
      <c r="A39" t="inlineStr">
        <is>
          <t>A 54481-2025</t>
        </is>
      </c>
      <c r="B39" s="1" t="n">
        <v>45965</v>
      </c>
      <c r="C39" s="1" t="n">
        <v>46202</v>
      </c>
      <c r="D39" t="inlineStr">
        <is>
          <t>STOCKHOLMS LÄN</t>
        </is>
      </c>
      <c r="E39" t="inlineStr">
        <is>
          <t>VALLENTUNA</t>
        </is>
      </c>
      <c r="G39" t="n">
        <v>1.4</v>
      </c>
      <c r="H39" t="n">
        <v>0</v>
      </c>
      <c r="I39" t="n">
        <v>0</v>
      </c>
      <c r="J39" t="n">
        <v>1</v>
      </c>
      <c r="K39" t="n">
        <v>0</v>
      </c>
      <c r="L39" t="n">
        <v>0</v>
      </c>
      <c r="M39" t="n">
        <v>0</v>
      </c>
      <c r="N39" t="n">
        <v>0</v>
      </c>
      <c r="O39" t="n">
        <v>1</v>
      </c>
      <c r="P39" t="n">
        <v>0</v>
      </c>
      <c r="Q39" t="n">
        <v>1</v>
      </c>
      <c r="R39" s="2" t="inlineStr">
        <is>
          <t>Gullklöver</t>
        </is>
      </c>
      <c r="S39">
        <f>HYPERLINK("https://klasma.github.io/Logging_0115/artfynd/A 54481-2025 artfynd.xlsx", "A 54481-2025")</f>
        <v/>
      </c>
      <c r="T39">
        <f>HYPERLINK("https://klasma.github.io/Logging_0115/kartor/A 54481-2025 karta.png", "A 54481-2025")</f>
        <v/>
      </c>
      <c r="V39">
        <f>HYPERLINK("https://klasma.github.io/Logging_0115/klagomål/A 54481-2025 FSC-klagomål.docx", "A 54481-2025")</f>
        <v/>
      </c>
      <c r="W39">
        <f>HYPERLINK("https://klasma.github.io/Logging_0115/klagomålsmail/A 54481-2025 FSC-klagomål mail.docx", "A 54481-2025")</f>
        <v/>
      </c>
      <c r="X39">
        <f>HYPERLINK("https://klasma.github.io/Logging_0115/tillsyn/A 54481-2025 tillsynsbegäran.docx", "A 54481-2025")</f>
        <v/>
      </c>
      <c r="Y39">
        <f>HYPERLINK("https://klasma.github.io/Logging_0115/tillsynsmail/A 54481-2025 tillsynsbegäran mail.docx", "A 54481-2025")</f>
        <v/>
      </c>
    </row>
    <row r="40" ht="15" customHeight="1">
      <c r="A40" t="inlineStr">
        <is>
          <t>A 12401-2026</t>
        </is>
      </c>
      <c r="B40" s="1" t="n">
        <v>46090</v>
      </c>
      <c r="C40" s="1" t="n">
        <v>46202</v>
      </c>
      <c r="D40" t="inlineStr">
        <is>
          <t>STOCKHOLMS LÄN</t>
        </is>
      </c>
      <c r="E40" t="inlineStr">
        <is>
          <t>VALLENTUNA</t>
        </is>
      </c>
      <c r="G40" t="n">
        <v>5.9</v>
      </c>
      <c r="H40" t="n">
        <v>1</v>
      </c>
      <c r="I40" t="n">
        <v>0</v>
      </c>
      <c r="J40" t="n">
        <v>0</v>
      </c>
      <c r="K40" t="n">
        <v>0</v>
      </c>
      <c r="L40" t="n">
        <v>0</v>
      </c>
      <c r="M40" t="n">
        <v>0</v>
      </c>
      <c r="N40" t="n">
        <v>0</v>
      </c>
      <c r="O40" t="n">
        <v>0</v>
      </c>
      <c r="P40" t="n">
        <v>0</v>
      </c>
      <c r="Q40" t="n">
        <v>1</v>
      </c>
      <c r="R40" s="2" t="inlineStr">
        <is>
          <t>Spillkråka</t>
        </is>
      </c>
      <c r="S40">
        <f>HYPERLINK("https://klasma.github.io/Logging_0115/artfynd/A 12401-2026 artfynd.xlsx", "A 12401-2026")</f>
        <v/>
      </c>
      <c r="T40">
        <f>HYPERLINK("https://klasma.github.io/Logging_0115/kartor/A 12401-2026 karta.png", "A 12401-2026")</f>
        <v/>
      </c>
      <c r="V40">
        <f>HYPERLINK("https://klasma.github.io/Logging_0115/klagomål/A 12401-2026 FSC-klagomål.docx", "A 12401-2026")</f>
        <v/>
      </c>
      <c r="W40">
        <f>HYPERLINK("https://klasma.github.io/Logging_0115/klagomålsmail/A 12401-2026 FSC-klagomål mail.docx", "A 12401-2026")</f>
        <v/>
      </c>
      <c r="X40">
        <f>HYPERLINK("https://klasma.github.io/Logging_0115/tillsyn/A 12401-2026 tillsynsbegäran.docx", "A 12401-2026")</f>
        <v/>
      </c>
      <c r="Y40">
        <f>HYPERLINK("https://klasma.github.io/Logging_0115/tillsynsmail/A 12401-2026 tillsynsbegäran mail.docx", "A 12401-2026")</f>
        <v/>
      </c>
      <c r="Z40">
        <f>HYPERLINK("https://klasma.github.io/Logging_0115/fåglar/A 12401-2026 prioriterade fågelarter.docx", "A 12401-2026")</f>
        <v/>
      </c>
    </row>
    <row r="41" ht="15" customHeight="1">
      <c r="A41" t="inlineStr">
        <is>
          <t>A 12396-2026</t>
        </is>
      </c>
      <c r="B41" s="1" t="n">
        <v>46090</v>
      </c>
      <c r="C41" s="1" t="n">
        <v>46202</v>
      </c>
      <c r="D41" t="inlineStr">
        <is>
          <t>STOCKHOLMS LÄN</t>
        </is>
      </c>
      <c r="E41" t="inlineStr">
        <is>
          <t>VALLENTUNA</t>
        </is>
      </c>
      <c r="G41" t="n">
        <v>3</v>
      </c>
      <c r="H41" t="n">
        <v>1</v>
      </c>
      <c r="I41" t="n">
        <v>0</v>
      </c>
      <c r="J41" t="n">
        <v>0</v>
      </c>
      <c r="K41" t="n">
        <v>0</v>
      </c>
      <c r="L41" t="n">
        <v>0</v>
      </c>
      <c r="M41" t="n">
        <v>0</v>
      </c>
      <c r="N41" t="n">
        <v>0</v>
      </c>
      <c r="O41" t="n">
        <v>0</v>
      </c>
      <c r="P41" t="n">
        <v>0</v>
      </c>
      <c r="Q41" t="n">
        <v>1</v>
      </c>
      <c r="R41" s="2" t="inlineStr">
        <is>
          <t>Spillkråka</t>
        </is>
      </c>
      <c r="S41">
        <f>HYPERLINK("https://klasma.github.io/Logging_0115/artfynd/A 12396-2026 artfynd.xlsx", "A 12396-2026")</f>
        <v/>
      </c>
      <c r="T41">
        <f>HYPERLINK("https://klasma.github.io/Logging_0115/kartor/A 12396-2026 karta.png", "A 12396-2026")</f>
        <v/>
      </c>
      <c r="V41">
        <f>HYPERLINK("https://klasma.github.io/Logging_0115/klagomål/A 12396-2026 FSC-klagomål.docx", "A 12396-2026")</f>
        <v/>
      </c>
      <c r="W41">
        <f>HYPERLINK("https://klasma.github.io/Logging_0115/klagomålsmail/A 12396-2026 FSC-klagomål mail.docx", "A 12396-2026")</f>
        <v/>
      </c>
      <c r="X41">
        <f>HYPERLINK("https://klasma.github.io/Logging_0115/tillsyn/A 12396-2026 tillsynsbegäran.docx", "A 12396-2026")</f>
        <v/>
      </c>
      <c r="Y41">
        <f>HYPERLINK("https://klasma.github.io/Logging_0115/tillsynsmail/A 12396-2026 tillsynsbegäran mail.docx", "A 12396-2026")</f>
        <v/>
      </c>
      <c r="Z41">
        <f>HYPERLINK("https://klasma.github.io/Logging_0115/fåglar/A 12396-2026 prioriterade fågelarter.docx", "A 12396-2026")</f>
        <v/>
      </c>
    </row>
    <row r="42" ht="15" customHeight="1">
      <c r="A42" t="inlineStr">
        <is>
          <t>A 20910-2026</t>
        </is>
      </c>
      <c r="B42" s="1" t="n">
        <v>46142</v>
      </c>
      <c r="C42" s="1" t="n">
        <v>46202</v>
      </c>
      <c r="D42" t="inlineStr">
        <is>
          <t>STOCKHOLMS LÄN</t>
        </is>
      </c>
      <c r="E42" t="inlineStr">
        <is>
          <t>VALLENTUNA</t>
        </is>
      </c>
      <c r="G42" t="n">
        <v>1.8</v>
      </c>
      <c r="H42" t="n">
        <v>1</v>
      </c>
      <c r="I42" t="n">
        <v>0</v>
      </c>
      <c r="J42" t="n">
        <v>0</v>
      </c>
      <c r="K42" t="n">
        <v>0</v>
      </c>
      <c r="L42" t="n">
        <v>0</v>
      </c>
      <c r="M42" t="n">
        <v>0</v>
      </c>
      <c r="N42" t="n">
        <v>0</v>
      </c>
      <c r="O42" t="n">
        <v>0</v>
      </c>
      <c r="P42" t="n">
        <v>0</v>
      </c>
      <c r="Q42" t="n">
        <v>1</v>
      </c>
      <c r="R42" s="2" t="inlineStr">
        <is>
          <t>Revlummer</t>
        </is>
      </c>
      <c r="S42">
        <f>HYPERLINK("https://klasma.github.io/Logging_0115/artfynd/A 20910-2026 artfynd.xlsx", "A 20910-2026")</f>
        <v/>
      </c>
      <c r="T42">
        <f>HYPERLINK("https://klasma.github.io/Logging_0115/kartor/A 20910-2026 karta.png", "A 20910-2026")</f>
        <v/>
      </c>
      <c r="V42">
        <f>HYPERLINK("https://klasma.github.io/Logging_0115/klagomål/A 20910-2026 FSC-klagomål.docx", "A 20910-2026")</f>
        <v/>
      </c>
      <c r="W42">
        <f>HYPERLINK("https://klasma.github.io/Logging_0115/klagomålsmail/A 20910-2026 FSC-klagomål mail.docx", "A 20910-2026")</f>
        <v/>
      </c>
      <c r="X42">
        <f>HYPERLINK("https://klasma.github.io/Logging_0115/tillsyn/A 20910-2026 tillsynsbegäran.docx", "A 20910-2026")</f>
        <v/>
      </c>
      <c r="Y42">
        <f>HYPERLINK("https://klasma.github.io/Logging_0115/tillsynsmail/A 20910-2026 tillsynsbegäran mail.docx", "A 20910-2026")</f>
        <v/>
      </c>
    </row>
    <row r="43" ht="15" customHeight="1">
      <c r="A43" t="inlineStr">
        <is>
          <t>A 20914-2026</t>
        </is>
      </c>
      <c r="B43" s="1" t="n">
        <v>46142</v>
      </c>
      <c r="C43" s="1" t="n">
        <v>46202</v>
      </c>
      <c r="D43" t="inlineStr">
        <is>
          <t>STOCKHOLMS LÄN</t>
        </is>
      </c>
      <c r="E43" t="inlineStr">
        <is>
          <t>VALLENTUNA</t>
        </is>
      </c>
      <c r="G43" t="n">
        <v>1.1</v>
      </c>
      <c r="H43" t="n">
        <v>0</v>
      </c>
      <c r="I43" t="n">
        <v>0</v>
      </c>
      <c r="J43" t="n">
        <v>1</v>
      </c>
      <c r="K43" t="n">
        <v>0</v>
      </c>
      <c r="L43" t="n">
        <v>0</v>
      </c>
      <c r="M43" t="n">
        <v>0</v>
      </c>
      <c r="N43" t="n">
        <v>0</v>
      </c>
      <c r="O43" t="n">
        <v>1</v>
      </c>
      <c r="P43" t="n">
        <v>0</v>
      </c>
      <c r="Q43" t="n">
        <v>1</v>
      </c>
      <c r="R43" s="2" t="inlineStr">
        <is>
          <t>Tallticka</t>
        </is>
      </c>
      <c r="S43">
        <f>HYPERLINK("https://klasma.github.io/Logging_0115/artfynd/A 20914-2026 artfynd.xlsx", "A 20914-2026")</f>
        <v/>
      </c>
      <c r="T43">
        <f>HYPERLINK("https://klasma.github.io/Logging_0115/kartor/A 20914-2026 karta.png", "A 20914-2026")</f>
        <v/>
      </c>
      <c r="V43">
        <f>HYPERLINK("https://klasma.github.io/Logging_0115/klagomål/A 20914-2026 FSC-klagomål.docx", "A 20914-2026")</f>
        <v/>
      </c>
      <c r="W43">
        <f>HYPERLINK("https://klasma.github.io/Logging_0115/klagomålsmail/A 20914-2026 FSC-klagomål mail.docx", "A 20914-2026")</f>
        <v/>
      </c>
      <c r="X43">
        <f>HYPERLINK("https://klasma.github.io/Logging_0115/tillsyn/A 20914-2026 tillsynsbegäran.docx", "A 20914-2026")</f>
        <v/>
      </c>
      <c r="Y43">
        <f>HYPERLINK("https://klasma.github.io/Logging_0115/tillsynsmail/A 20914-2026 tillsynsbegäran mail.docx", "A 20914-2026")</f>
        <v/>
      </c>
    </row>
    <row r="44" ht="15" customHeight="1">
      <c r="A44" t="inlineStr">
        <is>
          <t>A 8089-2022</t>
        </is>
      </c>
      <c r="B44" s="1" t="n">
        <v>44609</v>
      </c>
      <c r="C44" s="1" t="n">
        <v>46202</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46202</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46202</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46202</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46202</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7276-2022</t>
        </is>
      </c>
      <c r="B49" s="1" t="n">
        <v>44606</v>
      </c>
      <c r="C49" s="1" t="n">
        <v>46202</v>
      </c>
      <c r="D49" t="inlineStr">
        <is>
          <t>STOCKHOLMS LÄN</t>
        </is>
      </c>
      <c r="E49" t="inlineStr">
        <is>
          <t>VALLENTUNA</t>
        </is>
      </c>
      <c r="G49" t="n">
        <v>1.7</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46202</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48078-2021</t>
        </is>
      </c>
      <c r="B51" s="1" t="n">
        <v>44449</v>
      </c>
      <c r="C51" s="1" t="n">
        <v>46202</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46202</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46202</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46202</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46202</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29704-2023</t>
        </is>
      </c>
      <c r="B56" s="1" t="n">
        <v>45107</v>
      </c>
      <c r="C56" s="1" t="n">
        <v>46202</v>
      </c>
      <c r="D56" t="inlineStr">
        <is>
          <t>STOCKHOLMS LÄN</t>
        </is>
      </c>
      <c r="E56" t="inlineStr">
        <is>
          <t>VALLENTUNA</t>
        </is>
      </c>
      <c r="G56" t="n">
        <v>3.7</v>
      </c>
      <c r="H56" t="n">
        <v>0</v>
      </c>
      <c r="I56" t="n">
        <v>0</v>
      </c>
      <c r="J56" t="n">
        <v>0</v>
      </c>
      <c r="K56" t="n">
        <v>0</v>
      </c>
      <c r="L56" t="n">
        <v>0</v>
      </c>
      <c r="M56" t="n">
        <v>0</v>
      </c>
      <c r="N56" t="n">
        <v>0</v>
      </c>
      <c r="O56" t="n">
        <v>0</v>
      </c>
      <c r="P56" t="n">
        <v>0</v>
      </c>
      <c r="Q56" t="n">
        <v>0</v>
      </c>
      <c r="R56" s="2" t="inlineStr"/>
    </row>
    <row r="57" ht="15" customHeight="1">
      <c r="A57" t="inlineStr">
        <is>
          <t>A 8077-2022</t>
        </is>
      </c>
      <c r="B57" s="1" t="n">
        <v>44609</v>
      </c>
      <c r="C57" s="1" t="n">
        <v>46202</v>
      </c>
      <c r="D57" t="inlineStr">
        <is>
          <t>STOCKHOLMS LÄN</t>
        </is>
      </c>
      <c r="E57" t="inlineStr">
        <is>
          <t>VALLENTUNA</t>
        </is>
      </c>
      <c r="G57" t="n">
        <v>1.3</v>
      </c>
      <c r="H57" t="n">
        <v>0</v>
      </c>
      <c r="I57" t="n">
        <v>0</v>
      </c>
      <c r="J57" t="n">
        <v>0</v>
      </c>
      <c r="K57" t="n">
        <v>0</v>
      </c>
      <c r="L57" t="n">
        <v>0</v>
      </c>
      <c r="M57" t="n">
        <v>0</v>
      </c>
      <c r="N57" t="n">
        <v>0</v>
      </c>
      <c r="O57" t="n">
        <v>0</v>
      </c>
      <c r="P57" t="n">
        <v>0</v>
      </c>
      <c r="Q57" t="n">
        <v>0</v>
      </c>
      <c r="R57" s="2" t="inlineStr"/>
    </row>
    <row r="58" ht="15" customHeight="1">
      <c r="A58" t="inlineStr">
        <is>
          <t>A 47140-2024</t>
        </is>
      </c>
      <c r="B58" s="1" t="n">
        <v>45586</v>
      </c>
      <c r="C58" s="1" t="n">
        <v>46202</v>
      </c>
      <c r="D58" t="inlineStr">
        <is>
          <t>STOCKHOLMS LÄN</t>
        </is>
      </c>
      <c r="E58" t="inlineStr">
        <is>
          <t>VALLENTUNA</t>
        </is>
      </c>
      <c r="G58" t="n">
        <v>1</v>
      </c>
      <c r="H58" t="n">
        <v>0</v>
      </c>
      <c r="I58" t="n">
        <v>0</v>
      </c>
      <c r="J58" t="n">
        <v>0</v>
      </c>
      <c r="K58" t="n">
        <v>0</v>
      </c>
      <c r="L58" t="n">
        <v>0</v>
      </c>
      <c r="M58" t="n">
        <v>0</v>
      </c>
      <c r="N58" t="n">
        <v>0</v>
      </c>
      <c r="O58" t="n">
        <v>0</v>
      </c>
      <c r="P58" t="n">
        <v>0</v>
      </c>
      <c r="Q58" t="n">
        <v>0</v>
      </c>
      <c r="R58" s="2" t="inlineStr"/>
    </row>
    <row r="59" ht="15" customHeight="1">
      <c r="A59" t="inlineStr">
        <is>
          <t>A 12609-2024</t>
        </is>
      </c>
      <c r="B59" s="1" t="n">
        <v>45382</v>
      </c>
      <c r="C59" s="1" t="n">
        <v>46202</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13836-2022</t>
        </is>
      </c>
      <c r="B60" s="1" t="n">
        <v>44649</v>
      </c>
      <c r="C60" s="1" t="n">
        <v>46202</v>
      </c>
      <c r="D60" t="inlineStr">
        <is>
          <t>STOCKHOLMS LÄN</t>
        </is>
      </c>
      <c r="E60" t="inlineStr">
        <is>
          <t>VALLENTUNA</t>
        </is>
      </c>
      <c r="G60" t="n">
        <v>3.5</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46202</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46202</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22683-2023</t>
        </is>
      </c>
      <c r="B63" s="1" t="n">
        <v>45071</v>
      </c>
      <c r="C63" s="1" t="n">
        <v>46202</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24707-2023</t>
        </is>
      </c>
      <c r="B64" s="1" t="n">
        <v>45084</v>
      </c>
      <c r="C64" s="1" t="n">
        <v>46202</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21765-2023</t>
        </is>
      </c>
      <c r="B65" s="1" t="n">
        <v>45064</v>
      </c>
      <c r="C65" s="1" t="n">
        <v>46202</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21614-2022</t>
        </is>
      </c>
      <c r="B66" s="1" t="n">
        <v>44706</v>
      </c>
      <c r="C66" s="1" t="n">
        <v>46202</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5910-2022</t>
        </is>
      </c>
      <c r="B67" s="1" t="n">
        <v>44597</v>
      </c>
      <c r="C67" s="1" t="n">
        <v>46202</v>
      </c>
      <c r="D67" t="inlineStr">
        <is>
          <t>STOCKHOLMS LÄN</t>
        </is>
      </c>
      <c r="E67" t="inlineStr">
        <is>
          <t>VALLENTUNA</t>
        </is>
      </c>
      <c r="G67" t="n">
        <v>0.6</v>
      </c>
      <c r="H67" t="n">
        <v>0</v>
      </c>
      <c r="I67" t="n">
        <v>0</v>
      </c>
      <c r="J67" t="n">
        <v>0</v>
      </c>
      <c r="K67" t="n">
        <v>0</v>
      </c>
      <c r="L67" t="n">
        <v>0</v>
      </c>
      <c r="M67" t="n">
        <v>0</v>
      </c>
      <c r="N67" t="n">
        <v>0</v>
      </c>
      <c r="O67" t="n">
        <v>0</v>
      </c>
      <c r="P67" t="n">
        <v>0</v>
      </c>
      <c r="Q67" t="n">
        <v>0</v>
      </c>
      <c r="R67" s="2" t="inlineStr"/>
    </row>
    <row r="68" ht="15" customHeight="1">
      <c r="A68" t="inlineStr">
        <is>
          <t>A 17411-2023</t>
        </is>
      </c>
      <c r="B68" s="1" t="n">
        <v>45035</v>
      </c>
      <c r="C68" s="1" t="n">
        <v>46202</v>
      </c>
      <c r="D68" t="inlineStr">
        <is>
          <t>STOCKHOLMS LÄN</t>
        </is>
      </c>
      <c r="E68" t="inlineStr">
        <is>
          <t>VALLENTUNA</t>
        </is>
      </c>
      <c r="G68" t="n">
        <v>0.7</v>
      </c>
      <c r="H68" t="n">
        <v>0</v>
      </c>
      <c r="I68" t="n">
        <v>0</v>
      </c>
      <c r="J68" t="n">
        <v>0</v>
      </c>
      <c r="K68" t="n">
        <v>0</v>
      </c>
      <c r="L68" t="n">
        <v>0</v>
      </c>
      <c r="M68" t="n">
        <v>0</v>
      </c>
      <c r="N68" t="n">
        <v>0</v>
      </c>
      <c r="O68" t="n">
        <v>0</v>
      </c>
      <c r="P68" t="n">
        <v>0</v>
      </c>
      <c r="Q68" t="n">
        <v>0</v>
      </c>
      <c r="R68" s="2" t="inlineStr"/>
    </row>
    <row r="69" ht="15" customHeight="1">
      <c r="A69" t="inlineStr">
        <is>
          <t>A 23986-2023</t>
        </is>
      </c>
      <c r="B69" s="1" t="n">
        <v>45078</v>
      </c>
      <c r="C69" s="1" t="n">
        <v>46202</v>
      </c>
      <c r="D69" t="inlineStr">
        <is>
          <t>STOCKHOLMS LÄN</t>
        </is>
      </c>
      <c r="E69" t="inlineStr">
        <is>
          <t>VALLENTUNA</t>
        </is>
      </c>
      <c r="F69" t="inlineStr">
        <is>
          <t>Kyrkan</t>
        </is>
      </c>
      <c r="G69" t="n">
        <v>5.7</v>
      </c>
      <c r="H69" t="n">
        <v>0</v>
      </c>
      <c r="I69" t="n">
        <v>0</v>
      </c>
      <c r="J69" t="n">
        <v>0</v>
      </c>
      <c r="K69" t="n">
        <v>0</v>
      </c>
      <c r="L69" t="n">
        <v>0</v>
      </c>
      <c r="M69" t="n">
        <v>0</v>
      </c>
      <c r="N69" t="n">
        <v>0</v>
      </c>
      <c r="O69" t="n">
        <v>0</v>
      </c>
      <c r="P69" t="n">
        <v>0</v>
      </c>
      <c r="Q69" t="n">
        <v>0</v>
      </c>
      <c r="R69" s="2" t="inlineStr"/>
    </row>
    <row r="70" ht="15" customHeight="1">
      <c r="A70" t="inlineStr">
        <is>
          <t>A 61742-2022</t>
        </is>
      </c>
      <c r="B70" s="1" t="n">
        <v>44917</v>
      </c>
      <c r="C70" s="1" t="n">
        <v>46202</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60795-2023</t>
        </is>
      </c>
      <c r="B71" s="1" t="n">
        <v>45260</v>
      </c>
      <c r="C71" s="1" t="n">
        <v>46202</v>
      </c>
      <c r="D71" t="inlineStr">
        <is>
          <t>STOCKHOLMS LÄN</t>
        </is>
      </c>
      <c r="E71" t="inlineStr">
        <is>
          <t>VALLENTUNA</t>
        </is>
      </c>
      <c r="G71" t="n">
        <v>2.2</v>
      </c>
      <c r="H71" t="n">
        <v>0</v>
      </c>
      <c r="I71" t="n">
        <v>0</v>
      </c>
      <c r="J71" t="n">
        <v>0</v>
      </c>
      <c r="K71" t="n">
        <v>0</v>
      </c>
      <c r="L71" t="n">
        <v>0</v>
      </c>
      <c r="M71" t="n">
        <v>0</v>
      </c>
      <c r="N71" t="n">
        <v>0</v>
      </c>
      <c r="O71" t="n">
        <v>0</v>
      </c>
      <c r="P71" t="n">
        <v>0</v>
      </c>
      <c r="Q71" t="n">
        <v>0</v>
      </c>
      <c r="R71" s="2" t="inlineStr"/>
    </row>
    <row r="72" ht="15" customHeight="1">
      <c r="A72" t="inlineStr">
        <is>
          <t>A 14775-2024</t>
        </is>
      </c>
      <c r="B72" s="1" t="n">
        <v>45397</v>
      </c>
      <c r="C72" s="1" t="n">
        <v>46202</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12562-2023</t>
        </is>
      </c>
      <c r="B73" s="1" t="n">
        <v>45000</v>
      </c>
      <c r="C73" s="1" t="n">
        <v>46202</v>
      </c>
      <c r="D73" t="inlineStr">
        <is>
          <t>STOCKHOLMS LÄN</t>
        </is>
      </c>
      <c r="E73" t="inlineStr">
        <is>
          <t>VALLENTUNA</t>
        </is>
      </c>
      <c r="G73" t="n">
        <v>2.1</v>
      </c>
      <c r="H73" t="n">
        <v>0</v>
      </c>
      <c r="I73" t="n">
        <v>0</v>
      </c>
      <c r="J73" t="n">
        <v>0</v>
      </c>
      <c r="K73" t="n">
        <v>0</v>
      </c>
      <c r="L73" t="n">
        <v>0</v>
      </c>
      <c r="M73" t="n">
        <v>0</v>
      </c>
      <c r="N73" t="n">
        <v>0</v>
      </c>
      <c r="O73" t="n">
        <v>0</v>
      </c>
      <c r="P73" t="n">
        <v>0</v>
      </c>
      <c r="Q73" t="n">
        <v>0</v>
      </c>
      <c r="R73" s="2" t="inlineStr"/>
    </row>
    <row r="74" ht="15" customHeight="1">
      <c r="A74" t="inlineStr">
        <is>
          <t>A 8787-2024</t>
        </is>
      </c>
      <c r="B74" s="1" t="n">
        <v>45356</v>
      </c>
      <c r="C74" s="1" t="n">
        <v>46202</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14480-2024</t>
        </is>
      </c>
      <c r="B75" s="1" t="n">
        <v>45394</v>
      </c>
      <c r="C75" s="1" t="n">
        <v>46202</v>
      </c>
      <c r="D75" t="inlineStr">
        <is>
          <t>STOCKHOLMS LÄN</t>
        </is>
      </c>
      <c r="E75" t="inlineStr">
        <is>
          <t>VALLENTUNA</t>
        </is>
      </c>
      <c r="G75" t="n">
        <v>1.8</v>
      </c>
      <c r="H75" t="n">
        <v>0</v>
      </c>
      <c r="I75" t="n">
        <v>0</v>
      </c>
      <c r="J75" t="n">
        <v>0</v>
      </c>
      <c r="K75" t="n">
        <v>0</v>
      </c>
      <c r="L75" t="n">
        <v>0</v>
      </c>
      <c r="M75" t="n">
        <v>0</v>
      </c>
      <c r="N75" t="n">
        <v>0</v>
      </c>
      <c r="O75" t="n">
        <v>0</v>
      </c>
      <c r="P75" t="n">
        <v>0</v>
      </c>
      <c r="Q75" t="n">
        <v>0</v>
      </c>
      <c r="R75" s="2" t="inlineStr"/>
    </row>
    <row r="76" ht="15" customHeight="1">
      <c r="A76" t="inlineStr">
        <is>
          <t>A 17340-2025</t>
        </is>
      </c>
      <c r="B76" s="1" t="n">
        <v>45756</v>
      </c>
      <c r="C76" s="1" t="n">
        <v>46202</v>
      </c>
      <c r="D76" t="inlineStr">
        <is>
          <t>STOCKHOLMS LÄN</t>
        </is>
      </c>
      <c r="E76" t="inlineStr">
        <is>
          <t>VALLENTUNA</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3937-2022</t>
        </is>
      </c>
      <c r="B77" s="1" t="n">
        <v>44587</v>
      </c>
      <c r="C77" s="1" t="n">
        <v>46202</v>
      </c>
      <c r="D77" t="inlineStr">
        <is>
          <t>STOCKHOLMS LÄN</t>
        </is>
      </c>
      <c r="E77" t="inlineStr">
        <is>
          <t>VALLENTUNA</t>
        </is>
      </c>
      <c r="G77" t="n">
        <v>6.6</v>
      </c>
      <c r="H77" t="n">
        <v>0</v>
      </c>
      <c r="I77" t="n">
        <v>0</v>
      </c>
      <c r="J77" t="n">
        <v>0</v>
      </c>
      <c r="K77" t="n">
        <v>0</v>
      </c>
      <c r="L77" t="n">
        <v>0</v>
      </c>
      <c r="M77" t="n">
        <v>0</v>
      </c>
      <c r="N77" t="n">
        <v>0</v>
      </c>
      <c r="O77" t="n">
        <v>0</v>
      </c>
      <c r="P77" t="n">
        <v>0</v>
      </c>
      <c r="Q77" t="n">
        <v>0</v>
      </c>
      <c r="R77" s="2" t="inlineStr"/>
    </row>
    <row r="78" ht="15" customHeight="1">
      <c r="A78" t="inlineStr">
        <is>
          <t>A 23013-2024</t>
        </is>
      </c>
      <c r="B78" s="1" t="n">
        <v>45450</v>
      </c>
      <c r="C78" s="1" t="n">
        <v>46202</v>
      </c>
      <c r="D78" t="inlineStr">
        <is>
          <t>STOCKHOLMS LÄN</t>
        </is>
      </c>
      <c r="E78" t="inlineStr">
        <is>
          <t>VALLENTUNA</t>
        </is>
      </c>
      <c r="G78" t="n">
        <v>0.4</v>
      </c>
      <c r="H78" t="n">
        <v>0</v>
      </c>
      <c r="I78" t="n">
        <v>0</v>
      </c>
      <c r="J78" t="n">
        <v>0</v>
      </c>
      <c r="K78" t="n">
        <v>0</v>
      </c>
      <c r="L78" t="n">
        <v>0</v>
      </c>
      <c r="M78" t="n">
        <v>0</v>
      </c>
      <c r="N78" t="n">
        <v>0</v>
      </c>
      <c r="O78" t="n">
        <v>0</v>
      </c>
      <c r="P78" t="n">
        <v>0</v>
      </c>
      <c r="Q78" t="n">
        <v>0</v>
      </c>
      <c r="R78" s="2" t="inlineStr"/>
    </row>
    <row r="79" ht="15" customHeight="1">
      <c r="A79" t="inlineStr">
        <is>
          <t>A 3078-2023</t>
        </is>
      </c>
      <c r="B79" s="1" t="n">
        <v>44946</v>
      </c>
      <c r="C79" s="1" t="n">
        <v>46202</v>
      </c>
      <c r="D79" t="inlineStr">
        <is>
          <t>STOCKHOLMS LÄN</t>
        </is>
      </c>
      <c r="E79" t="inlineStr">
        <is>
          <t>VALLENTUNA</t>
        </is>
      </c>
      <c r="G79" t="n">
        <v>3.9</v>
      </c>
      <c r="H79" t="n">
        <v>0</v>
      </c>
      <c r="I79" t="n">
        <v>0</v>
      </c>
      <c r="J79" t="n">
        <v>0</v>
      </c>
      <c r="K79" t="n">
        <v>0</v>
      </c>
      <c r="L79" t="n">
        <v>0</v>
      </c>
      <c r="M79" t="n">
        <v>0</v>
      </c>
      <c r="N79" t="n">
        <v>0</v>
      </c>
      <c r="O79" t="n">
        <v>0</v>
      </c>
      <c r="P79" t="n">
        <v>0</v>
      </c>
      <c r="Q79" t="n">
        <v>0</v>
      </c>
      <c r="R79" s="2" t="inlineStr"/>
    </row>
    <row r="80" ht="15" customHeight="1">
      <c r="A80" t="inlineStr">
        <is>
          <t>A 1385-2024</t>
        </is>
      </c>
      <c r="B80" s="1" t="n">
        <v>45303</v>
      </c>
      <c r="C80" s="1" t="n">
        <v>46202</v>
      </c>
      <c r="D80" t="inlineStr">
        <is>
          <t>STOCKHOLMS LÄN</t>
        </is>
      </c>
      <c r="E80" t="inlineStr">
        <is>
          <t>VALLENTUNA</t>
        </is>
      </c>
      <c r="G80" t="n">
        <v>2.6</v>
      </c>
      <c r="H80" t="n">
        <v>0</v>
      </c>
      <c r="I80" t="n">
        <v>0</v>
      </c>
      <c r="J80" t="n">
        <v>0</v>
      </c>
      <c r="K80" t="n">
        <v>0</v>
      </c>
      <c r="L80" t="n">
        <v>0</v>
      </c>
      <c r="M80" t="n">
        <v>0</v>
      </c>
      <c r="N80" t="n">
        <v>0</v>
      </c>
      <c r="O80" t="n">
        <v>0</v>
      </c>
      <c r="P80" t="n">
        <v>0</v>
      </c>
      <c r="Q80" t="n">
        <v>0</v>
      </c>
      <c r="R80" s="2" t="inlineStr"/>
    </row>
    <row r="81" ht="15" customHeight="1">
      <c r="A81" t="inlineStr">
        <is>
          <t>A 14782-2024</t>
        </is>
      </c>
      <c r="B81" s="1" t="n">
        <v>45397</v>
      </c>
      <c r="C81" s="1" t="n">
        <v>46202</v>
      </c>
      <c r="D81" t="inlineStr">
        <is>
          <t>STOCKHOLMS LÄN</t>
        </is>
      </c>
      <c r="E81" t="inlineStr">
        <is>
          <t>VALLENTUNA</t>
        </is>
      </c>
      <c r="G81" t="n">
        <v>3.1</v>
      </c>
      <c r="H81" t="n">
        <v>0</v>
      </c>
      <c r="I81" t="n">
        <v>0</v>
      </c>
      <c r="J81" t="n">
        <v>0</v>
      </c>
      <c r="K81" t="n">
        <v>0</v>
      </c>
      <c r="L81" t="n">
        <v>0</v>
      </c>
      <c r="M81" t="n">
        <v>0</v>
      </c>
      <c r="N81" t="n">
        <v>0</v>
      </c>
      <c r="O81" t="n">
        <v>0</v>
      </c>
      <c r="P81" t="n">
        <v>0</v>
      </c>
      <c r="Q81" t="n">
        <v>0</v>
      </c>
      <c r="R81" s="2" t="inlineStr"/>
    </row>
    <row r="82" ht="15" customHeight="1">
      <c r="A82" t="inlineStr">
        <is>
          <t>A 45496-2023</t>
        </is>
      </c>
      <c r="B82" s="1" t="n">
        <v>45194</v>
      </c>
      <c r="C82" s="1" t="n">
        <v>46202</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52562-2023</t>
        </is>
      </c>
      <c r="B83" s="1" t="n">
        <v>45225</v>
      </c>
      <c r="C83" s="1" t="n">
        <v>46202</v>
      </c>
      <c r="D83" t="inlineStr">
        <is>
          <t>STOCKHOLMS LÄN</t>
        </is>
      </c>
      <c r="E83" t="inlineStr">
        <is>
          <t>VALLENTUNA</t>
        </is>
      </c>
      <c r="G83" t="n">
        <v>3.4</v>
      </c>
      <c r="H83" t="n">
        <v>0</v>
      </c>
      <c r="I83" t="n">
        <v>0</v>
      </c>
      <c r="J83" t="n">
        <v>0</v>
      </c>
      <c r="K83" t="n">
        <v>0</v>
      </c>
      <c r="L83" t="n">
        <v>0</v>
      </c>
      <c r="M83" t="n">
        <v>0</v>
      </c>
      <c r="N83" t="n">
        <v>0</v>
      </c>
      <c r="O83" t="n">
        <v>0</v>
      </c>
      <c r="P83" t="n">
        <v>0</v>
      </c>
      <c r="Q83" t="n">
        <v>0</v>
      </c>
      <c r="R83" s="2" t="inlineStr"/>
    </row>
    <row r="84" ht="15" customHeight="1">
      <c r="A84" t="inlineStr">
        <is>
          <t>A 49530-2023</t>
        </is>
      </c>
      <c r="B84" s="1" t="n">
        <v>45205</v>
      </c>
      <c r="C84" s="1" t="n">
        <v>46202</v>
      </c>
      <c r="D84" t="inlineStr">
        <is>
          <t>STOCKHOLMS LÄN</t>
        </is>
      </c>
      <c r="E84" t="inlineStr">
        <is>
          <t>VALLENTUNA</t>
        </is>
      </c>
      <c r="G84" t="n">
        <v>1.2</v>
      </c>
      <c r="H84" t="n">
        <v>0</v>
      </c>
      <c r="I84" t="n">
        <v>0</v>
      </c>
      <c r="J84" t="n">
        <v>0</v>
      </c>
      <c r="K84" t="n">
        <v>0</v>
      </c>
      <c r="L84" t="n">
        <v>0</v>
      </c>
      <c r="M84" t="n">
        <v>0</v>
      </c>
      <c r="N84" t="n">
        <v>0</v>
      </c>
      <c r="O84" t="n">
        <v>0</v>
      </c>
      <c r="P84" t="n">
        <v>0</v>
      </c>
      <c r="Q84" t="n">
        <v>0</v>
      </c>
      <c r="R84" s="2" t="inlineStr"/>
    </row>
    <row r="85" ht="15" customHeight="1">
      <c r="A85" t="inlineStr">
        <is>
          <t>A 52542-2023</t>
        </is>
      </c>
      <c r="B85" s="1" t="n">
        <v>45225</v>
      </c>
      <c r="C85" s="1" t="n">
        <v>46202</v>
      </c>
      <c r="D85" t="inlineStr">
        <is>
          <t>STOCKHOLMS LÄN</t>
        </is>
      </c>
      <c r="E85" t="inlineStr">
        <is>
          <t>VALLENTUNA</t>
        </is>
      </c>
      <c r="G85" t="n">
        <v>3.8</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46202</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2318-2024</t>
        </is>
      </c>
      <c r="B87" s="1" t="n">
        <v>45310</v>
      </c>
      <c r="C87" s="1" t="n">
        <v>46202</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9063-2024</t>
        </is>
      </c>
      <c r="B88" s="1" t="n">
        <v>45357</v>
      </c>
      <c r="C88" s="1" t="n">
        <v>46202</v>
      </c>
      <c r="D88" t="inlineStr">
        <is>
          <t>STOCKHOLMS LÄN</t>
        </is>
      </c>
      <c r="E88" t="inlineStr">
        <is>
          <t>VALLENTUNA</t>
        </is>
      </c>
      <c r="G88" t="n">
        <v>4.1</v>
      </c>
      <c r="H88" t="n">
        <v>0</v>
      </c>
      <c r="I88" t="n">
        <v>0</v>
      </c>
      <c r="J88" t="n">
        <v>0</v>
      </c>
      <c r="K88" t="n">
        <v>0</v>
      </c>
      <c r="L88" t="n">
        <v>0</v>
      </c>
      <c r="M88" t="n">
        <v>0</v>
      </c>
      <c r="N88" t="n">
        <v>0</v>
      </c>
      <c r="O88" t="n">
        <v>0</v>
      </c>
      <c r="P88" t="n">
        <v>0</v>
      </c>
      <c r="Q88" t="n">
        <v>0</v>
      </c>
      <c r="R88" s="2" t="inlineStr"/>
    </row>
    <row r="89" ht="15" customHeight="1">
      <c r="A89" t="inlineStr">
        <is>
          <t>A 21445-2023</t>
        </is>
      </c>
      <c r="B89" s="1" t="n">
        <v>45063</v>
      </c>
      <c r="C89" s="1" t="n">
        <v>46202</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7264-2022</t>
        </is>
      </c>
      <c r="B90" s="1" t="n">
        <v>44606</v>
      </c>
      <c r="C90" s="1" t="n">
        <v>46202</v>
      </c>
      <c r="D90" t="inlineStr">
        <is>
          <t>STOCKHOLMS LÄN</t>
        </is>
      </c>
      <c r="E90" t="inlineStr">
        <is>
          <t>VALLENTUNA</t>
        </is>
      </c>
      <c r="G90" t="n">
        <v>2.4</v>
      </c>
      <c r="H90" t="n">
        <v>0</v>
      </c>
      <c r="I90" t="n">
        <v>0</v>
      </c>
      <c r="J90" t="n">
        <v>0</v>
      </c>
      <c r="K90" t="n">
        <v>0</v>
      </c>
      <c r="L90" t="n">
        <v>0</v>
      </c>
      <c r="M90" t="n">
        <v>0</v>
      </c>
      <c r="N90" t="n">
        <v>0</v>
      </c>
      <c r="O90" t="n">
        <v>0</v>
      </c>
      <c r="P90" t="n">
        <v>0</v>
      </c>
      <c r="Q90" t="n">
        <v>0</v>
      </c>
      <c r="R90" s="2" t="inlineStr"/>
    </row>
    <row r="91" ht="15" customHeight="1">
      <c r="A91" t="inlineStr">
        <is>
          <t>A 19503-2023</t>
        </is>
      </c>
      <c r="B91" s="1" t="n">
        <v>45050</v>
      </c>
      <c r="C91" s="1" t="n">
        <v>46202</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30902-2025</t>
        </is>
      </c>
      <c r="B92" s="1" t="n">
        <v>45832</v>
      </c>
      <c r="C92" s="1" t="n">
        <v>46202</v>
      </c>
      <c r="D92" t="inlineStr">
        <is>
          <t>STOCKHOLMS LÄN</t>
        </is>
      </c>
      <c r="E92" t="inlineStr">
        <is>
          <t>VALLENTUNA</t>
        </is>
      </c>
      <c r="G92" t="n">
        <v>8.199999999999999</v>
      </c>
      <c r="H92" t="n">
        <v>0</v>
      </c>
      <c r="I92" t="n">
        <v>0</v>
      </c>
      <c r="J92" t="n">
        <v>0</v>
      </c>
      <c r="K92" t="n">
        <v>0</v>
      </c>
      <c r="L92" t="n">
        <v>0</v>
      </c>
      <c r="M92" t="n">
        <v>0</v>
      </c>
      <c r="N92" t="n">
        <v>0</v>
      </c>
      <c r="O92" t="n">
        <v>0</v>
      </c>
      <c r="P92" t="n">
        <v>0</v>
      </c>
      <c r="Q92" t="n">
        <v>0</v>
      </c>
      <c r="R92" s="2" t="inlineStr"/>
    </row>
    <row r="93" ht="15" customHeight="1">
      <c r="A93" t="inlineStr">
        <is>
          <t>A 34441-2023</t>
        </is>
      </c>
      <c r="B93" s="1" t="n">
        <v>45139</v>
      </c>
      <c r="C93" s="1" t="n">
        <v>46202</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34445-2023</t>
        </is>
      </c>
      <c r="B94" s="1" t="n">
        <v>45139</v>
      </c>
      <c r="C94" s="1" t="n">
        <v>46202</v>
      </c>
      <c r="D94" t="inlineStr">
        <is>
          <t>STOCKHOLMS LÄN</t>
        </is>
      </c>
      <c r="E94" t="inlineStr">
        <is>
          <t>VALLENTUNA</t>
        </is>
      </c>
      <c r="G94" t="n">
        <v>0.9</v>
      </c>
      <c r="H94" t="n">
        <v>0</v>
      </c>
      <c r="I94" t="n">
        <v>0</v>
      </c>
      <c r="J94" t="n">
        <v>0</v>
      </c>
      <c r="K94" t="n">
        <v>0</v>
      </c>
      <c r="L94" t="n">
        <v>0</v>
      </c>
      <c r="M94" t="n">
        <v>0</v>
      </c>
      <c r="N94" t="n">
        <v>0</v>
      </c>
      <c r="O94" t="n">
        <v>0</v>
      </c>
      <c r="P94" t="n">
        <v>0</v>
      </c>
      <c r="Q94" t="n">
        <v>0</v>
      </c>
      <c r="R94" s="2" t="inlineStr"/>
    </row>
    <row r="95" ht="15" customHeight="1">
      <c r="A95" t="inlineStr">
        <is>
          <t>A 28431-2025</t>
        </is>
      </c>
      <c r="B95" s="1" t="n">
        <v>45819</v>
      </c>
      <c r="C95" s="1" t="n">
        <v>46202</v>
      </c>
      <c r="D95" t="inlineStr">
        <is>
          <t>STOCKHOLMS LÄN</t>
        </is>
      </c>
      <c r="E95" t="inlineStr">
        <is>
          <t>VALLENTUNA</t>
        </is>
      </c>
      <c r="G95" t="n">
        <v>1.5</v>
      </c>
      <c r="H95" t="n">
        <v>0</v>
      </c>
      <c r="I95" t="n">
        <v>0</v>
      </c>
      <c r="J95" t="n">
        <v>0</v>
      </c>
      <c r="K95" t="n">
        <v>0</v>
      </c>
      <c r="L95" t="n">
        <v>0</v>
      </c>
      <c r="M95" t="n">
        <v>0</v>
      </c>
      <c r="N95" t="n">
        <v>0</v>
      </c>
      <c r="O95" t="n">
        <v>0</v>
      </c>
      <c r="P95" t="n">
        <v>0</v>
      </c>
      <c r="Q95" t="n">
        <v>0</v>
      </c>
      <c r="R95" s="2" t="inlineStr"/>
    </row>
    <row r="96" ht="15" customHeight="1">
      <c r="A96" t="inlineStr">
        <is>
          <t>A 12585-2023</t>
        </is>
      </c>
      <c r="B96" s="1" t="n">
        <v>45000</v>
      </c>
      <c r="C96" s="1" t="n">
        <v>46202</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4803-2024</t>
        </is>
      </c>
      <c r="B97" s="1" t="n">
        <v>45328</v>
      </c>
      <c r="C97" s="1" t="n">
        <v>46202</v>
      </c>
      <c r="D97" t="inlineStr">
        <is>
          <t>STOCKHOLMS LÄN</t>
        </is>
      </c>
      <c r="E97" t="inlineStr">
        <is>
          <t>VALLENTUNA</t>
        </is>
      </c>
      <c r="G97" t="n">
        <v>4.6</v>
      </c>
      <c r="H97" t="n">
        <v>0</v>
      </c>
      <c r="I97" t="n">
        <v>0</v>
      </c>
      <c r="J97" t="n">
        <v>0</v>
      </c>
      <c r="K97" t="n">
        <v>0</v>
      </c>
      <c r="L97" t="n">
        <v>0</v>
      </c>
      <c r="M97" t="n">
        <v>0</v>
      </c>
      <c r="N97" t="n">
        <v>0</v>
      </c>
      <c r="O97" t="n">
        <v>0</v>
      </c>
      <c r="P97" t="n">
        <v>0</v>
      </c>
      <c r="Q97" t="n">
        <v>0</v>
      </c>
      <c r="R97" s="2" t="inlineStr"/>
    </row>
    <row r="98" ht="15" customHeight="1">
      <c r="A98" t="inlineStr">
        <is>
          <t>A 19356-2025</t>
        </is>
      </c>
      <c r="B98" s="1" t="n">
        <v>45769</v>
      </c>
      <c r="C98" s="1" t="n">
        <v>46202</v>
      </c>
      <c r="D98" t="inlineStr">
        <is>
          <t>STOCKHOLMS LÄN</t>
        </is>
      </c>
      <c r="E98" t="inlineStr">
        <is>
          <t>VALLENTUNA</t>
        </is>
      </c>
      <c r="F98" t="inlineStr">
        <is>
          <t>Övriga Aktiebolag</t>
        </is>
      </c>
      <c r="G98" t="n">
        <v>1.6</v>
      </c>
      <c r="H98" t="n">
        <v>0</v>
      </c>
      <c r="I98" t="n">
        <v>0</v>
      </c>
      <c r="J98" t="n">
        <v>0</v>
      </c>
      <c r="K98" t="n">
        <v>0</v>
      </c>
      <c r="L98" t="n">
        <v>0</v>
      </c>
      <c r="M98" t="n">
        <v>0</v>
      </c>
      <c r="N98" t="n">
        <v>0</v>
      </c>
      <c r="O98" t="n">
        <v>0</v>
      </c>
      <c r="P98" t="n">
        <v>0</v>
      </c>
      <c r="Q98" t="n">
        <v>0</v>
      </c>
      <c r="R98" s="2" t="inlineStr"/>
    </row>
    <row r="99" ht="15" customHeight="1">
      <c r="A99" t="inlineStr">
        <is>
          <t>A 11950-2025</t>
        </is>
      </c>
      <c r="B99" s="1" t="n">
        <v>45728</v>
      </c>
      <c r="C99" s="1" t="n">
        <v>46202</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3698-2022</t>
        </is>
      </c>
      <c r="B100" s="1" t="n">
        <v>44586</v>
      </c>
      <c r="C100" s="1" t="n">
        <v>46202</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38102-2024</t>
        </is>
      </c>
      <c r="B101" s="1" t="n">
        <v>45545</v>
      </c>
      <c r="C101" s="1" t="n">
        <v>46202</v>
      </c>
      <c r="D101" t="inlineStr">
        <is>
          <t>STOCKHOLMS LÄN</t>
        </is>
      </c>
      <c r="E101" t="inlineStr">
        <is>
          <t>VALLENTUNA</t>
        </is>
      </c>
      <c r="G101" t="n">
        <v>3.2</v>
      </c>
      <c r="H101" t="n">
        <v>0</v>
      </c>
      <c r="I101" t="n">
        <v>0</v>
      </c>
      <c r="J101" t="n">
        <v>0</v>
      </c>
      <c r="K101" t="n">
        <v>0</v>
      </c>
      <c r="L101" t="n">
        <v>0</v>
      </c>
      <c r="M101" t="n">
        <v>0</v>
      </c>
      <c r="N101" t="n">
        <v>0</v>
      </c>
      <c r="O101" t="n">
        <v>0</v>
      </c>
      <c r="P101" t="n">
        <v>0</v>
      </c>
      <c r="Q101" t="n">
        <v>0</v>
      </c>
      <c r="R101" s="2" t="inlineStr"/>
    </row>
    <row r="102" ht="15" customHeight="1">
      <c r="A102" t="inlineStr">
        <is>
          <t>A 14489-2024</t>
        </is>
      </c>
      <c r="B102" s="1" t="n">
        <v>45394</v>
      </c>
      <c r="C102" s="1" t="n">
        <v>46202</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61442-2024</t>
        </is>
      </c>
      <c r="B103" s="1" t="n">
        <v>45646</v>
      </c>
      <c r="C103" s="1" t="n">
        <v>46202</v>
      </c>
      <c r="D103" t="inlineStr">
        <is>
          <t>STOCKHOLMS LÄN</t>
        </is>
      </c>
      <c r="E103" t="inlineStr">
        <is>
          <t>VALLENTUNA</t>
        </is>
      </c>
      <c r="G103" t="n">
        <v>4.6</v>
      </c>
      <c r="H103" t="n">
        <v>0</v>
      </c>
      <c r="I103" t="n">
        <v>0</v>
      </c>
      <c r="J103" t="n">
        <v>0</v>
      </c>
      <c r="K103" t="n">
        <v>0</v>
      </c>
      <c r="L103" t="n">
        <v>0</v>
      </c>
      <c r="M103" t="n">
        <v>0</v>
      </c>
      <c r="N103" t="n">
        <v>0</v>
      </c>
      <c r="O103" t="n">
        <v>0</v>
      </c>
      <c r="P103" t="n">
        <v>0</v>
      </c>
      <c r="Q103" t="n">
        <v>0</v>
      </c>
      <c r="R103" s="2" t="inlineStr"/>
    </row>
    <row r="104" ht="15" customHeight="1">
      <c r="A104" t="inlineStr">
        <is>
          <t>A 48068-2021</t>
        </is>
      </c>
      <c r="B104" s="1" t="n">
        <v>44449</v>
      </c>
      <c r="C104" s="1" t="n">
        <v>46202</v>
      </c>
      <c r="D104" t="inlineStr">
        <is>
          <t>STOCKHOLMS LÄN</t>
        </is>
      </c>
      <c r="E104" t="inlineStr">
        <is>
          <t>VALLENTUNA</t>
        </is>
      </c>
      <c r="G104" t="n">
        <v>1.3</v>
      </c>
      <c r="H104" t="n">
        <v>0</v>
      </c>
      <c r="I104" t="n">
        <v>0</v>
      </c>
      <c r="J104" t="n">
        <v>0</v>
      </c>
      <c r="K104" t="n">
        <v>0</v>
      </c>
      <c r="L104" t="n">
        <v>0</v>
      </c>
      <c r="M104" t="n">
        <v>0</v>
      </c>
      <c r="N104" t="n">
        <v>0</v>
      </c>
      <c r="O104" t="n">
        <v>0</v>
      </c>
      <c r="P104" t="n">
        <v>0</v>
      </c>
      <c r="Q104" t="n">
        <v>0</v>
      </c>
      <c r="R104" s="2" t="inlineStr"/>
    </row>
    <row r="105" ht="15" customHeight="1">
      <c r="A105" t="inlineStr">
        <is>
          <t>A 45499-2023</t>
        </is>
      </c>
      <c r="B105" s="1" t="n">
        <v>45194</v>
      </c>
      <c r="C105" s="1" t="n">
        <v>46202</v>
      </c>
      <c r="D105" t="inlineStr">
        <is>
          <t>STOCKHOLMS LÄN</t>
        </is>
      </c>
      <c r="E105" t="inlineStr">
        <is>
          <t>VALLENTUNA</t>
        </is>
      </c>
      <c r="G105" t="n">
        <v>2.5</v>
      </c>
      <c r="H105" t="n">
        <v>0</v>
      </c>
      <c r="I105" t="n">
        <v>0</v>
      </c>
      <c r="J105" t="n">
        <v>0</v>
      </c>
      <c r="K105" t="n">
        <v>0</v>
      </c>
      <c r="L105" t="n">
        <v>0</v>
      </c>
      <c r="M105" t="n">
        <v>0</v>
      </c>
      <c r="N105" t="n">
        <v>0</v>
      </c>
      <c r="O105" t="n">
        <v>0</v>
      </c>
      <c r="P105" t="n">
        <v>0</v>
      </c>
      <c r="Q105" t="n">
        <v>0</v>
      </c>
      <c r="R105" s="2" t="inlineStr"/>
    </row>
    <row r="106" ht="15" customHeight="1">
      <c r="A106" t="inlineStr">
        <is>
          <t>A 20791-2025</t>
        </is>
      </c>
      <c r="B106" s="1" t="n">
        <v>45776</v>
      </c>
      <c r="C106" s="1" t="n">
        <v>46202</v>
      </c>
      <c r="D106" t="inlineStr">
        <is>
          <t>STOCKHOLMS LÄN</t>
        </is>
      </c>
      <c r="E106" t="inlineStr">
        <is>
          <t>VALLENTUNA</t>
        </is>
      </c>
      <c r="G106" t="n">
        <v>1.5</v>
      </c>
      <c r="H106" t="n">
        <v>0</v>
      </c>
      <c r="I106" t="n">
        <v>0</v>
      </c>
      <c r="J106" t="n">
        <v>0</v>
      </c>
      <c r="K106" t="n">
        <v>0</v>
      </c>
      <c r="L106" t="n">
        <v>0</v>
      </c>
      <c r="M106" t="n">
        <v>0</v>
      </c>
      <c r="N106" t="n">
        <v>0</v>
      </c>
      <c r="O106" t="n">
        <v>0</v>
      </c>
      <c r="P106" t="n">
        <v>0</v>
      </c>
      <c r="Q106" t="n">
        <v>0</v>
      </c>
      <c r="R106" s="2" t="inlineStr"/>
    </row>
    <row r="107" ht="15" customHeight="1">
      <c r="A107" t="inlineStr">
        <is>
          <t>A 10073-2024</t>
        </is>
      </c>
      <c r="B107" s="1" t="n">
        <v>45364</v>
      </c>
      <c r="C107" s="1" t="n">
        <v>46202</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12621-2024</t>
        </is>
      </c>
      <c r="B108" s="1" t="n">
        <v>45383</v>
      </c>
      <c r="C108" s="1" t="n">
        <v>46202</v>
      </c>
      <c r="D108" t="inlineStr">
        <is>
          <t>STOCKHOLMS LÄN</t>
        </is>
      </c>
      <c r="E108" t="inlineStr">
        <is>
          <t>VALLENTUNA</t>
        </is>
      </c>
      <c r="G108" t="n">
        <v>4.4</v>
      </c>
      <c r="H108" t="n">
        <v>0</v>
      </c>
      <c r="I108" t="n">
        <v>0</v>
      </c>
      <c r="J108" t="n">
        <v>0</v>
      </c>
      <c r="K108" t="n">
        <v>0</v>
      </c>
      <c r="L108" t="n">
        <v>0</v>
      </c>
      <c r="M108" t="n">
        <v>0</v>
      </c>
      <c r="N108" t="n">
        <v>0</v>
      </c>
      <c r="O108" t="n">
        <v>0</v>
      </c>
      <c r="P108" t="n">
        <v>0</v>
      </c>
      <c r="Q108" t="n">
        <v>0</v>
      </c>
      <c r="R108" s="2" t="inlineStr"/>
    </row>
    <row r="109" ht="15" customHeight="1">
      <c r="A109" t="inlineStr">
        <is>
          <t>A 12234-2022</t>
        </is>
      </c>
      <c r="B109" s="1" t="n">
        <v>44637</v>
      </c>
      <c r="C109" s="1" t="n">
        <v>46202</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44346-2021</t>
        </is>
      </c>
      <c r="B110" s="1" t="n">
        <v>44434</v>
      </c>
      <c r="C110" s="1" t="n">
        <v>46202</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48014-2025</t>
        </is>
      </c>
      <c r="B111" s="1" t="n">
        <v>45932</v>
      </c>
      <c r="C111" s="1" t="n">
        <v>46202</v>
      </c>
      <c r="D111" t="inlineStr">
        <is>
          <t>STOCKHOLMS LÄN</t>
        </is>
      </c>
      <c r="E111" t="inlineStr">
        <is>
          <t>VALLENTUNA</t>
        </is>
      </c>
      <c r="G111" t="n">
        <v>0.6</v>
      </c>
      <c r="H111" t="n">
        <v>0</v>
      </c>
      <c r="I111" t="n">
        <v>0</v>
      </c>
      <c r="J111" t="n">
        <v>0</v>
      </c>
      <c r="K111" t="n">
        <v>0</v>
      </c>
      <c r="L111" t="n">
        <v>0</v>
      </c>
      <c r="M111" t="n">
        <v>0</v>
      </c>
      <c r="N111" t="n">
        <v>0</v>
      </c>
      <c r="O111" t="n">
        <v>0</v>
      </c>
      <c r="P111" t="n">
        <v>0</v>
      </c>
      <c r="Q111" t="n">
        <v>0</v>
      </c>
      <c r="R111" s="2" t="inlineStr"/>
    </row>
    <row r="112" ht="15" customHeight="1">
      <c r="A112" t="inlineStr">
        <is>
          <t>A 48038-2025</t>
        </is>
      </c>
      <c r="B112" s="1" t="n">
        <v>45932</v>
      </c>
      <c r="C112" s="1" t="n">
        <v>46202</v>
      </c>
      <c r="D112" t="inlineStr">
        <is>
          <t>STOCKHOLMS LÄN</t>
        </is>
      </c>
      <c r="E112" t="inlineStr">
        <is>
          <t>VALLENTUNA</t>
        </is>
      </c>
      <c r="G112" t="n">
        <v>0.5</v>
      </c>
      <c r="H112" t="n">
        <v>0</v>
      </c>
      <c r="I112" t="n">
        <v>0</v>
      </c>
      <c r="J112" t="n">
        <v>0</v>
      </c>
      <c r="K112" t="n">
        <v>0</v>
      </c>
      <c r="L112" t="n">
        <v>0</v>
      </c>
      <c r="M112" t="n">
        <v>0</v>
      </c>
      <c r="N112" t="n">
        <v>0</v>
      </c>
      <c r="O112" t="n">
        <v>0</v>
      </c>
      <c r="P112" t="n">
        <v>0</v>
      </c>
      <c r="Q112" t="n">
        <v>0</v>
      </c>
      <c r="R112" s="2" t="inlineStr"/>
    </row>
    <row r="113" ht="15" customHeight="1">
      <c r="A113" t="inlineStr">
        <is>
          <t>A 24943-2024</t>
        </is>
      </c>
      <c r="B113" s="1" t="n">
        <v>45461</v>
      </c>
      <c r="C113" s="1" t="n">
        <v>46202</v>
      </c>
      <c r="D113" t="inlineStr">
        <is>
          <t>STOCKHOLMS LÄN</t>
        </is>
      </c>
      <c r="E113" t="inlineStr">
        <is>
          <t>VALLENTUNA</t>
        </is>
      </c>
      <c r="G113" t="n">
        <v>2</v>
      </c>
      <c r="H113" t="n">
        <v>0</v>
      </c>
      <c r="I113" t="n">
        <v>0</v>
      </c>
      <c r="J113" t="n">
        <v>0</v>
      </c>
      <c r="K113" t="n">
        <v>0</v>
      </c>
      <c r="L113" t="n">
        <v>0</v>
      </c>
      <c r="M113" t="n">
        <v>0</v>
      </c>
      <c r="N113" t="n">
        <v>0</v>
      </c>
      <c r="O113" t="n">
        <v>0</v>
      </c>
      <c r="P113" t="n">
        <v>0</v>
      </c>
      <c r="Q113" t="n">
        <v>0</v>
      </c>
      <c r="R113" s="2" t="inlineStr"/>
    </row>
    <row r="114" ht="15" customHeight="1">
      <c r="A114" t="inlineStr">
        <is>
          <t>A 46381-2023</t>
        </is>
      </c>
      <c r="B114" s="1" t="n">
        <v>45193</v>
      </c>
      <c r="C114" s="1" t="n">
        <v>46202</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61027-2023</t>
        </is>
      </c>
      <c r="B115" s="1" t="n">
        <v>45261</v>
      </c>
      <c r="C115" s="1" t="n">
        <v>46202</v>
      </c>
      <c r="D115" t="inlineStr">
        <is>
          <t>STOCKHOLMS LÄN</t>
        </is>
      </c>
      <c r="E115" t="inlineStr">
        <is>
          <t>VALLENTUNA</t>
        </is>
      </c>
      <c r="G115" t="n">
        <v>7.1</v>
      </c>
      <c r="H115" t="n">
        <v>0</v>
      </c>
      <c r="I115" t="n">
        <v>0</v>
      </c>
      <c r="J115" t="n">
        <v>0</v>
      </c>
      <c r="K115" t="n">
        <v>0</v>
      </c>
      <c r="L115" t="n">
        <v>0</v>
      </c>
      <c r="M115" t="n">
        <v>0</v>
      </c>
      <c r="N115" t="n">
        <v>0</v>
      </c>
      <c r="O115" t="n">
        <v>0</v>
      </c>
      <c r="P115" t="n">
        <v>0</v>
      </c>
      <c r="Q115" t="n">
        <v>0</v>
      </c>
      <c r="R115" s="2" t="inlineStr"/>
    </row>
    <row r="116" ht="15" customHeight="1">
      <c r="A116" t="inlineStr">
        <is>
          <t>A 61646-2025</t>
        </is>
      </c>
      <c r="B116" s="1" t="n">
        <v>46002</v>
      </c>
      <c r="C116" s="1" t="n">
        <v>46202</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414-2026</t>
        </is>
      </c>
      <c r="B117" s="1" t="n">
        <v>46028</v>
      </c>
      <c r="C117" s="1" t="n">
        <v>46202</v>
      </c>
      <c r="D117" t="inlineStr">
        <is>
          <t>STOCKHOLMS LÄN</t>
        </is>
      </c>
      <c r="E117" t="inlineStr">
        <is>
          <t>VALLENTUNA</t>
        </is>
      </c>
      <c r="G117" t="n">
        <v>2.6</v>
      </c>
      <c r="H117" t="n">
        <v>0</v>
      </c>
      <c r="I117" t="n">
        <v>0</v>
      </c>
      <c r="J117" t="n">
        <v>0</v>
      </c>
      <c r="K117" t="n">
        <v>0</v>
      </c>
      <c r="L117" t="n">
        <v>0</v>
      </c>
      <c r="M117" t="n">
        <v>0</v>
      </c>
      <c r="N117" t="n">
        <v>0</v>
      </c>
      <c r="O117" t="n">
        <v>0</v>
      </c>
      <c r="P117" t="n">
        <v>0</v>
      </c>
      <c r="Q117" t="n">
        <v>0</v>
      </c>
      <c r="R117" s="2" t="inlineStr"/>
    </row>
    <row r="118" ht="15" customHeight="1">
      <c r="A118" t="inlineStr">
        <is>
          <t>A 6298-2026</t>
        </is>
      </c>
      <c r="B118" s="1" t="n">
        <v>46055</v>
      </c>
      <c r="C118" s="1" t="n">
        <v>46202</v>
      </c>
      <c r="D118" t="inlineStr">
        <is>
          <t>STOCKHOLMS LÄN</t>
        </is>
      </c>
      <c r="E118" t="inlineStr">
        <is>
          <t>VALLENTUNA</t>
        </is>
      </c>
      <c r="G118" t="n">
        <v>3.3</v>
      </c>
      <c r="H118" t="n">
        <v>0</v>
      </c>
      <c r="I118" t="n">
        <v>0</v>
      </c>
      <c r="J118" t="n">
        <v>0</v>
      </c>
      <c r="K118" t="n">
        <v>0</v>
      </c>
      <c r="L118" t="n">
        <v>0</v>
      </c>
      <c r="M118" t="n">
        <v>0</v>
      </c>
      <c r="N118" t="n">
        <v>0</v>
      </c>
      <c r="O118" t="n">
        <v>0</v>
      </c>
      <c r="P118" t="n">
        <v>0</v>
      </c>
      <c r="Q118" t="n">
        <v>0</v>
      </c>
      <c r="R118" s="2" t="inlineStr"/>
    </row>
    <row r="119" ht="15" customHeight="1">
      <c r="A119" t="inlineStr">
        <is>
          <t>A 12400-2026</t>
        </is>
      </c>
      <c r="B119" s="1" t="n">
        <v>46090</v>
      </c>
      <c r="C119" s="1" t="n">
        <v>46202</v>
      </c>
      <c r="D119" t="inlineStr">
        <is>
          <t>STOCKHOLMS LÄN</t>
        </is>
      </c>
      <c r="E119" t="inlineStr">
        <is>
          <t>VALLENTUNA</t>
        </is>
      </c>
      <c r="G119" t="n">
        <v>1.9</v>
      </c>
      <c r="H119" t="n">
        <v>0</v>
      </c>
      <c r="I119" t="n">
        <v>0</v>
      </c>
      <c r="J119" t="n">
        <v>0</v>
      </c>
      <c r="K119" t="n">
        <v>0</v>
      </c>
      <c r="L119" t="n">
        <v>0</v>
      </c>
      <c r="M119" t="n">
        <v>0</v>
      </c>
      <c r="N119" t="n">
        <v>0</v>
      </c>
      <c r="O119" t="n">
        <v>0</v>
      </c>
      <c r="P119" t="n">
        <v>0</v>
      </c>
      <c r="Q119" t="n">
        <v>0</v>
      </c>
      <c r="R119" s="2" t="inlineStr"/>
    </row>
    <row r="120" ht="15" customHeight="1">
      <c r="A120" t="inlineStr">
        <is>
          <t>A 12822-2026</t>
        </is>
      </c>
      <c r="B120" s="1" t="n">
        <v>46092</v>
      </c>
      <c r="C120" s="1" t="n">
        <v>46202</v>
      </c>
      <c r="D120" t="inlineStr">
        <is>
          <t>STOCKHOLMS LÄN</t>
        </is>
      </c>
      <c r="E120" t="inlineStr">
        <is>
          <t>VALLENTUNA</t>
        </is>
      </c>
      <c r="G120" t="n">
        <v>2.7</v>
      </c>
      <c r="H120" t="n">
        <v>0</v>
      </c>
      <c r="I120" t="n">
        <v>0</v>
      </c>
      <c r="J120" t="n">
        <v>0</v>
      </c>
      <c r="K120" t="n">
        <v>0</v>
      </c>
      <c r="L120" t="n">
        <v>0</v>
      </c>
      <c r="M120" t="n">
        <v>0</v>
      </c>
      <c r="N120" t="n">
        <v>0</v>
      </c>
      <c r="O120" t="n">
        <v>0</v>
      </c>
      <c r="P120" t="n">
        <v>0</v>
      </c>
      <c r="Q120" t="n">
        <v>0</v>
      </c>
      <c r="R120" s="2" t="inlineStr"/>
    </row>
    <row r="121" ht="15" customHeight="1">
      <c r="A121" t="inlineStr">
        <is>
          <t>A 12819-2026</t>
        </is>
      </c>
      <c r="B121" s="1" t="n">
        <v>46092</v>
      </c>
      <c r="C121" s="1" t="n">
        <v>46202</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12828-2026</t>
        </is>
      </c>
      <c r="B122" s="1" t="n">
        <v>46092</v>
      </c>
      <c r="C122" s="1" t="n">
        <v>46202</v>
      </c>
      <c r="D122" t="inlineStr">
        <is>
          <t>STOCKHOLMS LÄN</t>
        </is>
      </c>
      <c r="E122" t="inlineStr">
        <is>
          <t>VALLENTUNA</t>
        </is>
      </c>
      <c r="G122" t="n">
        <v>1</v>
      </c>
      <c r="H122" t="n">
        <v>0</v>
      </c>
      <c r="I122" t="n">
        <v>0</v>
      </c>
      <c r="J122" t="n">
        <v>0</v>
      </c>
      <c r="K122" t="n">
        <v>0</v>
      </c>
      <c r="L122" t="n">
        <v>0</v>
      </c>
      <c r="M122" t="n">
        <v>0</v>
      </c>
      <c r="N122" t="n">
        <v>0</v>
      </c>
      <c r="O122" t="n">
        <v>0</v>
      </c>
      <c r="P122" t="n">
        <v>0</v>
      </c>
      <c r="Q122" t="n">
        <v>0</v>
      </c>
      <c r="R122" s="2" t="inlineStr"/>
    </row>
    <row r="123" ht="15" customHeight="1">
      <c r="A123" t="inlineStr">
        <is>
          <t>A 12830-2026</t>
        </is>
      </c>
      <c r="B123" s="1" t="n">
        <v>46092</v>
      </c>
      <c r="C123" s="1" t="n">
        <v>46202</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14799-2026</t>
        </is>
      </c>
      <c r="B124" s="1" t="n">
        <v>46102</v>
      </c>
      <c r="C124" s="1" t="n">
        <v>46202</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17387-2026</t>
        </is>
      </c>
      <c r="B125" s="1" t="n">
        <v>46119</v>
      </c>
      <c r="C125" s="1" t="n">
        <v>46202</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17389-2026</t>
        </is>
      </c>
      <c r="B126" s="1" t="n">
        <v>46119</v>
      </c>
      <c r="C126" s="1" t="n">
        <v>46202</v>
      </c>
      <c r="D126" t="inlineStr">
        <is>
          <t>STOCKHOLMS LÄN</t>
        </is>
      </c>
      <c r="E126" t="inlineStr">
        <is>
          <t>VALLENTUNA</t>
        </is>
      </c>
      <c r="G126" t="n">
        <v>1.1</v>
      </c>
      <c r="H126" t="n">
        <v>0</v>
      </c>
      <c r="I126" t="n">
        <v>0</v>
      </c>
      <c r="J126" t="n">
        <v>0</v>
      </c>
      <c r="K126" t="n">
        <v>0</v>
      </c>
      <c r="L126" t="n">
        <v>0</v>
      </c>
      <c r="M126" t="n">
        <v>0</v>
      </c>
      <c r="N126" t="n">
        <v>0</v>
      </c>
      <c r="O126" t="n">
        <v>0</v>
      </c>
      <c r="P126" t="n">
        <v>0</v>
      </c>
      <c r="Q126" t="n">
        <v>0</v>
      </c>
      <c r="R126" s="2" t="inlineStr"/>
    </row>
    <row r="127" ht="15" customHeight="1">
      <c r="A127" t="inlineStr">
        <is>
          <t>A 4804-2024</t>
        </is>
      </c>
      <c r="B127" s="1" t="n">
        <v>45328</v>
      </c>
      <c r="C127" s="1" t="n">
        <v>46202</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25740-2026</t>
        </is>
      </c>
      <c r="B128" s="1" t="n">
        <v>46178</v>
      </c>
      <c r="C128" s="1" t="n">
        <v>46202</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25752-2026</t>
        </is>
      </c>
      <c r="B129" s="1" t="n">
        <v>46178</v>
      </c>
      <c r="C129" s="1" t="n">
        <v>46202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c r="A130" t="inlineStr">
        <is>
          <t>A 24740-2026</t>
        </is>
      </c>
      <c r="B130" s="1" t="n">
        <v>46171</v>
      </c>
      <c r="C130" s="1" t="n">
        <v>46202</v>
      </c>
      <c r="D130" t="inlineStr">
        <is>
          <t>STOCKHOLMS LÄN</t>
        </is>
      </c>
      <c r="E130" t="inlineStr">
        <is>
          <t>VALLENTUNA</t>
        </is>
      </c>
      <c r="F130" t="inlineStr">
        <is>
          <t>Övriga Aktiebolag</t>
        </is>
      </c>
      <c r="G130" t="n">
        <v>5.7</v>
      </c>
      <c r="H130" t="n">
        <v>0</v>
      </c>
      <c r="I130" t="n">
        <v>0</v>
      </c>
      <c r="J130" t="n">
        <v>0</v>
      </c>
      <c r="K130" t="n">
        <v>0</v>
      </c>
      <c r="L130" t="n">
        <v>0</v>
      </c>
      <c r="M130" t="n">
        <v>0</v>
      </c>
      <c r="N130" t="n">
        <v>0</v>
      </c>
      <c r="O130" t="n">
        <v>0</v>
      </c>
      <c r="P130" t="n">
        <v>0</v>
      </c>
      <c r="Q130" t="n">
        <v>0</v>
      </c>
      <c r="R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2026-06-29T00:58:33Z</dcterms:created>
  <dcterms:modified xmlns:dcterms="http://purl.org/dc/terms/" xmlns:xsi="http://www.w3.org/2001/XMLSchema-instance" xsi:type="dcterms:W3CDTF">2026-06-29T00:58:33Z</dcterms:modified>
</cp:coreProperties>
</file>