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45584</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45584</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45584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45584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45584</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45584</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45584</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45584</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45584</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45584</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45584</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45584</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45584</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45584</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45584</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45584</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45584</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45584</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45584</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45584</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45584</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8500-2022</t>
        </is>
      </c>
      <c r="B23" s="1" t="n">
        <v>44613</v>
      </c>
      <c r="C23" s="1" t="n">
        <v>45584</v>
      </c>
      <c r="D23" t="inlineStr">
        <is>
          <t>STOCKHOLMS LÄN</t>
        </is>
      </c>
      <c r="E23" t="inlineStr">
        <is>
          <t>VALLENTUNA</t>
        </is>
      </c>
      <c r="G23" t="n">
        <v>5</v>
      </c>
      <c r="H23" t="n">
        <v>1</v>
      </c>
      <c r="I23" t="n">
        <v>3</v>
      </c>
      <c r="J23" t="n">
        <v>1</v>
      </c>
      <c r="K23" t="n">
        <v>0</v>
      </c>
      <c r="L23" t="n">
        <v>0</v>
      </c>
      <c r="M23" t="n">
        <v>0</v>
      </c>
      <c r="N23" t="n">
        <v>0</v>
      </c>
      <c r="O23" t="n">
        <v>1</v>
      </c>
      <c r="P23" t="n">
        <v>0</v>
      </c>
      <c r="Q23" t="n">
        <v>4</v>
      </c>
      <c r="R23" s="2" t="inlineStr">
        <is>
          <t>Spillkråka
Blåmossa
Bronshjon
Vedticka</t>
        </is>
      </c>
      <c r="S23">
        <f>HYPERLINK("https://klasma.github.io/Logging_0115/artfynd/A 8500-2022 artfynd.xlsx", "A 8500-2022")</f>
        <v/>
      </c>
      <c r="T23">
        <f>HYPERLINK("https://klasma.github.io/Logging_0115/kartor/A 8500-2022 karta.png", "A 8500-2022")</f>
        <v/>
      </c>
      <c r="U23">
        <f>HYPERLINK("https://klasma.github.io/Logging_0115/knärot/A 8500-2022 karta knärot.png", "A 8500-2022")</f>
        <v/>
      </c>
      <c r="V23">
        <f>HYPERLINK("https://klasma.github.io/Logging_0115/klagomål/A 8500-2022 FSC-klagomål.docx", "A 8500-2022")</f>
        <v/>
      </c>
      <c r="W23">
        <f>HYPERLINK("https://klasma.github.io/Logging_0115/klagomålsmail/A 8500-2022 FSC-klagomål mail.docx", "A 8500-2022")</f>
        <v/>
      </c>
      <c r="X23">
        <f>HYPERLINK("https://klasma.github.io/Logging_0115/tillsyn/A 8500-2022 tillsynsbegäran.docx", "A 8500-2022")</f>
        <v/>
      </c>
      <c r="Y23">
        <f>HYPERLINK("https://klasma.github.io/Logging_0115/tillsynsmail/A 8500-2022 tillsynsbegäran mail.docx", "A 8500-2022")</f>
        <v/>
      </c>
      <c r="Z23">
        <f>HYPERLINK("https://klasma.github.io/Logging_0115/fåglar/A 8500-2022 prioriterade fågelarter.docx", "A 8500-2022")</f>
        <v/>
      </c>
    </row>
    <row r="24" ht="15" customHeight="1">
      <c r="A24" t="inlineStr">
        <is>
          <t>A 12577-2023</t>
        </is>
      </c>
      <c r="B24" s="1" t="n">
        <v>45000</v>
      </c>
      <c r="C24" s="1" t="n">
        <v>45584</v>
      </c>
      <c r="D24" t="inlineStr">
        <is>
          <t>STOCKHOLMS LÄN</t>
        </is>
      </c>
      <c r="E24" t="inlineStr">
        <is>
          <t>VALLENTUNA</t>
        </is>
      </c>
      <c r="G24" t="n">
        <v>3</v>
      </c>
      <c r="H24" t="n">
        <v>2</v>
      </c>
      <c r="I24" t="n">
        <v>3</v>
      </c>
      <c r="J24" t="n">
        <v>0</v>
      </c>
      <c r="K24" t="n">
        <v>0</v>
      </c>
      <c r="L24" t="n">
        <v>0</v>
      </c>
      <c r="M24" t="n">
        <v>0</v>
      </c>
      <c r="N24" t="n">
        <v>0</v>
      </c>
      <c r="O24" t="n">
        <v>0</v>
      </c>
      <c r="P24" t="n">
        <v>0</v>
      </c>
      <c r="Q24" t="n">
        <v>4</v>
      </c>
      <c r="R24" s="2" t="inlineStr">
        <is>
          <t>Grön sköldmossa
Jättesvampmal
Rävticka
Blåsippa</t>
        </is>
      </c>
      <c r="S24">
        <f>HYPERLINK("https://klasma.github.io/Logging_0115/artfynd/A 12577-2023 artfynd.xlsx", "A 12577-2023")</f>
        <v/>
      </c>
      <c r="T24">
        <f>HYPERLINK("https://klasma.github.io/Logging_0115/kartor/A 12577-2023 karta.png", "A 12577-2023")</f>
        <v/>
      </c>
      <c r="V24">
        <f>HYPERLINK("https://klasma.github.io/Logging_0115/klagomål/A 12577-2023 FSC-klagomål.docx", "A 12577-2023")</f>
        <v/>
      </c>
      <c r="W24">
        <f>HYPERLINK("https://klasma.github.io/Logging_0115/klagomålsmail/A 12577-2023 FSC-klagomål mail.docx", "A 12577-2023")</f>
        <v/>
      </c>
      <c r="X24">
        <f>HYPERLINK("https://klasma.github.io/Logging_0115/tillsyn/A 12577-2023 tillsynsbegäran.docx", "A 12577-2023")</f>
        <v/>
      </c>
      <c r="Y24">
        <f>HYPERLINK("https://klasma.github.io/Logging_0115/tillsynsmail/A 12577-2023 tillsynsbegäran mail.docx", "A 12577-2023")</f>
        <v/>
      </c>
    </row>
    <row r="25" ht="15" customHeight="1">
      <c r="A25" t="inlineStr">
        <is>
          <t>A 3552-2023</t>
        </is>
      </c>
      <c r="B25" s="1" t="n">
        <v>44950</v>
      </c>
      <c r="C25" s="1" t="n">
        <v>45584</v>
      </c>
      <c r="D25" t="inlineStr">
        <is>
          <t>STOCKHOLMS LÄN</t>
        </is>
      </c>
      <c r="E25" t="inlineStr">
        <is>
          <t>VALLENTUNA</t>
        </is>
      </c>
      <c r="G25" t="n">
        <v>8.800000000000001</v>
      </c>
      <c r="H25" t="n">
        <v>2</v>
      </c>
      <c r="I25" t="n">
        <v>1</v>
      </c>
      <c r="J25" t="n">
        <v>1</v>
      </c>
      <c r="K25" t="n">
        <v>0</v>
      </c>
      <c r="L25" t="n">
        <v>0</v>
      </c>
      <c r="M25" t="n">
        <v>0</v>
      </c>
      <c r="N25" t="n">
        <v>0</v>
      </c>
      <c r="O25" t="n">
        <v>1</v>
      </c>
      <c r="P25" t="n">
        <v>0</v>
      </c>
      <c r="Q25" t="n">
        <v>3</v>
      </c>
      <c r="R25" s="2" t="inlineStr">
        <is>
          <t>Kråka
Skogshakmossa
Blåsippa</t>
        </is>
      </c>
      <c r="S25">
        <f>HYPERLINK("https://klasma.github.io/Logging_0115/artfynd/A 3552-2023 artfynd.xlsx", "A 3552-2023")</f>
        <v/>
      </c>
      <c r="T25">
        <f>HYPERLINK("https://klasma.github.io/Logging_0115/kartor/A 3552-2023 karta.png", "A 3552-2023")</f>
        <v/>
      </c>
      <c r="V25">
        <f>HYPERLINK("https://klasma.github.io/Logging_0115/klagomål/A 3552-2023 FSC-klagomål.docx", "A 3552-2023")</f>
        <v/>
      </c>
      <c r="W25">
        <f>HYPERLINK("https://klasma.github.io/Logging_0115/klagomålsmail/A 3552-2023 FSC-klagomål mail.docx", "A 3552-2023")</f>
        <v/>
      </c>
      <c r="X25">
        <f>HYPERLINK("https://klasma.github.io/Logging_0115/tillsyn/A 3552-2023 tillsynsbegäran.docx", "A 3552-2023")</f>
        <v/>
      </c>
      <c r="Y25">
        <f>HYPERLINK("https://klasma.github.io/Logging_0115/tillsynsmail/A 3552-2023 tillsynsbegäran mail.docx", "A 3552-2023")</f>
        <v/>
      </c>
      <c r="Z25">
        <f>HYPERLINK("https://klasma.github.io/Logging_0115/fåglar/A 3552-2023 prioriterade fågelarter.docx", "A 3552-2023")</f>
        <v/>
      </c>
    </row>
    <row r="26" ht="15" customHeight="1">
      <c r="A26" t="inlineStr">
        <is>
          <t>A 15308-2023</t>
        </is>
      </c>
      <c r="B26" s="1" t="n">
        <v>45019</v>
      </c>
      <c r="C26" s="1" t="n">
        <v>45584</v>
      </c>
      <c r="D26" t="inlineStr">
        <is>
          <t>STOCKHOLMS LÄN</t>
        </is>
      </c>
      <c r="E26" t="inlineStr">
        <is>
          <t>VALLENTUNA</t>
        </is>
      </c>
      <c r="G26" t="n">
        <v>6.4</v>
      </c>
      <c r="H26" t="n">
        <v>2</v>
      </c>
      <c r="I26" t="n">
        <v>1</v>
      </c>
      <c r="J26" t="n">
        <v>0</v>
      </c>
      <c r="K26" t="n">
        <v>0</v>
      </c>
      <c r="L26" t="n">
        <v>0</v>
      </c>
      <c r="M26" t="n">
        <v>0</v>
      </c>
      <c r="N26" t="n">
        <v>0</v>
      </c>
      <c r="O26" t="n">
        <v>0</v>
      </c>
      <c r="P26" t="n">
        <v>0</v>
      </c>
      <c r="Q26" t="n">
        <v>3</v>
      </c>
      <c r="R26" s="2" t="inlineStr">
        <is>
          <t>Ögonpyrola
Fläcknycklar
Revlummer</t>
        </is>
      </c>
      <c r="S26">
        <f>HYPERLINK("https://klasma.github.io/Logging_0115/artfynd/A 15308-2023 artfynd.xlsx", "A 15308-2023")</f>
        <v/>
      </c>
      <c r="T26">
        <f>HYPERLINK("https://klasma.github.io/Logging_0115/kartor/A 15308-2023 karta.png", "A 15308-2023")</f>
        <v/>
      </c>
      <c r="V26">
        <f>HYPERLINK("https://klasma.github.io/Logging_0115/klagomål/A 15308-2023 FSC-klagomål.docx", "A 15308-2023")</f>
        <v/>
      </c>
      <c r="W26">
        <f>HYPERLINK("https://klasma.github.io/Logging_0115/klagomålsmail/A 15308-2023 FSC-klagomål mail.docx", "A 15308-2023")</f>
        <v/>
      </c>
      <c r="X26">
        <f>HYPERLINK("https://klasma.github.io/Logging_0115/tillsyn/A 15308-2023 tillsynsbegäran.docx", "A 15308-2023")</f>
        <v/>
      </c>
      <c r="Y26">
        <f>HYPERLINK("https://klasma.github.io/Logging_0115/tillsynsmail/A 15308-2023 tillsynsbegäran mail.docx", "A 15308-2023")</f>
        <v/>
      </c>
    </row>
    <row r="27" ht="15" customHeight="1">
      <c r="A27" t="inlineStr">
        <is>
          <t>A 37456-2023</t>
        </is>
      </c>
      <c r="B27" s="1" t="n">
        <v>45156</v>
      </c>
      <c r="C27" s="1" t="n">
        <v>45584</v>
      </c>
      <c r="D27" t="inlineStr">
        <is>
          <t>STOCKHOLMS LÄN</t>
        </is>
      </c>
      <c r="E27" t="inlineStr">
        <is>
          <t>VALLENTUNA</t>
        </is>
      </c>
      <c r="F27" t="inlineStr">
        <is>
          <t>Övriga Aktiebolag</t>
        </is>
      </c>
      <c r="G27" t="n">
        <v>3.3</v>
      </c>
      <c r="H27" t="n">
        <v>1</v>
      </c>
      <c r="I27" t="n">
        <v>2</v>
      </c>
      <c r="J27" t="n">
        <v>0</v>
      </c>
      <c r="K27" t="n">
        <v>0</v>
      </c>
      <c r="L27" t="n">
        <v>0</v>
      </c>
      <c r="M27" t="n">
        <v>0</v>
      </c>
      <c r="N27" t="n">
        <v>0</v>
      </c>
      <c r="O27" t="n">
        <v>0</v>
      </c>
      <c r="P27" t="n">
        <v>0</v>
      </c>
      <c r="Q27" t="n">
        <v>3</v>
      </c>
      <c r="R27" s="2" t="inlineStr">
        <is>
          <t>Skarp dropptaggsvamp
Tjockfotad fingersvamp
Blåsippa</t>
        </is>
      </c>
      <c r="S27">
        <f>HYPERLINK("https://klasma.github.io/Logging_0115/artfynd/A 37456-2023 artfynd.xlsx", "A 37456-2023")</f>
        <v/>
      </c>
      <c r="T27">
        <f>HYPERLINK("https://klasma.github.io/Logging_0115/kartor/A 37456-2023 karta.png", "A 37456-2023")</f>
        <v/>
      </c>
      <c r="V27">
        <f>HYPERLINK("https://klasma.github.io/Logging_0115/klagomål/A 37456-2023 FSC-klagomål.docx", "A 37456-2023")</f>
        <v/>
      </c>
      <c r="W27">
        <f>HYPERLINK("https://klasma.github.io/Logging_0115/klagomålsmail/A 37456-2023 FSC-klagomål mail.docx", "A 37456-2023")</f>
        <v/>
      </c>
      <c r="X27">
        <f>HYPERLINK("https://klasma.github.io/Logging_0115/tillsyn/A 37456-2023 tillsynsbegäran.docx", "A 37456-2023")</f>
        <v/>
      </c>
      <c r="Y27">
        <f>HYPERLINK("https://klasma.github.io/Logging_0115/tillsynsmail/A 37456-2023 tillsynsbegäran mail.docx", "A 37456-2023")</f>
        <v/>
      </c>
    </row>
    <row r="28" ht="15" customHeight="1">
      <c r="A28" t="inlineStr">
        <is>
          <t>A 13571-2024</t>
        </is>
      </c>
      <c r="B28" s="1" t="n">
        <v>45389</v>
      </c>
      <c r="C28" s="1" t="n">
        <v>45584</v>
      </c>
      <c r="D28" t="inlineStr">
        <is>
          <t>STOCKHOLMS LÄN</t>
        </is>
      </c>
      <c r="E28" t="inlineStr">
        <is>
          <t>VALLENTUNA</t>
        </is>
      </c>
      <c r="G28" t="n">
        <v>21.7</v>
      </c>
      <c r="H28" t="n">
        <v>1</v>
      </c>
      <c r="I28" t="n">
        <v>1</v>
      </c>
      <c r="J28" t="n">
        <v>1</v>
      </c>
      <c r="K28" t="n">
        <v>0</v>
      </c>
      <c r="L28" t="n">
        <v>0</v>
      </c>
      <c r="M28" t="n">
        <v>0</v>
      </c>
      <c r="N28" t="n">
        <v>0</v>
      </c>
      <c r="O28" t="n">
        <v>1</v>
      </c>
      <c r="P28" t="n">
        <v>0</v>
      </c>
      <c r="Q28" t="n">
        <v>3</v>
      </c>
      <c r="R28" s="2" t="inlineStr">
        <is>
          <t>Vedskivlav
Vedticka
Tjäder</t>
        </is>
      </c>
      <c r="S28">
        <f>HYPERLINK("https://klasma.github.io/Logging_0115/artfynd/A 13571-2024 artfynd.xlsx", "A 13571-2024")</f>
        <v/>
      </c>
      <c r="T28">
        <f>HYPERLINK("https://klasma.github.io/Logging_0115/kartor/A 13571-2024 karta.png", "A 13571-2024")</f>
        <v/>
      </c>
      <c r="V28">
        <f>HYPERLINK("https://klasma.github.io/Logging_0115/klagomål/A 13571-2024 FSC-klagomål.docx", "A 13571-2024")</f>
        <v/>
      </c>
      <c r="W28">
        <f>HYPERLINK("https://klasma.github.io/Logging_0115/klagomålsmail/A 13571-2024 FSC-klagomål mail.docx", "A 13571-2024")</f>
        <v/>
      </c>
      <c r="X28">
        <f>HYPERLINK("https://klasma.github.io/Logging_0115/tillsyn/A 13571-2024 tillsynsbegäran.docx", "A 13571-2024")</f>
        <v/>
      </c>
      <c r="Y28">
        <f>HYPERLINK("https://klasma.github.io/Logging_0115/tillsynsmail/A 13571-2024 tillsynsbegäran mail.docx", "A 13571-2024")</f>
        <v/>
      </c>
      <c r="Z28">
        <f>HYPERLINK("https://klasma.github.io/Logging_0115/fåglar/A 13571-2024 prioriterade fågelarter.docx", "A 13571-2024")</f>
        <v/>
      </c>
    </row>
    <row r="29" ht="15" customHeight="1">
      <c r="A29" t="inlineStr">
        <is>
          <t>A 4124-2020</t>
        </is>
      </c>
      <c r="B29" s="1" t="n">
        <v>43857</v>
      </c>
      <c r="C29" s="1" t="n">
        <v>45584</v>
      </c>
      <c r="D29" t="inlineStr">
        <is>
          <t>STOCKHOLMS LÄN</t>
        </is>
      </c>
      <c r="E29" t="inlineStr">
        <is>
          <t>VALLENTUNA</t>
        </is>
      </c>
      <c r="G29" t="n">
        <v>1.2</v>
      </c>
      <c r="H29" t="n">
        <v>0</v>
      </c>
      <c r="I29" t="n">
        <v>1</v>
      </c>
      <c r="J29" t="n">
        <v>1</v>
      </c>
      <c r="K29" t="n">
        <v>0</v>
      </c>
      <c r="L29" t="n">
        <v>0</v>
      </c>
      <c r="M29" t="n">
        <v>0</v>
      </c>
      <c r="N29" t="n">
        <v>0</v>
      </c>
      <c r="O29" t="n">
        <v>1</v>
      </c>
      <c r="P29" t="n">
        <v>0</v>
      </c>
      <c r="Q29" t="n">
        <v>2</v>
      </c>
      <c r="R29" s="2" t="inlineStr">
        <is>
          <t>Barrpraktbagge
Blompraktbagge</t>
        </is>
      </c>
      <c r="S29">
        <f>HYPERLINK("https://klasma.github.io/Logging_0115/artfynd/A 4124-2020 artfynd.xlsx", "A 4124-2020")</f>
        <v/>
      </c>
      <c r="T29">
        <f>HYPERLINK("https://klasma.github.io/Logging_0115/kartor/A 4124-2020 karta.png", "A 4124-2020")</f>
        <v/>
      </c>
      <c r="V29">
        <f>HYPERLINK("https://klasma.github.io/Logging_0115/klagomål/A 4124-2020 FSC-klagomål.docx", "A 4124-2020")</f>
        <v/>
      </c>
      <c r="W29">
        <f>HYPERLINK("https://klasma.github.io/Logging_0115/klagomålsmail/A 4124-2020 FSC-klagomål mail.docx", "A 4124-2020")</f>
        <v/>
      </c>
      <c r="X29">
        <f>HYPERLINK("https://klasma.github.io/Logging_0115/tillsyn/A 4124-2020 tillsynsbegäran.docx", "A 4124-2020")</f>
        <v/>
      </c>
      <c r="Y29">
        <f>HYPERLINK("https://klasma.github.io/Logging_0115/tillsynsmail/A 4124-2020 tillsynsbegäran mail.docx", "A 4124-2020")</f>
        <v/>
      </c>
    </row>
    <row r="30" ht="15" customHeight="1">
      <c r="A30" t="inlineStr">
        <is>
          <t>A 4266-2020</t>
        </is>
      </c>
      <c r="B30" s="1" t="n">
        <v>43857</v>
      </c>
      <c r="C30" s="1" t="n">
        <v>45584</v>
      </c>
      <c r="D30" t="inlineStr">
        <is>
          <t>STOCKHOLMS LÄN</t>
        </is>
      </c>
      <c r="E30" t="inlineStr">
        <is>
          <t>VALLENTUNA</t>
        </is>
      </c>
      <c r="G30" t="n">
        <v>4.5</v>
      </c>
      <c r="H30" t="n">
        <v>0</v>
      </c>
      <c r="I30" t="n">
        <v>1</v>
      </c>
      <c r="J30" t="n">
        <v>1</v>
      </c>
      <c r="K30" t="n">
        <v>0</v>
      </c>
      <c r="L30" t="n">
        <v>0</v>
      </c>
      <c r="M30" t="n">
        <v>0</v>
      </c>
      <c r="N30" t="n">
        <v>0</v>
      </c>
      <c r="O30" t="n">
        <v>1</v>
      </c>
      <c r="P30" t="n">
        <v>0</v>
      </c>
      <c r="Q30" t="n">
        <v>2</v>
      </c>
      <c r="R30" s="2" t="inlineStr">
        <is>
          <t>Slåtterfibbla
Korthornad vedstekel</t>
        </is>
      </c>
      <c r="S30">
        <f>HYPERLINK("https://klasma.github.io/Logging_0115/artfynd/A 4266-2020 artfynd.xlsx", "A 4266-2020")</f>
        <v/>
      </c>
      <c r="T30">
        <f>HYPERLINK("https://klasma.github.io/Logging_0115/kartor/A 4266-2020 karta.png", "A 4266-2020")</f>
        <v/>
      </c>
      <c r="V30">
        <f>HYPERLINK("https://klasma.github.io/Logging_0115/klagomål/A 4266-2020 FSC-klagomål.docx", "A 4266-2020")</f>
        <v/>
      </c>
      <c r="W30">
        <f>HYPERLINK("https://klasma.github.io/Logging_0115/klagomålsmail/A 4266-2020 FSC-klagomål mail.docx", "A 4266-2020")</f>
        <v/>
      </c>
      <c r="X30">
        <f>HYPERLINK("https://klasma.github.io/Logging_0115/tillsyn/A 4266-2020 tillsynsbegäran.docx", "A 4266-2020")</f>
        <v/>
      </c>
      <c r="Y30">
        <f>HYPERLINK("https://klasma.github.io/Logging_0115/tillsynsmail/A 4266-2020 tillsynsbegäran mail.docx", "A 4266-2020")</f>
        <v/>
      </c>
    </row>
    <row r="31" ht="15" customHeight="1">
      <c r="A31" t="inlineStr">
        <is>
          <t>A 24751-2020</t>
        </is>
      </c>
      <c r="B31" s="1" t="n">
        <v>43978</v>
      </c>
      <c r="C31" s="1" t="n">
        <v>45584</v>
      </c>
      <c r="D31" t="inlineStr">
        <is>
          <t>STOCKHOLMS LÄN</t>
        </is>
      </c>
      <c r="E31" t="inlineStr">
        <is>
          <t>VALLENTUNA</t>
        </is>
      </c>
      <c r="G31" t="n">
        <v>5.3</v>
      </c>
      <c r="H31" t="n">
        <v>0</v>
      </c>
      <c r="I31" t="n">
        <v>2</v>
      </c>
      <c r="J31" t="n">
        <v>0</v>
      </c>
      <c r="K31" t="n">
        <v>0</v>
      </c>
      <c r="L31" t="n">
        <v>0</v>
      </c>
      <c r="M31" t="n">
        <v>0</v>
      </c>
      <c r="N31" t="n">
        <v>0</v>
      </c>
      <c r="O31" t="n">
        <v>0</v>
      </c>
      <c r="P31" t="n">
        <v>0</v>
      </c>
      <c r="Q31" t="n">
        <v>2</v>
      </c>
      <c r="R31" s="2" t="inlineStr">
        <is>
          <t>Lönnlav
Stor aspticka</t>
        </is>
      </c>
      <c r="S31">
        <f>HYPERLINK("https://klasma.github.io/Logging_0115/artfynd/A 24751-2020 artfynd.xlsx", "A 24751-2020")</f>
        <v/>
      </c>
      <c r="T31">
        <f>HYPERLINK("https://klasma.github.io/Logging_0115/kartor/A 24751-2020 karta.png", "A 24751-2020")</f>
        <v/>
      </c>
      <c r="V31">
        <f>HYPERLINK("https://klasma.github.io/Logging_0115/klagomål/A 24751-2020 FSC-klagomål.docx", "A 24751-2020")</f>
        <v/>
      </c>
      <c r="W31">
        <f>HYPERLINK("https://klasma.github.io/Logging_0115/klagomålsmail/A 24751-2020 FSC-klagomål mail.docx", "A 24751-2020")</f>
        <v/>
      </c>
      <c r="X31">
        <f>HYPERLINK("https://klasma.github.io/Logging_0115/tillsyn/A 24751-2020 tillsynsbegäran.docx", "A 24751-2020")</f>
        <v/>
      </c>
      <c r="Y31">
        <f>HYPERLINK("https://klasma.github.io/Logging_0115/tillsynsmail/A 24751-2020 tillsynsbegäran mail.docx", "A 24751-2020")</f>
        <v/>
      </c>
    </row>
    <row r="32" ht="15" customHeight="1">
      <c r="A32" t="inlineStr">
        <is>
          <t>A 60-2022</t>
        </is>
      </c>
      <c r="B32" s="1" t="n">
        <v>44560</v>
      </c>
      <c r="C32" s="1" t="n">
        <v>45584</v>
      </c>
      <c r="D32" t="inlineStr">
        <is>
          <t>STOCKHOLMS LÄN</t>
        </is>
      </c>
      <c r="E32" t="inlineStr">
        <is>
          <t>VALLENTUNA</t>
        </is>
      </c>
      <c r="F32" t="inlineStr">
        <is>
          <t>Övriga Aktiebolag</t>
        </is>
      </c>
      <c r="G32" t="n">
        <v>14.3</v>
      </c>
      <c r="H32" t="n">
        <v>0</v>
      </c>
      <c r="I32" t="n">
        <v>2</v>
      </c>
      <c r="J32" t="n">
        <v>0</v>
      </c>
      <c r="K32" t="n">
        <v>0</v>
      </c>
      <c r="L32" t="n">
        <v>0</v>
      </c>
      <c r="M32" t="n">
        <v>0</v>
      </c>
      <c r="N32" t="n">
        <v>0</v>
      </c>
      <c r="O32" t="n">
        <v>0</v>
      </c>
      <c r="P32" t="n">
        <v>0</v>
      </c>
      <c r="Q32" t="n">
        <v>2</v>
      </c>
      <c r="R32" s="2" t="inlineStr">
        <is>
          <t>Vätteros
Vårärt</t>
        </is>
      </c>
      <c r="S32">
        <f>HYPERLINK("https://klasma.github.io/Logging_0115/artfynd/A 60-2022 artfynd.xlsx", "A 60-2022")</f>
        <v/>
      </c>
      <c r="T32">
        <f>HYPERLINK("https://klasma.github.io/Logging_0115/kartor/A 60-2022 karta.png", "A 60-2022")</f>
        <v/>
      </c>
      <c r="V32">
        <f>HYPERLINK("https://klasma.github.io/Logging_0115/klagomål/A 60-2022 FSC-klagomål.docx", "A 60-2022")</f>
        <v/>
      </c>
      <c r="W32">
        <f>HYPERLINK("https://klasma.github.io/Logging_0115/klagomålsmail/A 60-2022 FSC-klagomål mail.docx", "A 60-2022")</f>
        <v/>
      </c>
      <c r="X32">
        <f>HYPERLINK("https://klasma.github.io/Logging_0115/tillsyn/A 60-2022 tillsynsbegäran.docx", "A 60-2022")</f>
        <v/>
      </c>
      <c r="Y32">
        <f>HYPERLINK("https://klasma.github.io/Logging_0115/tillsynsmail/A 60-2022 tillsynsbegäran mail.docx", "A 60-2022")</f>
        <v/>
      </c>
    </row>
    <row r="33" ht="15" customHeight="1">
      <c r="A33" t="inlineStr">
        <is>
          <t>A 46-2022</t>
        </is>
      </c>
      <c r="B33" s="1" t="n">
        <v>44560</v>
      </c>
      <c r="C33" s="1" t="n">
        <v>45584</v>
      </c>
      <c r="D33" t="inlineStr">
        <is>
          <t>STOCKHOLMS LÄN</t>
        </is>
      </c>
      <c r="E33" t="inlineStr">
        <is>
          <t>VALLENTUNA</t>
        </is>
      </c>
      <c r="F33" t="inlineStr">
        <is>
          <t>Övriga Aktiebolag</t>
        </is>
      </c>
      <c r="G33" t="n">
        <v>7.9</v>
      </c>
      <c r="H33" t="n">
        <v>1</v>
      </c>
      <c r="I33" t="n">
        <v>1</v>
      </c>
      <c r="J33" t="n">
        <v>0</v>
      </c>
      <c r="K33" t="n">
        <v>0</v>
      </c>
      <c r="L33" t="n">
        <v>0</v>
      </c>
      <c r="M33" t="n">
        <v>0</v>
      </c>
      <c r="N33" t="n">
        <v>0</v>
      </c>
      <c r="O33" t="n">
        <v>0</v>
      </c>
      <c r="P33" t="n">
        <v>0</v>
      </c>
      <c r="Q33" t="n">
        <v>2</v>
      </c>
      <c r="R33" s="2" t="inlineStr">
        <is>
          <t>Fällmossa
Blåsippa</t>
        </is>
      </c>
      <c r="S33">
        <f>HYPERLINK("https://klasma.github.io/Logging_0115/artfynd/A 46-2022 artfynd.xlsx", "A 46-2022")</f>
        <v/>
      </c>
      <c r="T33">
        <f>HYPERLINK("https://klasma.github.io/Logging_0115/kartor/A 46-2022 karta.png", "A 46-2022")</f>
        <v/>
      </c>
      <c r="V33">
        <f>HYPERLINK("https://klasma.github.io/Logging_0115/klagomål/A 46-2022 FSC-klagomål.docx", "A 46-2022")</f>
        <v/>
      </c>
      <c r="W33">
        <f>HYPERLINK("https://klasma.github.io/Logging_0115/klagomålsmail/A 46-2022 FSC-klagomål mail.docx", "A 46-2022")</f>
        <v/>
      </c>
      <c r="X33">
        <f>HYPERLINK("https://klasma.github.io/Logging_0115/tillsyn/A 46-2022 tillsynsbegäran.docx", "A 46-2022")</f>
        <v/>
      </c>
      <c r="Y33">
        <f>HYPERLINK("https://klasma.github.io/Logging_0115/tillsynsmail/A 46-2022 tillsynsbegäran mail.docx", "A 46-2022")</f>
        <v/>
      </c>
    </row>
    <row r="34" ht="15" customHeight="1">
      <c r="A34" t="inlineStr">
        <is>
          <t>A 9745-2022</t>
        </is>
      </c>
      <c r="B34" s="1" t="n">
        <v>44618</v>
      </c>
      <c r="C34" s="1" t="n">
        <v>45584</v>
      </c>
      <c r="D34" t="inlineStr">
        <is>
          <t>STOCKHOLMS LÄN</t>
        </is>
      </c>
      <c r="E34" t="inlineStr">
        <is>
          <t>VALLENTUNA</t>
        </is>
      </c>
      <c r="G34" t="n">
        <v>5.9</v>
      </c>
      <c r="H34" t="n">
        <v>1</v>
      </c>
      <c r="I34" t="n">
        <v>1</v>
      </c>
      <c r="J34" t="n">
        <v>1</v>
      </c>
      <c r="K34" t="n">
        <v>0</v>
      </c>
      <c r="L34" t="n">
        <v>0</v>
      </c>
      <c r="M34" t="n">
        <v>0</v>
      </c>
      <c r="N34" t="n">
        <v>0</v>
      </c>
      <c r="O34" t="n">
        <v>1</v>
      </c>
      <c r="P34" t="n">
        <v>0</v>
      </c>
      <c r="Q34" t="n">
        <v>2</v>
      </c>
      <c r="R34" s="2" t="inlineStr">
        <is>
          <t>Spillkråka
Björksplintborre</t>
        </is>
      </c>
      <c r="S34">
        <f>HYPERLINK("https://klasma.github.io/Logging_0115/artfynd/A 9745-2022 artfynd.xlsx", "A 9745-2022")</f>
        <v/>
      </c>
      <c r="T34">
        <f>HYPERLINK("https://klasma.github.io/Logging_0115/kartor/A 9745-2022 karta.png", "A 9745-2022")</f>
        <v/>
      </c>
      <c r="V34">
        <f>HYPERLINK("https://klasma.github.io/Logging_0115/klagomål/A 9745-2022 FSC-klagomål.docx", "A 9745-2022")</f>
        <v/>
      </c>
      <c r="W34">
        <f>HYPERLINK("https://klasma.github.io/Logging_0115/klagomålsmail/A 9745-2022 FSC-klagomål mail.docx", "A 9745-2022")</f>
        <v/>
      </c>
      <c r="X34">
        <f>HYPERLINK("https://klasma.github.io/Logging_0115/tillsyn/A 9745-2022 tillsynsbegäran.docx", "A 9745-2022")</f>
        <v/>
      </c>
      <c r="Y34">
        <f>HYPERLINK("https://klasma.github.io/Logging_0115/tillsynsmail/A 9745-2022 tillsynsbegäran mail.docx", "A 9745-2022")</f>
        <v/>
      </c>
      <c r="Z34">
        <f>HYPERLINK("https://klasma.github.io/Logging_0115/fåglar/A 9745-2022 prioriterade fågelarter.docx", "A 9745-2022")</f>
        <v/>
      </c>
    </row>
    <row r="35" ht="15" customHeight="1">
      <c r="A35" t="inlineStr">
        <is>
          <t>A 41021-2023</t>
        </is>
      </c>
      <c r="B35" s="1" t="n">
        <v>45173</v>
      </c>
      <c r="C35" s="1" t="n">
        <v>45584</v>
      </c>
      <c r="D35" t="inlineStr">
        <is>
          <t>STOCKHOLMS LÄN</t>
        </is>
      </c>
      <c r="E35" t="inlineStr">
        <is>
          <t>VALLENTUNA</t>
        </is>
      </c>
      <c r="G35" t="n">
        <v>3</v>
      </c>
      <c r="H35" t="n">
        <v>0</v>
      </c>
      <c r="I35" t="n">
        <v>1</v>
      </c>
      <c r="J35" t="n">
        <v>1</v>
      </c>
      <c r="K35" t="n">
        <v>0</v>
      </c>
      <c r="L35" t="n">
        <v>0</v>
      </c>
      <c r="M35" t="n">
        <v>0</v>
      </c>
      <c r="N35" t="n">
        <v>0</v>
      </c>
      <c r="O35" t="n">
        <v>1</v>
      </c>
      <c r="P35" t="n">
        <v>0</v>
      </c>
      <c r="Q35" t="n">
        <v>2</v>
      </c>
      <c r="R35" s="2" t="inlineStr">
        <is>
          <t>Orange taggsvamp
Fjällig taggsvamp s.str.</t>
        </is>
      </c>
      <c r="S35">
        <f>HYPERLINK("https://klasma.github.io/Logging_0115/artfynd/A 41021-2023 artfynd.xlsx", "A 41021-2023")</f>
        <v/>
      </c>
      <c r="T35">
        <f>HYPERLINK("https://klasma.github.io/Logging_0115/kartor/A 41021-2023 karta.png", "A 41021-2023")</f>
        <v/>
      </c>
      <c r="V35">
        <f>HYPERLINK("https://klasma.github.io/Logging_0115/klagomål/A 41021-2023 FSC-klagomål.docx", "A 41021-2023")</f>
        <v/>
      </c>
      <c r="W35">
        <f>HYPERLINK("https://klasma.github.io/Logging_0115/klagomålsmail/A 41021-2023 FSC-klagomål mail.docx", "A 41021-2023")</f>
        <v/>
      </c>
      <c r="X35">
        <f>HYPERLINK("https://klasma.github.io/Logging_0115/tillsyn/A 41021-2023 tillsynsbegäran.docx", "A 41021-2023")</f>
        <v/>
      </c>
      <c r="Y35">
        <f>HYPERLINK("https://klasma.github.io/Logging_0115/tillsynsmail/A 41021-2023 tillsynsbegäran mail.docx", "A 41021-2023")</f>
        <v/>
      </c>
    </row>
    <row r="36" ht="15" customHeight="1">
      <c r="A36" t="inlineStr">
        <is>
          <t>A 754-2024</t>
        </is>
      </c>
      <c r="B36" s="1" t="n">
        <v>45300</v>
      </c>
      <c r="C36" s="1" t="n">
        <v>45584</v>
      </c>
      <c r="D36" t="inlineStr">
        <is>
          <t>STOCKHOLMS LÄN</t>
        </is>
      </c>
      <c r="E36" t="inlineStr">
        <is>
          <t>VALLENTUNA</t>
        </is>
      </c>
      <c r="G36" t="n">
        <v>2.5</v>
      </c>
      <c r="H36" t="n">
        <v>1</v>
      </c>
      <c r="I36" t="n">
        <v>1</v>
      </c>
      <c r="J36" t="n">
        <v>0</v>
      </c>
      <c r="K36" t="n">
        <v>0</v>
      </c>
      <c r="L36" t="n">
        <v>0</v>
      </c>
      <c r="M36" t="n">
        <v>0</v>
      </c>
      <c r="N36" t="n">
        <v>0</v>
      </c>
      <c r="O36" t="n">
        <v>0</v>
      </c>
      <c r="P36" t="n">
        <v>0</v>
      </c>
      <c r="Q36" t="n">
        <v>2</v>
      </c>
      <c r="R36" s="2" t="inlineStr">
        <is>
          <t>Vågbandad barkbock
Grönsiska</t>
        </is>
      </c>
      <c r="S36">
        <f>HYPERLINK("https://klasma.github.io/Logging_0115/artfynd/A 754-2024 artfynd.xlsx", "A 754-2024")</f>
        <v/>
      </c>
      <c r="T36">
        <f>HYPERLINK("https://klasma.github.io/Logging_0115/kartor/A 754-2024 karta.png", "A 754-2024")</f>
        <v/>
      </c>
      <c r="V36">
        <f>HYPERLINK("https://klasma.github.io/Logging_0115/klagomål/A 754-2024 FSC-klagomål.docx", "A 754-2024")</f>
        <v/>
      </c>
      <c r="W36">
        <f>HYPERLINK("https://klasma.github.io/Logging_0115/klagomålsmail/A 754-2024 FSC-klagomål mail.docx", "A 754-2024")</f>
        <v/>
      </c>
      <c r="X36">
        <f>HYPERLINK("https://klasma.github.io/Logging_0115/tillsyn/A 754-2024 tillsynsbegäran.docx", "A 754-2024")</f>
        <v/>
      </c>
      <c r="Y36">
        <f>HYPERLINK("https://klasma.github.io/Logging_0115/tillsynsmail/A 754-2024 tillsynsbegäran mail.docx", "A 754-2024")</f>
        <v/>
      </c>
      <c r="Z36">
        <f>HYPERLINK("https://klasma.github.io/Logging_0115/fåglar/A 754-2024 prioriterade fågelarter.docx", "A 754-2024")</f>
        <v/>
      </c>
    </row>
    <row r="37" ht="15" customHeight="1">
      <c r="A37" t="inlineStr">
        <is>
          <t>A 29376-2024</t>
        </is>
      </c>
      <c r="B37" s="1" t="n">
        <v>45483</v>
      </c>
      <c r="C37" s="1" t="n">
        <v>45584</v>
      </c>
      <c r="D37" t="inlineStr">
        <is>
          <t>STOCKHOLMS LÄN</t>
        </is>
      </c>
      <c r="E37" t="inlineStr">
        <is>
          <t>VALLENTUNA</t>
        </is>
      </c>
      <c r="F37" t="inlineStr">
        <is>
          <t>Övriga Aktiebolag</t>
        </is>
      </c>
      <c r="G37" t="n">
        <v>11.9</v>
      </c>
      <c r="H37" t="n">
        <v>0</v>
      </c>
      <c r="I37" t="n">
        <v>0</v>
      </c>
      <c r="J37" t="n">
        <v>1</v>
      </c>
      <c r="K37" t="n">
        <v>1</v>
      </c>
      <c r="L37" t="n">
        <v>0</v>
      </c>
      <c r="M37" t="n">
        <v>0</v>
      </c>
      <c r="N37" t="n">
        <v>0</v>
      </c>
      <c r="O37" t="n">
        <v>2</v>
      </c>
      <c r="P37" t="n">
        <v>1</v>
      </c>
      <c r="Q37" t="n">
        <v>2</v>
      </c>
      <c r="R37" s="2" t="inlineStr">
        <is>
          <t>Bandnate
Vedtrappmossa</t>
        </is>
      </c>
      <c r="S37">
        <f>HYPERLINK("https://klasma.github.io/Logging_0115/artfynd/A 29376-2024 artfynd.xlsx", "A 29376-2024")</f>
        <v/>
      </c>
      <c r="T37">
        <f>HYPERLINK("https://klasma.github.io/Logging_0115/kartor/A 29376-2024 karta.png", "A 29376-2024")</f>
        <v/>
      </c>
      <c r="V37">
        <f>HYPERLINK("https://klasma.github.io/Logging_0115/klagomål/A 29376-2024 FSC-klagomål.docx", "A 29376-2024")</f>
        <v/>
      </c>
      <c r="W37">
        <f>HYPERLINK("https://klasma.github.io/Logging_0115/klagomålsmail/A 29376-2024 FSC-klagomål mail.docx", "A 29376-2024")</f>
        <v/>
      </c>
      <c r="X37">
        <f>HYPERLINK("https://klasma.github.io/Logging_0115/tillsyn/A 29376-2024 tillsynsbegäran.docx", "A 29376-2024")</f>
        <v/>
      </c>
      <c r="Y37">
        <f>HYPERLINK("https://klasma.github.io/Logging_0115/tillsynsmail/A 29376-2024 tillsynsbegäran mail.docx", "A 29376-2024")</f>
        <v/>
      </c>
    </row>
    <row r="38" ht="15" customHeight="1">
      <c r="A38" t="inlineStr">
        <is>
          <t>A 68108-2019</t>
        </is>
      </c>
      <c r="B38" s="1" t="n">
        <v>43817</v>
      </c>
      <c r="C38" s="1" t="n">
        <v>45584</v>
      </c>
      <c r="D38" t="inlineStr">
        <is>
          <t>STOCKHOLMS LÄN</t>
        </is>
      </c>
      <c r="E38" t="inlineStr">
        <is>
          <t>VALLENTUNA</t>
        </is>
      </c>
      <c r="G38" t="n">
        <v>3.2</v>
      </c>
      <c r="H38" t="n">
        <v>0</v>
      </c>
      <c r="I38" t="n">
        <v>1</v>
      </c>
      <c r="J38" t="n">
        <v>0</v>
      </c>
      <c r="K38" t="n">
        <v>0</v>
      </c>
      <c r="L38" t="n">
        <v>0</v>
      </c>
      <c r="M38" t="n">
        <v>0</v>
      </c>
      <c r="N38" t="n">
        <v>0</v>
      </c>
      <c r="O38" t="n">
        <v>0</v>
      </c>
      <c r="P38" t="n">
        <v>0</v>
      </c>
      <c r="Q38" t="n">
        <v>1</v>
      </c>
      <c r="R38" s="2" t="inlineStr">
        <is>
          <t>Skuggblåslav</t>
        </is>
      </c>
      <c r="S38">
        <f>HYPERLINK("https://klasma.github.io/Logging_0115/artfynd/A 68108-2019 artfynd.xlsx", "A 68108-2019")</f>
        <v/>
      </c>
      <c r="T38">
        <f>HYPERLINK("https://klasma.github.io/Logging_0115/kartor/A 68108-2019 karta.png", "A 68108-2019")</f>
        <v/>
      </c>
      <c r="V38">
        <f>HYPERLINK("https://klasma.github.io/Logging_0115/klagomål/A 68108-2019 FSC-klagomål.docx", "A 68108-2019")</f>
        <v/>
      </c>
      <c r="W38">
        <f>HYPERLINK("https://klasma.github.io/Logging_0115/klagomålsmail/A 68108-2019 FSC-klagomål mail.docx", "A 68108-2019")</f>
        <v/>
      </c>
      <c r="X38">
        <f>HYPERLINK("https://klasma.github.io/Logging_0115/tillsyn/A 68108-2019 tillsynsbegäran.docx", "A 68108-2019")</f>
        <v/>
      </c>
      <c r="Y38">
        <f>HYPERLINK("https://klasma.github.io/Logging_0115/tillsynsmail/A 68108-2019 tillsynsbegäran mail.docx", "A 68108-2019")</f>
        <v/>
      </c>
    </row>
    <row r="39" ht="15" customHeight="1">
      <c r="A39" t="inlineStr">
        <is>
          <t>A 68107-2019</t>
        </is>
      </c>
      <c r="B39" s="1" t="n">
        <v>43817</v>
      </c>
      <c r="C39" s="1" t="n">
        <v>45584</v>
      </c>
      <c r="D39" t="inlineStr">
        <is>
          <t>STOCKHOLMS LÄN</t>
        </is>
      </c>
      <c r="E39" t="inlineStr">
        <is>
          <t>VALLENTUNA</t>
        </is>
      </c>
      <c r="G39" t="n">
        <v>11.4</v>
      </c>
      <c r="H39" t="n">
        <v>0</v>
      </c>
      <c r="I39" t="n">
        <v>0</v>
      </c>
      <c r="J39" t="n">
        <v>1</v>
      </c>
      <c r="K39" t="n">
        <v>0</v>
      </c>
      <c r="L39" t="n">
        <v>0</v>
      </c>
      <c r="M39" t="n">
        <v>0</v>
      </c>
      <c r="N39" t="n">
        <v>0</v>
      </c>
      <c r="O39" t="n">
        <v>1</v>
      </c>
      <c r="P39" t="n">
        <v>0</v>
      </c>
      <c r="Q39" t="n">
        <v>1</v>
      </c>
      <c r="R39" s="2" t="inlineStr">
        <is>
          <t>Tallticka</t>
        </is>
      </c>
      <c r="S39">
        <f>HYPERLINK("https://klasma.github.io/Logging_0115/artfynd/A 68107-2019 artfynd.xlsx", "A 68107-2019")</f>
        <v/>
      </c>
      <c r="T39">
        <f>HYPERLINK("https://klasma.github.io/Logging_0115/kartor/A 68107-2019 karta.png", "A 68107-2019")</f>
        <v/>
      </c>
      <c r="V39">
        <f>HYPERLINK("https://klasma.github.io/Logging_0115/klagomål/A 68107-2019 FSC-klagomål.docx", "A 68107-2019")</f>
        <v/>
      </c>
      <c r="W39">
        <f>HYPERLINK("https://klasma.github.io/Logging_0115/klagomålsmail/A 68107-2019 FSC-klagomål mail.docx", "A 68107-2019")</f>
        <v/>
      </c>
      <c r="X39">
        <f>HYPERLINK("https://klasma.github.io/Logging_0115/tillsyn/A 68107-2019 tillsynsbegäran.docx", "A 68107-2019")</f>
        <v/>
      </c>
      <c r="Y39">
        <f>HYPERLINK("https://klasma.github.io/Logging_0115/tillsynsmail/A 68107-2019 tillsynsbegäran mail.docx", "A 68107-2019")</f>
        <v/>
      </c>
    </row>
    <row r="40" ht="15" customHeight="1">
      <c r="A40" t="inlineStr">
        <is>
          <t>A 41934-2021</t>
        </is>
      </c>
      <c r="B40" s="1" t="n">
        <v>44425</v>
      </c>
      <c r="C40" s="1" t="n">
        <v>45584</v>
      </c>
      <c r="D40" t="inlineStr">
        <is>
          <t>STOCKHOLMS LÄN</t>
        </is>
      </c>
      <c r="E40" t="inlineStr">
        <is>
          <t>VALLENTUNA</t>
        </is>
      </c>
      <c r="F40" t="inlineStr">
        <is>
          <t>Övriga Aktiebolag</t>
        </is>
      </c>
      <c r="G40" t="n">
        <v>7.1</v>
      </c>
      <c r="H40" t="n">
        <v>0</v>
      </c>
      <c r="I40" t="n">
        <v>0</v>
      </c>
      <c r="J40" t="n">
        <v>1</v>
      </c>
      <c r="K40" t="n">
        <v>0</v>
      </c>
      <c r="L40" t="n">
        <v>0</v>
      </c>
      <c r="M40" t="n">
        <v>0</v>
      </c>
      <c r="N40" t="n">
        <v>0</v>
      </c>
      <c r="O40" t="n">
        <v>1</v>
      </c>
      <c r="P40" t="n">
        <v>0</v>
      </c>
      <c r="Q40" t="n">
        <v>1</v>
      </c>
      <c r="R40" s="2" t="inlineStr">
        <is>
          <t>Skogsklocka</t>
        </is>
      </c>
      <c r="S40">
        <f>HYPERLINK("https://klasma.github.io/Logging_0115/artfynd/A 41934-2021 artfynd.xlsx", "A 41934-2021")</f>
        <v/>
      </c>
      <c r="T40">
        <f>HYPERLINK("https://klasma.github.io/Logging_0115/kartor/A 41934-2021 karta.png", "A 41934-2021")</f>
        <v/>
      </c>
      <c r="V40">
        <f>HYPERLINK("https://klasma.github.io/Logging_0115/klagomål/A 41934-2021 FSC-klagomål.docx", "A 41934-2021")</f>
        <v/>
      </c>
      <c r="W40">
        <f>HYPERLINK("https://klasma.github.io/Logging_0115/klagomålsmail/A 41934-2021 FSC-klagomål mail.docx", "A 41934-2021")</f>
        <v/>
      </c>
      <c r="X40">
        <f>HYPERLINK("https://klasma.github.io/Logging_0115/tillsyn/A 41934-2021 tillsynsbegäran.docx", "A 41934-2021")</f>
        <v/>
      </c>
      <c r="Y40">
        <f>HYPERLINK("https://klasma.github.io/Logging_0115/tillsynsmail/A 41934-2021 tillsynsbegäran mail.docx", "A 41934-2021")</f>
        <v/>
      </c>
    </row>
    <row r="41" ht="15" customHeight="1">
      <c r="A41" t="inlineStr">
        <is>
          <t>A 131-2022</t>
        </is>
      </c>
      <c r="B41" s="1" t="n">
        <v>44560</v>
      </c>
      <c r="C41" s="1" t="n">
        <v>45584</v>
      </c>
      <c r="D41" t="inlineStr">
        <is>
          <t>STOCKHOLMS LÄN</t>
        </is>
      </c>
      <c r="E41" t="inlineStr">
        <is>
          <t>VALLENTUNA</t>
        </is>
      </c>
      <c r="F41" t="inlineStr">
        <is>
          <t>Övriga Aktiebolag</t>
        </is>
      </c>
      <c r="G41" t="n">
        <v>4.6</v>
      </c>
      <c r="H41" t="n">
        <v>0</v>
      </c>
      <c r="I41" t="n">
        <v>1</v>
      </c>
      <c r="J41" t="n">
        <v>0</v>
      </c>
      <c r="K41" t="n">
        <v>0</v>
      </c>
      <c r="L41" t="n">
        <v>0</v>
      </c>
      <c r="M41" t="n">
        <v>0</v>
      </c>
      <c r="N41" t="n">
        <v>0</v>
      </c>
      <c r="O41" t="n">
        <v>0</v>
      </c>
      <c r="P41" t="n">
        <v>0</v>
      </c>
      <c r="Q41" t="n">
        <v>1</v>
      </c>
      <c r="R41" s="2" t="inlineStr">
        <is>
          <t>Tjockfotad fingersvamp</t>
        </is>
      </c>
      <c r="S41">
        <f>HYPERLINK("https://klasma.github.io/Logging_0115/artfynd/A 131-2022 artfynd.xlsx", "A 131-2022")</f>
        <v/>
      </c>
      <c r="T41">
        <f>HYPERLINK("https://klasma.github.io/Logging_0115/kartor/A 131-2022 karta.png", "A 131-2022")</f>
        <v/>
      </c>
      <c r="V41">
        <f>HYPERLINK("https://klasma.github.io/Logging_0115/klagomål/A 131-2022 FSC-klagomål.docx", "A 131-2022")</f>
        <v/>
      </c>
      <c r="W41">
        <f>HYPERLINK("https://klasma.github.io/Logging_0115/klagomålsmail/A 131-2022 FSC-klagomål mail.docx", "A 131-2022")</f>
        <v/>
      </c>
      <c r="X41">
        <f>HYPERLINK("https://klasma.github.io/Logging_0115/tillsyn/A 131-2022 tillsynsbegäran.docx", "A 131-2022")</f>
        <v/>
      </c>
      <c r="Y41">
        <f>HYPERLINK("https://klasma.github.io/Logging_0115/tillsynsmail/A 131-2022 tillsynsbegäran mail.docx", "A 131-2022")</f>
        <v/>
      </c>
    </row>
    <row r="42" ht="15" customHeight="1">
      <c r="A42" t="inlineStr">
        <is>
          <t>A 21-2022</t>
        </is>
      </c>
      <c r="B42" s="1" t="n">
        <v>44560</v>
      </c>
      <c r="C42" s="1" t="n">
        <v>45584</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9445-2022</t>
        </is>
      </c>
      <c r="B43" s="1" t="n">
        <v>44616</v>
      </c>
      <c r="C43" s="1" t="n">
        <v>45584</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45584</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45584</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45584</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45584</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45584</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45584</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45584</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45584</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45584</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45584</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45584</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45584</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45584</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45584</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45584</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45584</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45584</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45584</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45584</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45584</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45584</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45584</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45584</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45584</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45584</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45584</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45584</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45584</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45584</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45584</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45584</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45584</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45584</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45584</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45584</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45584</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45584</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45584</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45584</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45584</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45584</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45584</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45584</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45584</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45584</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45584</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45584</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45584</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45584</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45584</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45584</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45584</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45584</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45584</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45584</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45584</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45584</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45584</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45584</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45584</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45584</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45584</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45584</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45584</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45584</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45584</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45584</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45584</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45584</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45584</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45584</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45584</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45584</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45584</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45584</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45584</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45584</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45584</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45584</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45584</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45584</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45584</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45584</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45584</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45584</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45584</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45584</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45584</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45584</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45584</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45584</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45584</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45584</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45584</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45584</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45584</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45584</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45584</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45584</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45584</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45584</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45584</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45584</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45584</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45584</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45584</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45584</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45584</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45584</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45584</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45584</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45584</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45584</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45584</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45584</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45584</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45584</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45584</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45584</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45584</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45584</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45584</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45584</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45584</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45584</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45584</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45584</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45584</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45584</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45584</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45584</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45584</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45584</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45584</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45584</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45584</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45584</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45584</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45584</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45584</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45584</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45584</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45584</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45584</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45584</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45584</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45584</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45584</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45584</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45584</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45584</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45584</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45584</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45584</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45584</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45584</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45584</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45584</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45584</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45584</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45584</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45584</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45584</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45584</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45584</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45584</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45584</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45584</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45584</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45584</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45584</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45584</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45584</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45584</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45584</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45584</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45584</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45584</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45584</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45584</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45584</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45584</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45584</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45584</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45584</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45584</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45584</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45584</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45584</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45584</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45584</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45584</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45584</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45584</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45584</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45584</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45584</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45584</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45584</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45584</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45584</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45584</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45584</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45584</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45584</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45584</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45584</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45584</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45584</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45584</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ht="15" customHeight="1">
      <c r="A254" t="inlineStr">
        <is>
          <t>A 38102-2024</t>
        </is>
      </c>
      <c r="B254" s="1" t="n">
        <v>45545</v>
      </c>
      <c r="C254" s="1" t="n">
        <v>45584</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row r="255" ht="15" customHeight="1">
      <c r="A255" t="inlineStr">
        <is>
          <t>A 45221-2024</t>
        </is>
      </c>
      <c r="B255" s="1" t="n">
        <v>45575</v>
      </c>
      <c r="C255" s="1" t="n">
        <v>45584</v>
      </c>
      <c r="D255" t="inlineStr">
        <is>
          <t>STOCKHOLMS LÄN</t>
        </is>
      </c>
      <c r="E255" t="inlineStr">
        <is>
          <t>VALLENTUNA</t>
        </is>
      </c>
      <c r="G255" t="n">
        <v>4.9</v>
      </c>
      <c r="H255" t="n">
        <v>0</v>
      </c>
      <c r="I255" t="n">
        <v>0</v>
      </c>
      <c r="J255" t="n">
        <v>0</v>
      </c>
      <c r="K255" t="n">
        <v>0</v>
      </c>
      <c r="L255" t="n">
        <v>0</v>
      </c>
      <c r="M255" t="n">
        <v>0</v>
      </c>
      <c r="N255" t="n">
        <v>0</v>
      </c>
      <c r="O255" t="n">
        <v>0</v>
      </c>
      <c r="P255" t="n">
        <v>0</v>
      </c>
      <c r="Q255" t="n">
        <v>0</v>
      </c>
      <c r="R255" s="2" t="inlineStr"/>
    </row>
    <row r="256" ht="15" customHeight="1">
      <c r="A256" t="inlineStr">
        <is>
          <t>A 45222-2024</t>
        </is>
      </c>
      <c r="B256" s="1" t="n">
        <v>45575</v>
      </c>
      <c r="C256" s="1" t="n">
        <v>45584</v>
      </c>
      <c r="D256" t="inlineStr">
        <is>
          <t>STOCKHOLMS LÄN</t>
        </is>
      </c>
      <c r="E256" t="inlineStr">
        <is>
          <t>VALLENTUNA</t>
        </is>
      </c>
      <c r="G256" t="n">
        <v>3.8</v>
      </c>
      <c r="H256" t="n">
        <v>0</v>
      </c>
      <c r="I256" t="n">
        <v>0</v>
      </c>
      <c r="J256" t="n">
        <v>0</v>
      </c>
      <c r="K256" t="n">
        <v>0</v>
      </c>
      <c r="L256" t="n">
        <v>0</v>
      </c>
      <c r="M256" t="n">
        <v>0</v>
      </c>
      <c r="N256" t="n">
        <v>0</v>
      </c>
      <c r="O256" t="n">
        <v>0</v>
      </c>
      <c r="P256" t="n">
        <v>0</v>
      </c>
      <c r="Q256" t="n">
        <v>0</v>
      </c>
      <c r="R256" s="2" t="inlineStr"/>
    </row>
    <row r="257" ht="15" customHeight="1">
      <c r="A257" t="inlineStr">
        <is>
          <t>A 45219-2024</t>
        </is>
      </c>
      <c r="B257" s="1" t="n">
        <v>45575</v>
      </c>
      <c r="C257" s="1" t="n">
        <v>45584</v>
      </c>
      <c r="D257" t="inlineStr">
        <is>
          <t>STOCKHOLMS LÄN</t>
        </is>
      </c>
      <c r="E257" t="inlineStr">
        <is>
          <t>VALLENTUNA</t>
        </is>
      </c>
      <c r="G257" t="n">
        <v>2.7</v>
      </c>
      <c r="H257" t="n">
        <v>0</v>
      </c>
      <c r="I257" t="n">
        <v>0</v>
      </c>
      <c r="J257" t="n">
        <v>0</v>
      </c>
      <c r="K257" t="n">
        <v>0</v>
      </c>
      <c r="L257" t="n">
        <v>0</v>
      </c>
      <c r="M257" t="n">
        <v>0</v>
      </c>
      <c r="N257" t="n">
        <v>0</v>
      </c>
      <c r="O257" t="n">
        <v>0</v>
      </c>
      <c r="P257" t="n">
        <v>0</v>
      </c>
      <c r="Q257" t="n">
        <v>0</v>
      </c>
      <c r="R257" s="2" t="inlineStr"/>
    </row>
    <row r="258" ht="15" customHeight="1">
      <c r="A258" t="inlineStr">
        <is>
          <t>A 45223-2024</t>
        </is>
      </c>
      <c r="B258" s="1" t="n">
        <v>45575</v>
      </c>
      <c r="C258" s="1" t="n">
        <v>45584</v>
      </c>
      <c r="D258" t="inlineStr">
        <is>
          <t>STOCKHOLMS LÄN</t>
        </is>
      </c>
      <c r="E258" t="inlineStr">
        <is>
          <t>VALLENTUNA</t>
        </is>
      </c>
      <c r="G258" t="n">
        <v>6.8</v>
      </c>
      <c r="H258" t="n">
        <v>0</v>
      </c>
      <c r="I258" t="n">
        <v>0</v>
      </c>
      <c r="J258" t="n">
        <v>0</v>
      </c>
      <c r="K258" t="n">
        <v>0</v>
      </c>
      <c r="L258" t="n">
        <v>0</v>
      </c>
      <c r="M258" t="n">
        <v>0</v>
      </c>
      <c r="N258" t="n">
        <v>0</v>
      </c>
      <c r="O258" t="n">
        <v>0</v>
      </c>
      <c r="P258" t="n">
        <v>0</v>
      </c>
      <c r="Q258" t="n">
        <v>0</v>
      </c>
      <c r="R258" s="2" t="inlineStr"/>
    </row>
    <row r="259">
      <c r="A259" t="inlineStr">
        <is>
          <t>A 45686-2024</t>
        </is>
      </c>
      <c r="B259" s="1" t="n">
        <v>45579</v>
      </c>
      <c r="C259" s="1" t="n">
        <v>45584</v>
      </c>
      <c r="D259" t="inlineStr">
        <is>
          <t>STOCKHOLMS LÄN</t>
        </is>
      </c>
      <c r="E259" t="inlineStr">
        <is>
          <t>VALLENTUNA</t>
        </is>
      </c>
      <c r="G259" t="n">
        <v>0.8</v>
      </c>
      <c r="H259" t="n">
        <v>0</v>
      </c>
      <c r="I259" t="n">
        <v>0</v>
      </c>
      <c r="J259" t="n">
        <v>0</v>
      </c>
      <c r="K259" t="n">
        <v>0</v>
      </c>
      <c r="L259" t="n">
        <v>0</v>
      </c>
      <c r="M259" t="n">
        <v>0</v>
      </c>
      <c r="N259" t="n">
        <v>0</v>
      </c>
      <c r="O259" t="n">
        <v>0</v>
      </c>
      <c r="P259" t="n">
        <v>0</v>
      </c>
      <c r="Q259" t="n">
        <v>0</v>
      </c>
      <c r="R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2024-10-19T12:17:19Z</dcterms:created>
  <dcterms:modified xmlns:dcterms="http://purl.org/dc/terms/" xmlns:xsi="http://www.w3.org/2001/XMLSchema-instance" xsi:type="dcterms:W3CDTF">2024-10-19T12:17:19Z</dcterms:modified>
</cp:coreProperties>
</file>