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45936</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45936</v>
      </c>
      <c r="D3" t="inlineStr">
        <is>
          <t>STOCKHOLMS LÄN</t>
        </is>
      </c>
      <c r="E3" t="inlineStr">
        <is>
          <t>VALLENTUNA</t>
        </is>
      </c>
      <c r="G3" t="n">
        <v>5.6</v>
      </c>
      <c r="H3" t="n">
        <v>7</v>
      </c>
      <c r="I3" t="n">
        <v>20</v>
      </c>
      <c r="J3" t="n">
        <v>15</v>
      </c>
      <c r="K3" t="n">
        <v>2</v>
      </c>
      <c r="L3" t="n">
        <v>0</v>
      </c>
      <c r="M3" t="n">
        <v>0</v>
      </c>
      <c r="N3" t="n">
        <v>0</v>
      </c>
      <c r="O3" t="n">
        <v>17</v>
      </c>
      <c r="P3" t="n">
        <v>2</v>
      </c>
      <c r="Q3" t="n">
        <v>38</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45936</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45936</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45936</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45936</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45936</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45936</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45936</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41021-2023</t>
        </is>
      </c>
      <c r="B17" s="1" t="n">
        <v>45173</v>
      </c>
      <c r="C17" s="1" t="n">
        <v>45936</v>
      </c>
      <c r="D17" t="inlineStr">
        <is>
          <t>STOCKHOLMS LÄN</t>
        </is>
      </c>
      <c r="E17" t="inlineStr">
        <is>
          <t>VALLENTUNA</t>
        </is>
      </c>
      <c r="G17" t="n">
        <v>3</v>
      </c>
      <c r="H17" t="n">
        <v>0</v>
      </c>
      <c r="I17" t="n">
        <v>1</v>
      </c>
      <c r="J17" t="n">
        <v>1</v>
      </c>
      <c r="K17" t="n">
        <v>0</v>
      </c>
      <c r="L17" t="n">
        <v>0</v>
      </c>
      <c r="M17" t="n">
        <v>0</v>
      </c>
      <c r="N17" t="n">
        <v>0</v>
      </c>
      <c r="O17" t="n">
        <v>1</v>
      </c>
      <c r="P17" t="n">
        <v>0</v>
      </c>
      <c r="Q17" t="n">
        <v>2</v>
      </c>
      <c r="R17" s="2" t="inlineStr">
        <is>
          <t>Orange taggsvamp
Fjällig taggsvamp s.str.</t>
        </is>
      </c>
      <c r="S17">
        <f>HYPERLINK("https://klasma.github.io/Logging_0115/artfynd/A 41021-2023 artfynd.xlsx", "A 41021-2023")</f>
        <v/>
      </c>
      <c r="T17">
        <f>HYPERLINK("https://klasma.github.io/Logging_0115/kartor/A 41021-2023 karta.png", "A 41021-2023")</f>
        <v/>
      </c>
      <c r="V17">
        <f>HYPERLINK("https://klasma.github.io/Logging_0115/klagomål/A 41021-2023 FSC-klagomål.docx", "A 41021-2023")</f>
        <v/>
      </c>
      <c r="W17">
        <f>HYPERLINK("https://klasma.github.io/Logging_0115/klagomålsmail/A 41021-2023 FSC-klagomål mail.docx", "A 41021-2023")</f>
        <v/>
      </c>
      <c r="X17">
        <f>HYPERLINK("https://klasma.github.io/Logging_0115/tillsyn/A 41021-2023 tillsynsbegäran.docx", "A 41021-2023")</f>
        <v/>
      </c>
      <c r="Y17">
        <f>HYPERLINK("https://klasma.github.io/Logging_0115/tillsynsmail/A 41021-2023 tillsynsbegäran mail.docx", "A 41021-2023")</f>
        <v/>
      </c>
    </row>
    <row r="18" ht="15" customHeight="1">
      <c r="A18" t="inlineStr">
        <is>
          <t>A 46-2022</t>
        </is>
      </c>
      <c r="B18" s="1" t="n">
        <v>44560</v>
      </c>
      <c r="C18" s="1" t="n">
        <v>45936</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45936</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45936</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8817-2025</t>
        </is>
      </c>
      <c r="B21" s="1" t="n">
        <v>45712.70987268518</v>
      </c>
      <c r="C21" s="1" t="n">
        <v>45936</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7890-2023</t>
        </is>
      </c>
      <c r="B22" s="1" t="n">
        <v>44973</v>
      </c>
      <c r="C22" s="1" t="n">
        <v>45936</v>
      </c>
      <c r="D22" t="inlineStr">
        <is>
          <t>STOCKHOLMS LÄN</t>
        </is>
      </c>
      <c r="E22" t="inlineStr">
        <is>
          <t>VALLENTUNA</t>
        </is>
      </c>
      <c r="G22" t="n">
        <v>0.5</v>
      </c>
      <c r="H22" t="n">
        <v>0</v>
      </c>
      <c r="I22" t="n">
        <v>0</v>
      </c>
      <c r="J22" t="n">
        <v>1</v>
      </c>
      <c r="K22" t="n">
        <v>0</v>
      </c>
      <c r="L22" t="n">
        <v>0</v>
      </c>
      <c r="M22" t="n">
        <v>0</v>
      </c>
      <c r="N22" t="n">
        <v>0</v>
      </c>
      <c r="O22" t="n">
        <v>1</v>
      </c>
      <c r="P22" t="n">
        <v>0</v>
      </c>
      <c r="Q22" t="n">
        <v>1</v>
      </c>
      <c r="R22" s="2" t="inlineStr">
        <is>
          <t>Ullticka</t>
        </is>
      </c>
      <c r="S22">
        <f>HYPERLINK("https://klasma.github.io/Logging_0115/artfynd/A 7890-2023 artfynd.xlsx", "A 7890-2023")</f>
        <v/>
      </c>
      <c r="T22">
        <f>HYPERLINK("https://klasma.github.io/Logging_0115/kartor/A 7890-2023 karta.png", "A 7890-2023")</f>
        <v/>
      </c>
      <c r="V22">
        <f>HYPERLINK("https://klasma.github.io/Logging_0115/klagomål/A 7890-2023 FSC-klagomål.docx", "A 7890-2023")</f>
        <v/>
      </c>
      <c r="W22">
        <f>HYPERLINK("https://klasma.github.io/Logging_0115/klagomålsmail/A 7890-2023 FSC-klagomål mail.docx", "A 7890-2023")</f>
        <v/>
      </c>
      <c r="X22">
        <f>HYPERLINK("https://klasma.github.io/Logging_0115/tillsyn/A 7890-2023 tillsynsbegäran.docx", "A 7890-2023")</f>
        <v/>
      </c>
      <c r="Y22">
        <f>HYPERLINK("https://klasma.github.io/Logging_0115/tillsynsmail/A 7890-2023 tillsynsbegäran mail.docx", "A 7890-2023")</f>
        <v/>
      </c>
    </row>
    <row r="23" ht="15" customHeight="1">
      <c r="A23" t="inlineStr">
        <is>
          <t>A 22830-2024</t>
        </is>
      </c>
      <c r="B23" s="1" t="n">
        <v>45448.56583333333</v>
      </c>
      <c r="C23" s="1" t="n">
        <v>45936</v>
      </c>
      <c r="D23" t="inlineStr">
        <is>
          <t>STOCKHOLMS LÄN</t>
        </is>
      </c>
      <c r="E23" t="inlineStr">
        <is>
          <t>VALLENTUNA</t>
        </is>
      </c>
      <c r="G23" t="n">
        <v>0.3</v>
      </c>
      <c r="H23" t="n">
        <v>0</v>
      </c>
      <c r="I23" t="n">
        <v>0</v>
      </c>
      <c r="J23" t="n">
        <v>1</v>
      </c>
      <c r="K23" t="n">
        <v>0</v>
      </c>
      <c r="L23" t="n">
        <v>0</v>
      </c>
      <c r="M23" t="n">
        <v>0</v>
      </c>
      <c r="N23" t="n">
        <v>0</v>
      </c>
      <c r="O23" t="n">
        <v>1</v>
      </c>
      <c r="P23" t="n">
        <v>0</v>
      </c>
      <c r="Q23" t="n">
        <v>1</v>
      </c>
      <c r="R23" s="2" t="inlineStr">
        <is>
          <t>Tallticka</t>
        </is>
      </c>
      <c r="S23">
        <f>HYPERLINK("https://klasma.github.io/Logging_0115/artfynd/A 22830-2024 artfynd.xlsx", "A 22830-2024")</f>
        <v/>
      </c>
      <c r="T23">
        <f>HYPERLINK("https://klasma.github.io/Logging_0115/kartor/A 22830-2024 karta.png", "A 22830-2024")</f>
        <v/>
      </c>
      <c r="V23">
        <f>HYPERLINK("https://klasma.github.io/Logging_0115/klagomål/A 22830-2024 FSC-klagomål.docx", "A 22830-2024")</f>
        <v/>
      </c>
      <c r="W23">
        <f>HYPERLINK("https://klasma.github.io/Logging_0115/klagomålsmail/A 22830-2024 FSC-klagomål mail.docx", "A 22830-2024")</f>
        <v/>
      </c>
      <c r="X23">
        <f>HYPERLINK("https://klasma.github.io/Logging_0115/tillsyn/A 22830-2024 tillsynsbegäran.docx", "A 22830-2024")</f>
        <v/>
      </c>
      <c r="Y23">
        <f>HYPERLINK("https://klasma.github.io/Logging_0115/tillsynsmail/A 22830-2024 tillsynsbegäran mail.docx", "A 22830-2024")</f>
        <v/>
      </c>
    </row>
    <row r="24" ht="15" customHeight="1">
      <c r="A24" t="inlineStr">
        <is>
          <t>A 17341-2025</t>
        </is>
      </c>
      <c r="B24" s="1" t="n">
        <v>45756</v>
      </c>
      <c r="C24" s="1" t="n">
        <v>45936</v>
      </c>
      <c r="D24" t="inlineStr">
        <is>
          <t>STOCKHOLMS LÄN</t>
        </is>
      </c>
      <c r="E24" t="inlineStr">
        <is>
          <t>VALLENTUNA</t>
        </is>
      </c>
      <c r="F24" t="inlineStr">
        <is>
          <t>Övriga Aktiebolag</t>
        </is>
      </c>
      <c r="G24" t="n">
        <v>5.2</v>
      </c>
      <c r="H24" t="n">
        <v>0</v>
      </c>
      <c r="I24" t="n">
        <v>1</v>
      </c>
      <c r="J24" t="n">
        <v>0</v>
      </c>
      <c r="K24" t="n">
        <v>0</v>
      </c>
      <c r="L24" t="n">
        <v>0</v>
      </c>
      <c r="M24" t="n">
        <v>0</v>
      </c>
      <c r="N24" t="n">
        <v>0</v>
      </c>
      <c r="O24" t="n">
        <v>0</v>
      </c>
      <c r="P24" t="n">
        <v>0</v>
      </c>
      <c r="Q24" t="n">
        <v>1</v>
      </c>
      <c r="R24" s="2" t="inlineStr">
        <is>
          <t>Björksplintborre</t>
        </is>
      </c>
      <c r="S24">
        <f>HYPERLINK("https://klasma.github.io/Logging_0115/artfynd/A 17341-2025 artfynd.xlsx", "A 17341-2025")</f>
        <v/>
      </c>
      <c r="T24">
        <f>HYPERLINK("https://klasma.github.io/Logging_0115/kartor/A 17341-2025 karta.png", "A 17341-2025")</f>
        <v/>
      </c>
      <c r="V24">
        <f>HYPERLINK("https://klasma.github.io/Logging_0115/klagomål/A 17341-2025 FSC-klagomål.docx", "A 17341-2025")</f>
        <v/>
      </c>
      <c r="W24">
        <f>HYPERLINK("https://klasma.github.io/Logging_0115/klagomålsmail/A 17341-2025 FSC-klagomål mail.docx", "A 17341-2025")</f>
        <v/>
      </c>
      <c r="X24">
        <f>HYPERLINK("https://klasma.github.io/Logging_0115/tillsyn/A 17341-2025 tillsynsbegäran.docx", "A 17341-2025")</f>
        <v/>
      </c>
      <c r="Y24">
        <f>HYPERLINK("https://klasma.github.io/Logging_0115/tillsynsmail/A 17341-2025 tillsynsbegäran mail.docx", "A 17341-2025")</f>
        <v/>
      </c>
    </row>
    <row r="25" ht="15" customHeight="1">
      <c r="A25" t="inlineStr">
        <is>
          <t>A 27870-2025</t>
        </is>
      </c>
      <c r="B25" s="1" t="n">
        <v>45817</v>
      </c>
      <c r="C25" s="1" t="n">
        <v>45936</v>
      </c>
      <c r="D25" t="inlineStr">
        <is>
          <t>STOCKHOLMS LÄN</t>
        </is>
      </c>
      <c r="E25" t="inlineStr">
        <is>
          <t>VALLENTUNA</t>
        </is>
      </c>
      <c r="G25" t="n">
        <v>5</v>
      </c>
      <c r="H25" t="n">
        <v>0</v>
      </c>
      <c r="I25" t="n">
        <v>0</v>
      </c>
      <c r="J25" t="n">
        <v>1</v>
      </c>
      <c r="K25" t="n">
        <v>0</v>
      </c>
      <c r="L25" t="n">
        <v>0</v>
      </c>
      <c r="M25" t="n">
        <v>0</v>
      </c>
      <c r="N25" t="n">
        <v>0</v>
      </c>
      <c r="O25" t="n">
        <v>1</v>
      </c>
      <c r="P25" t="n">
        <v>0</v>
      </c>
      <c r="Q25" t="n">
        <v>1</v>
      </c>
      <c r="R25" s="2" t="inlineStr">
        <is>
          <t>Bronspraktbagge</t>
        </is>
      </c>
      <c r="S25">
        <f>HYPERLINK("https://klasma.github.io/Logging_0115/artfynd/A 27870-2025 artfynd.xlsx", "A 27870-2025")</f>
        <v/>
      </c>
      <c r="T25">
        <f>HYPERLINK("https://klasma.github.io/Logging_0115/kartor/A 27870-2025 karta.png", "A 27870-2025")</f>
        <v/>
      </c>
      <c r="V25">
        <f>HYPERLINK("https://klasma.github.io/Logging_0115/klagomål/A 27870-2025 FSC-klagomål.docx", "A 27870-2025")</f>
        <v/>
      </c>
      <c r="W25">
        <f>HYPERLINK("https://klasma.github.io/Logging_0115/klagomålsmail/A 27870-2025 FSC-klagomål mail.docx", "A 27870-2025")</f>
        <v/>
      </c>
      <c r="X25">
        <f>HYPERLINK("https://klasma.github.io/Logging_0115/tillsyn/A 27870-2025 tillsynsbegäran.docx", "A 27870-2025")</f>
        <v/>
      </c>
      <c r="Y25">
        <f>HYPERLINK("https://klasma.github.io/Logging_0115/tillsynsmail/A 27870-2025 tillsynsbegäran mail.docx", "A 27870-2025")</f>
        <v/>
      </c>
    </row>
    <row r="26" ht="15" customHeight="1">
      <c r="A26" t="inlineStr">
        <is>
          <t>A 14508-2024</t>
        </is>
      </c>
      <c r="B26" s="1" t="n">
        <v>45394.61583333334</v>
      </c>
      <c r="C26" s="1" t="n">
        <v>45936</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21439-2025</t>
        </is>
      </c>
      <c r="B27" s="1" t="n">
        <v>45782.52939814814</v>
      </c>
      <c r="C27" s="1" t="n">
        <v>45936</v>
      </c>
      <c r="D27" t="inlineStr">
        <is>
          <t>STOCKHOLMS LÄN</t>
        </is>
      </c>
      <c r="E27" t="inlineStr">
        <is>
          <t>VALLENTUNA</t>
        </is>
      </c>
      <c r="G27" t="n">
        <v>2.1</v>
      </c>
      <c r="H27" t="n">
        <v>0</v>
      </c>
      <c r="I27" t="n">
        <v>1</v>
      </c>
      <c r="J27" t="n">
        <v>0</v>
      </c>
      <c r="K27" t="n">
        <v>0</v>
      </c>
      <c r="L27" t="n">
        <v>0</v>
      </c>
      <c r="M27" t="n">
        <v>0</v>
      </c>
      <c r="N27" t="n">
        <v>0</v>
      </c>
      <c r="O27" t="n">
        <v>0</v>
      </c>
      <c r="P27" t="n">
        <v>0</v>
      </c>
      <c r="Q27" t="n">
        <v>1</v>
      </c>
      <c r="R27" s="2" t="inlineStr">
        <is>
          <t>Mindre märgborre</t>
        </is>
      </c>
      <c r="S27">
        <f>HYPERLINK("https://klasma.github.io/Logging_0115/artfynd/A 21439-2025 artfynd.xlsx", "A 21439-2025")</f>
        <v/>
      </c>
      <c r="T27">
        <f>HYPERLINK("https://klasma.github.io/Logging_0115/kartor/A 21439-2025 karta.png", "A 21439-2025")</f>
        <v/>
      </c>
      <c r="V27">
        <f>HYPERLINK("https://klasma.github.io/Logging_0115/klagomål/A 21439-2025 FSC-klagomål.docx", "A 21439-2025")</f>
        <v/>
      </c>
      <c r="W27">
        <f>HYPERLINK("https://klasma.github.io/Logging_0115/klagomålsmail/A 21439-2025 FSC-klagomål mail.docx", "A 21439-2025")</f>
        <v/>
      </c>
      <c r="X27">
        <f>HYPERLINK("https://klasma.github.io/Logging_0115/tillsyn/A 21439-2025 tillsynsbegäran.docx", "A 21439-2025")</f>
        <v/>
      </c>
      <c r="Y27">
        <f>HYPERLINK("https://klasma.github.io/Logging_0115/tillsynsmail/A 21439-2025 tillsynsbegäran mail.docx", "A 21439-2025")</f>
        <v/>
      </c>
    </row>
    <row r="28" ht="15" customHeight="1">
      <c r="A28" t="inlineStr">
        <is>
          <t>A 22936-2025</t>
        </is>
      </c>
      <c r="B28" s="1" t="n">
        <v>45790.45738425926</v>
      </c>
      <c r="C28" s="1" t="n">
        <v>45936</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17348-2025</t>
        </is>
      </c>
      <c r="B29" s="1" t="n">
        <v>45756</v>
      </c>
      <c r="C29" s="1" t="n">
        <v>45936</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45936</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20612-2021</t>
        </is>
      </c>
      <c r="B31" s="1" t="n">
        <v>44315</v>
      </c>
      <c r="C31" s="1" t="n">
        <v>45936</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45936</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45936</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45936</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45936</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178-2022</t>
        </is>
      </c>
      <c r="B36" s="1" t="n">
        <v>44560</v>
      </c>
      <c r="C36" s="1" t="n">
        <v>45936</v>
      </c>
      <c r="D36" t="inlineStr">
        <is>
          <t>STOCKHOLMS LÄN</t>
        </is>
      </c>
      <c r="E36" t="inlineStr">
        <is>
          <t>VALLENTUNA</t>
        </is>
      </c>
      <c r="F36" t="inlineStr">
        <is>
          <t>Övriga Aktiebolag</t>
        </is>
      </c>
      <c r="G36" t="n">
        <v>1.5</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45936</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45936</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45936</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45936</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45936</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48078-2021</t>
        </is>
      </c>
      <c r="B42" s="1" t="n">
        <v>44449.42578703703</v>
      </c>
      <c r="C42" s="1" t="n">
        <v>45936</v>
      </c>
      <c r="D42" t="inlineStr">
        <is>
          <t>STOCKHOLMS LÄN</t>
        </is>
      </c>
      <c r="E42" t="inlineStr">
        <is>
          <t>VALLENTUNA</t>
        </is>
      </c>
      <c r="G42" t="n">
        <v>0.7</v>
      </c>
      <c r="H42" t="n">
        <v>0</v>
      </c>
      <c r="I42" t="n">
        <v>0</v>
      </c>
      <c r="J42" t="n">
        <v>0</v>
      </c>
      <c r="K42" t="n">
        <v>0</v>
      </c>
      <c r="L42" t="n">
        <v>0</v>
      </c>
      <c r="M42" t="n">
        <v>0</v>
      </c>
      <c r="N42" t="n">
        <v>0</v>
      </c>
      <c r="O42" t="n">
        <v>0</v>
      </c>
      <c r="P42" t="n">
        <v>0</v>
      </c>
      <c r="Q42" t="n">
        <v>0</v>
      </c>
      <c r="R42" s="2" t="inlineStr"/>
    </row>
    <row r="43" ht="15" customHeight="1">
      <c r="A43" t="inlineStr">
        <is>
          <t>A 46924-2021</t>
        </is>
      </c>
      <c r="B43" s="1" t="n">
        <v>44446</v>
      </c>
      <c r="C43" s="1" t="n">
        <v>45936</v>
      </c>
      <c r="D43" t="inlineStr">
        <is>
          <t>STOCKHOLMS LÄN</t>
        </is>
      </c>
      <c r="E43" t="inlineStr">
        <is>
          <t>VALLENTUNA</t>
        </is>
      </c>
      <c r="G43" t="n">
        <v>0.6</v>
      </c>
      <c r="H43" t="n">
        <v>0</v>
      </c>
      <c r="I43" t="n">
        <v>0</v>
      </c>
      <c r="J43" t="n">
        <v>0</v>
      </c>
      <c r="K43" t="n">
        <v>0</v>
      </c>
      <c r="L43" t="n">
        <v>0</v>
      </c>
      <c r="M43" t="n">
        <v>0</v>
      </c>
      <c r="N43" t="n">
        <v>0</v>
      </c>
      <c r="O43" t="n">
        <v>0</v>
      </c>
      <c r="P43" t="n">
        <v>0</v>
      </c>
      <c r="Q43" t="n">
        <v>0</v>
      </c>
      <c r="R43" s="2" t="inlineStr"/>
    </row>
    <row r="44" ht="15" customHeight="1">
      <c r="A44" t="inlineStr">
        <is>
          <t>A 14725-2022</t>
        </is>
      </c>
      <c r="B44" s="1" t="n">
        <v>44655</v>
      </c>
      <c r="C44" s="1" t="n">
        <v>45936</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14430-2021</t>
        </is>
      </c>
      <c r="B45" s="1" t="n">
        <v>44279.4665625</v>
      </c>
      <c r="C45" s="1" t="n">
        <v>45936</v>
      </c>
      <c r="D45" t="inlineStr">
        <is>
          <t>STOCKHOLMS LÄN</t>
        </is>
      </c>
      <c r="E45" t="inlineStr">
        <is>
          <t>VALLENTUNA</t>
        </is>
      </c>
      <c r="G45" t="n">
        <v>1.1</v>
      </c>
      <c r="H45" t="n">
        <v>0</v>
      </c>
      <c r="I45" t="n">
        <v>0</v>
      </c>
      <c r="J45" t="n">
        <v>0</v>
      </c>
      <c r="K45" t="n">
        <v>0</v>
      </c>
      <c r="L45" t="n">
        <v>0</v>
      </c>
      <c r="M45" t="n">
        <v>0</v>
      </c>
      <c r="N45" t="n">
        <v>0</v>
      </c>
      <c r="O45" t="n">
        <v>0</v>
      </c>
      <c r="P45" t="n">
        <v>0</v>
      </c>
      <c r="Q45" t="n">
        <v>0</v>
      </c>
      <c r="R45" s="2" t="inlineStr"/>
    </row>
    <row r="46" ht="15" customHeight="1">
      <c r="A46" t="inlineStr">
        <is>
          <t>A 14443-2021</t>
        </is>
      </c>
      <c r="B46" s="1" t="n">
        <v>44279</v>
      </c>
      <c r="C46" s="1" t="n">
        <v>45936</v>
      </c>
      <c r="D46" t="inlineStr">
        <is>
          <t>STOCKHOLMS LÄN</t>
        </is>
      </c>
      <c r="E46" t="inlineStr">
        <is>
          <t>VALLENTUNA</t>
        </is>
      </c>
      <c r="G46" t="n">
        <v>3.5</v>
      </c>
      <c r="H46" t="n">
        <v>0</v>
      </c>
      <c r="I46" t="n">
        <v>0</v>
      </c>
      <c r="J46" t="n">
        <v>0</v>
      </c>
      <c r="K46" t="n">
        <v>0</v>
      </c>
      <c r="L46" t="n">
        <v>0</v>
      </c>
      <c r="M46" t="n">
        <v>0</v>
      </c>
      <c r="N46" t="n">
        <v>0</v>
      </c>
      <c r="O46" t="n">
        <v>0</v>
      </c>
      <c r="P46" t="n">
        <v>0</v>
      </c>
      <c r="Q46" t="n">
        <v>0</v>
      </c>
      <c r="R46" s="2" t="inlineStr"/>
    </row>
    <row r="47" ht="15" customHeight="1">
      <c r="A47" t="inlineStr">
        <is>
          <t>A 14447-2021</t>
        </is>
      </c>
      <c r="B47" s="1" t="n">
        <v>44279</v>
      </c>
      <c r="C47" s="1" t="n">
        <v>45936</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45936</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7085-2022</t>
        </is>
      </c>
      <c r="B49" s="1" t="n">
        <v>44603</v>
      </c>
      <c r="C49" s="1" t="n">
        <v>45936</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45936</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68938-2020</t>
        </is>
      </c>
      <c r="B51" s="1" t="n">
        <v>44187</v>
      </c>
      <c r="C51" s="1" t="n">
        <v>45936</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45936</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12609-2024</t>
        </is>
      </c>
      <c r="B53" s="1" t="n">
        <v>45382.8109375</v>
      </c>
      <c r="C53" s="1" t="n">
        <v>45936</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12234-2022</t>
        </is>
      </c>
      <c r="B54" s="1" t="n">
        <v>44637</v>
      </c>
      <c r="C54" s="1" t="n">
        <v>45936</v>
      </c>
      <c r="D54" t="inlineStr">
        <is>
          <t>STOCKHOLMS LÄN</t>
        </is>
      </c>
      <c r="E54" t="inlineStr">
        <is>
          <t>VALLENTUNA</t>
        </is>
      </c>
      <c r="G54" t="n">
        <v>2.4</v>
      </c>
      <c r="H54" t="n">
        <v>0</v>
      </c>
      <c r="I54" t="n">
        <v>0</v>
      </c>
      <c r="J54" t="n">
        <v>0</v>
      </c>
      <c r="K54" t="n">
        <v>0</v>
      </c>
      <c r="L54" t="n">
        <v>0</v>
      </c>
      <c r="M54" t="n">
        <v>0</v>
      </c>
      <c r="N54" t="n">
        <v>0</v>
      </c>
      <c r="O54" t="n">
        <v>0</v>
      </c>
      <c r="P54" t="n">
        <v>0</v>
      </c>
      <c r="Q54" t="n">
        <v>0</v>
      </c>
      <c r="R54" s="2" t="inlineStr"/>
    </row>
    <row r="55" ht="15" customHeight="1">
      <c r="A55" t="inlineStr">
        <is>
          <t>A 13836-2022</t>
        </is>
      </c>
      <c r="B55" s="1" t="n">
        <v>44649</v>
      </c>
      <c r="C55" s="1" t="n">
        <v>45936</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24943-2024</t>
        </is>
      </c>
      <c r="B56" s="1" t="n">
        <v>45461.62585648148</v>
      </c>
      <c r="C56" s="1" t="n">
        <v>45936</v>
      </c>
      <c r="D56" t="inlineStr">
        <is>
          <t>STOCKHOLMS LÄN</t>
        </is>
      </c>
      <c r="E56" t="inlineStr">
        <is>
          <t>VALLENTUNA</t>
        </is>
      </c>
      <c r="G56" t="n">
        <v>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45936</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4804-2024</t>
        </is>
      </c>
      <c r="B58" s="1" t="n">
        <v>45328</v>
      </c>
      <c r="C58" s="1" t="n">
        <v>45936</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45936</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44988-2025</t>
        </is>
      </c>
      <c r="B60" s="1" t="n">
        <v>45918.65505787037</v>
      </c>
      <c r="C60" s="1" t="n">
        <v>45936</v>
      </c>
      <c r="D60" t="inlineStr">
        <is>
          <t>STOCKHOLMS LÄN</t>
        </is>
      </c>
      <c r="E60" t="inlineStr">
        <is>
          <t>VALLENTUNA</t>
        </is>
      </c>
      <c r="G60" t="n">
        <v>1</v>
      </c>
      <c r="H60" t="n">
        <v>0</v>
      </c>
      <c r="I60" t="n">
        <v>0</v>
      </c>
      <c r="J60" t="n">
        <v>0</v>
      </c>
      <c r="K60" t="n">
        <v>0</v>
      </c>
      <c r="L60" t="n">
        <v>0</v>
      </c>
      <c r="M60" t="n">
        <v>0</v>
      </c>
      <c r="N60" t="n">
        <v>0</v>
      </c>
      <c r="O60" t="n">
        <v>0</v>
      </c>
      <c r="P60" t="n">
        <v>0</v>
      </c>
      <c r="Q60" t="n">
        <v>0</v>
      </c>
      <c r="R60" s="2" t="inlineStr"/>
    </row>
    <row r="61" ht="15" customHeight="1">
      <c r="A61" t="inlineStr">
        <is>
          <t>A 24707-2023</t>
        </is>
      </c>
      <c r="B61" s="1" t="n">
        <v>45084</v>
      </c>
      <c r="C61" s="1" t="n">
        <v>45936</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45936</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44346-2021</t>
        </is>
      </c>
      <c r="B63" s="1" t="n">
        <v>44434</v>
      </c>
      <c r="C63" s="1" t="n">
        <v>45936</v>
      </c>
      <c r="D63" t="inlineStr">
        <is>
          <t>STOCKHOLMS LÄN</t>
        </is>
      </c>
      <c r="E63" t="inlineStr">
        <is>
          <t>VALLENTUNA</t>
        </is>
      </c>
      <c r="G63" t="n">
        <v>3</v>
      </c>
      <c r="H63" t="n">
        <v>0</v>
      </c>
      <c r="I63" t="n">
        <v>0</v>
      </c>
      <c r="J63" t="n">
        <v>0</v>
      </c>
      <c r="K63" t="n">
        <v>0</v>
      </c>
      <c r="L63" t="n">
        <v>0</v>
      </c>
      <c r="M63" t="n">
        <v>0</v>
      </c>
      <c r="N63" t="n">
        <v>0</v>
      </c>
      <c r="O63" t="n">
        <v>0</v>
      </c>
      <c r="P63" t="n">
        <v>0</v>
      </c>
      <c r="Q63" t="n">
        <v>0</v>
      </c>
      <c r="R63" s="2" t="inlineStr"/>
    </row>
    <row r="64" ht="15" customHeight="1">
      <c r="A64" t="inlineStr">
        <is>
          <t>A 17411-2023</t>
        </is>
      </c>
      <c r="B64" s="1" t="n">
        <v>45035.82512731481</v>
      </c>
      <c r="C64" s="1" t="n">
        <v>45936</v>
      </c>
      <c r="D64" t="inlineStr">
        <is>
          <t>STOCKHOLMS LÄN</t>
        </is>
      </c>
      <c r="E64" t="inlineStr">
        <is>
          <t>VALLENTUNA</t>
        </is>
      </c>
      <c r="G64" t="n">
        <v>0.7</v>
      </c>
      <c r="H64" t="n">
        <v>0</v>
      </c>
      <c r="I64" t="n">
        <v>0</v>
      </c>
      <c r="J64" t="n">
        <v>0</v>
      </c>
      <c r="K64" t="n">
        <v>0</v>
      </c>
      <c r="L64" t="n">
        <v>0</v>
      </c>
      <c r="M64" t="n">
        <v>0</v>
      </c>
      <c r="N64" t="n">
        <v>0</v>
      </c>
      <c r="O64" t="n">
        <v>0</v>
      </c>
      <c r="P64" t="n">
        <v>0</v>
      </c>
      <c r="Q64" t="n">
        <v>0</v>
      </c>
      <c r="R64" s="2" t="inlineStr"/>
    </row>
    <row r="65" ht="15" customHeight="1">
      <c r="A65" t="inlineStr">
        <is>
          <t>A 62402-2022</t>
        </is>
      </c>
      <c r="B65" s="1" t="n">
        <v>44923</v>
      </c>
      <c r="C65" s="1" t="n">
        <v>45936</v>
      </c>
      <c r="D65" t="inlineStr">
        <is>
          <t>STOCKHOLMS LÄN</t>
        </is>
      </c>
      <c r="E65" t="inlineStr">
        <is>
          <t>VALLENTUNA</t>
        </is>
      </c>
      <c r="G65" t="n">
        <v>3.8</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45936</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1385-2024</t>
        </is>
      </c>
      <c r="B67" s="1" t="n">
        <v>45303</v>
      </c>
      <c r="C67" s="1" t="n">
        <v>45936</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45936</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24994-2021</t>
        </is>
      </c>
      <c r="B69" s="1" t="n">
        <v>44341</v>
      </c>
      <c r="C69" s="1" t="n">
        <v>45936</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45936</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61742-2022</t>
        </is>
      </c>
      <c r="B71" s="1" t="n">
        <v>44917</v>
      </c>
      <c r="C71" s="1" t="n">
        <v>45936</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27868-2025</t>
        </is>
      </c>
      <c r="B72" s="1" t="n">
        <v>45817</v>
      </c>
      <c r="C72" s="1" t="n">
        <v>45936</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45936</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60997-2022</t>
        </is>
      </c>
      <c r="B74" s="1" t="n">
        <v>44914.70746527778</v>
      </c>
      <c r="C74" s="1" t="n">
        <v>45936</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7264-2022</t>
        </is>
      </c>
      <c r="B75" s="1" t="n">
        <v>44606</v>
      </c>
      <c r="C75" s="1" t="n">
        <v>45936</v>
      </c>
      <c r="D75" t="inlineStr">
        <is>
          <t>STOCKHOLMS LÄN</t>
        </is>
      </c>
      <c r="E75" t="inlineStr">
        <is>
          <t>VALLENTUNA</t>
        </is>
      </c>
      <c r="G75" t="n">
        <v>2.4</v>
      </c>
      <c r="H75" t="n">
        <v>0</v>
      </c>
      <c r="I75" t="n">
        <v>0</v>
      </c>
      <c r="J75" t="n">
        <v>0</v>
      </c>
      <c r="K75" t="n">
        <v>0</v>
      </c>
      <c r="L75" t="n">
        <v>0</v>
      </c>
      <c r="M75" t="n">
        <v>0</v>
      </c>
      <c r="N75" t="n">
        <v>0</v>
      </c>
      <c r="O75" t="n">
        <v>0</v>
      </c>
      <c r="P75" t="n">
        <v>0</v>
      </c>
      <c r="Q75" t="n">
        <v>0</v>
      </c>
      <c r="R75" s="2" t="inlineStr"/>
    </row>
    <row r="76" ht="15" customHeight="1">
      <c r="A76" t="inlineStr">
        <is>
          <t>A 68935-2020</t>
        </is>
      </c>
      <c r="B76" s="1" t="n">
        <v>44187</v>
      </c>
      <c r="C76" s="1" t="n">
        <v>45936</v>
      </c>
      <c r="D76" t="inlineStr">
        <is>
          <t>STOCKHOLMS LÄN</t>
        </is>
      </c>
      <c r="E76" t="inlineStr">
        <is>
          <t>VALLENTUNA</t>
        </is>
      </c>
      <c r="G76" t="n">
        <v>7.8</v>
      </c>
      <c r="H76" t="n">
        <v>0</v>
      </c>
      <c r="I76" t="n">
        <v>0</v>
      </c>
      <c r="J76" t="n">
        <v>0</v>
      </c>
      <c r="K76" t="n">
        <v>0</v>
      </c>
      <c r="L76" t="n">
        <v>0</v>
      </c>
      <c r="M76" t="n">
        <v>0</v>
      </c>
      <c r="N76" t="n">
        <v>0</v>
      </c>
      <c r="O76" t="n">
        <v>0</v>
      </c>
      <c r="P76" t="n">
        <v>0</v>
      </c>
      <c r="Q76" t="n">
        <v>0</v>
      </c>
      <c r="R76" s="2" t="inlineStr"/>
    </row>
    <row r="77" ht="15" customHeight="1">
      <c r="A77" t="inlineStr">
        <is>
          <t>A 61655-2020</t>
        </is>
      </c>
      <c r="B77" s="1" t="n">
        <v>44158</v>
      </c>
      <c r="C77" s="1" t="n">
        <v>45936</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14775-2024</t>
        </is>
      </c>
      <c r="B78" s="1" t="n">
        <v>45397.73675925926</v>
      </c>
      <c r="C78" s="1" t="n">
        <v>45936</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17342-2025</t>
        </is>
      </c>
      <c r="B79" s="1" t="n">
        <v>45756</v>
      </c>
      <c r="C79" s="1" t="n">
        <v>45936</v>
      </c>
      <c r="D79" t="inlineStr">
        <is>
          <t>STOCKHOLMS LÄN</t>
        </is>
      </c>
      <c r="E79" t="inlineStr">
        <is>
          <t>VALLENTUNA</t>
        </is>
      </c>
      <c r="F79" t="inlineStr">
        <is>
          <t>Övriga Aktiebolag</t>
        </is>
      </c>
      <c r="G79" t="n">
        <v>3.9</v>
      </c>
      <c r="H79" t="n">
        <v>0</v>
      </c>
      <c r="I79" t="n">
        <v>0</v>
      </c>
      <c r="J79" t="n">
        <v>0</v>
      </c>
      <c r="K79" t="n">
        <v>0</v>
      </c>
      <c r="L79" t="n">
        <v>0</v>
      </c>
      <c r="M79" t="n">
        <v>0</v>
      </c>
      <c r="N79" t="n">
        <v>0</v>
      </c>
      <c r="O79" t="n">
        <v>0</v>
      </c>
      <c r="P79" t="n">
        <v>0</v>
      </c>
      <c r="Q79" t="n">
        <v>0</v>
      </c>
      <c r="R79" s="2" t="inlineStr"/>
    </row>
    <row r="80" ht="15" customHeight="1">
      <c r="A80" t="inlineStr">
        <is>
          <t>A 48717-2024</t>
        </is>
      </c>
      <c r="B80" s="1" t="n">
        <v>45593</v>
      </c>
      <c r="C80" s="1" t="n">
        <v>45936</v>
      </c>
      <c r="D80" t="inlineStr">
        <is>
          <t>STOCKHOLMS LÄN</t>
        </is>
      </c>
      <c r="E80" t="inlineStr">
        <is>
          <t>VALLENTUNA</t>
        </is>
      </c>
      <c r="G80" t="n">
        <v>6.2</v>
      </c>
      <c r="H80" t="n">
        <v>0</v>
      </c>
      <c r="I80" t="n">
        <v>0</v>
      </c>
      <c r="J80" t="n">
        <v>0</v>
      </c>
      <c r="K80" t="n">
        <v>0</v>
      </c>
      <c r="L80" t="n">
        <v>0</v>
      </c>
      <c r="M80" t="n">
        <v>0</v>
      </c>
      <c r="N80" t="n">
        <v>0</v>
      </c>
      <c r="O80" t="n">
        <v>0</v>
      </c>
      <c r="P80" t="n">
        <v>0</v>
      </c>
      <c r="Q80" t="n">
        <v>0</v>
      </c>
      <c r="R80" s="2" t="inlineStr"/>
    </row>
    <row r="81" ht="15" customHeight="1">
      <c r="A81" t="inlineStr">
        <is>
          <t>A 19356-2025</t>
        </is>
      </c>
      <c r="B81" s="1" t="n">
        <v>45769.62061342593</v>
      </c>
      <c r="C81" s="1" t="n">
        <v>45936</v>
      </c>
      <c r="D81" t="inlineStr">
        <is>
          <t>STOCKHOLMS LÄN</t>
        </is>
      </c>
      <c r="E81" t="inlineStr">
        <is>
          <t>VALLENTUNA</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8565-2025</t>
        </is>
      </c>
      <c r="B82" s="1" t="n">
        <v>45709</v>
      </c>
      <c r="C82" s="1" t="n">
        <v>45936</v>
      </c>
      <c r="D82" t="inlineStr">
        <is>
          <t>STOCKHOLMS LÄN</t>
        </is>
      </c>
      <c r="E82" t="inlineStr">
        <is>
          <t>VALLENTUNA</t>
        </is>
      </c>
      <c r="F82" t="inlineStr">
        <is>
          <t>Kommuner</t>
        </is>
      </c>
      <c r="G82" t="n">
        <v>4.2</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45936</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14480-2024</t>
        </is>
      </c>
      <c r="B84" s="1" t="n">
        <v>45394.56777777777</v>
      </c>
      <c r="C84" s="1" t="n">
        <v>45936</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45936</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45936</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17340-2025</t>
        </is>
      </c>
      <c r="B87" s="1" t="n">
        <v>45756</v>
      </c>
      <c r="C87" s="1" t="n">
        <v>45936</v>
      </c>
      <c r="D87" t="inlineStr">
        <is>
          <t>STOCKHOLMS LÄN</t>
        </is>
      </c>
      <c r="E87" t="inlineStr">
        <is>
          <t>VALLENTUNA</t>
        </is>
      </c>
      <c r="F87" t="inlineStr">
        <is>
          <t>Övriga Aktiebolag</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45936</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45936</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45936</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14489-2024</t>
        </is>
      </c>
      <c r="B91" s="1" t="n">
        <v>45394.58053240741</v>
      </c>
      <c r="C91" s="1" t="n">
        <v>45936</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45936</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15268-2023</t>
        </is>
      </c>
      <c r="B93" s="1" t="n">
        <v>45019.41045138889</v>
      </c>
      <c r="C93" s="1" t="n">
        <v>45936</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61442-2024</t>
        </is>
      </c>
      <c r="B94" s="1" t="n">
        <v>45646.47003472222</v>
      </c>
      <c r="C94" s="1" t="n">
        <v>45936</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48068-2021</t>
        </is>
      </c>
      <c r="B95" s="1" t="n">
        <v>44449.42270833333</v>
      </c>
      <c r="C95" s="1" t="n">
        <v>45936</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45936</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29704-2023</t>
        </is>
      </c>
      <c r="B97" s="1" t="n">
        <v>45107</v>
      </c>
      <c r="C97" s="1" t="n">
        <v>45936</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45499-2023</t>
        </is>
      </c>
      <c r="B98" s="1" t="n">
        <v>45194</v>
      </c>
      <c r="C98" s="1" t="n">
        <v>45936</v>
      </c>
      <c r="D98" t="inlineStr">
        <is>
          <t>STOCKHOLMS LÄN</t>
        </is>
      </c>
      <c r="E98" t="inlineStr">
        <is>
          <t>VALLENTUNA</t>
        </is>
      </c>
      <c r="G98" t="n">
        <v>2.5</v>
      </c>
      <c r="H98" t="n">
        <v>0</v>
      </c>
      <c r="I98" t="n">
        <v>0</v>
      </c>
      <c r="J98" t="n">
        <v>0</v>
      </c>
      <c r="K98" t="n">
        <v>0</v>
      </c>
      <c r="L98" t="n">
        <v>0</v>
      </c>
      <c r="M98" t="n">
        <v>0</v>
      </c>
      <c r="N98" t="n">
        <v>0</v>
      </c>
      <c r="O98" t="n">
        <v>0</v>
      </c>
      <c r="P98" t="n">
        <v>0</v>
      </c>
      <c r="Q98" t="n">
        <v>0</v>
      </c>
      <c r="R98" s="2" t="inlineStr"/>
    </row>
    <row r="99" ht="15" customHeight="1">
      <c r="A99" t="inlineStr">
        <is>
          <t>A 52542-2023</t>
        </is>
      </c>
      <c r="B99" s="1" t="n">
        <v>45225</v>
      </c>
      <c r="C99" s="1" t="n">
        <v>45936</v>
      </c>
      <c r="D99" t="inlineStr">
        <is>
          <t>STOCKHOLMS LÄN</t>
        </is>
      </c>
      <c r="E99" t="inlineStr">
        <is>
          <t>VALLENTUNA</t>
        </is>
      </c>
      <c r="G99" t="n">
        <v>3.8</v>
      </c>
      <c r="H99" t="n">
        <v>0</v>
      </c>
      <c r="I99" t="n">
        <v>0</v>
      </c>
      <c r="J99" t="n">
        <v>0</v>
      </c>
      <c r="K99" t="n">
        <v>0</v>
      </c>
      <c r="L99" t="n">
        <v>0</v>
      </c>
      <c r="M99" t="n">
        <v>0</v>
      </c>
      <c r="N99" t="n">
        <v>0</v>
      </c>
      <c r="O99" t="n">
        <v>0</v>
      </c>
      <c r="P99" t="n">
        <v>0</v>
      </c>
      <c r="Q99" t="n">
        <v>0</v>
      </c>
      <c r="R99" s="2" t="inlineStr"/>
    </row>
    <row r="100" ht="15" customHeight="1">
      <c r="A100" t="inlineStr">
        <is>
          <t>A 47204-2024</t>
        </is>
      </c>
      <c r="B100" s="1" t="n">
        <v>45586.63575231482</v>
      </c>
      <c r="C100" s="1" t="n">
        <v>45936</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45936</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48040-2025</t>
        </is>
      </c>
      <c r="B102" s="1" t="n">
        <v>45932.6628125</v>
      </c>
      <c r="C102" s="1" t="n">
        <v>45936</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45936</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20791-2025</t>
        </is>
      </c>
      <c r="B104" s="1" t="n">
        <v>45776.62738425926</v>
      </c>
      <c r="C104" s="1" t="n">
        <v>45936</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10073-2024</t>
        </is>
      </c>
      <c r="B105" s="1" t="n">
        <v>45364.40821759259</v>
      </c>
      <c r="C105" s="1" t="n">
        <v>45936</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12621-2024</t>
        </is>
      </c>
      <c r="B106" s="1" t="n">
        <v>45383.6325</v>
      </c>
      <c r="C106" s="1" t="n">
        <v>45936</v>
      </c>
      <c r="D106" t="inlineStr">
        <is>
          <t>STOCKHOLMS LÄN</t>
        </is>
      </c>
      <c r="E106" t="inlineStr">
        <is>
          <t>VALLENTUNA</t>
        </is>
      </c>
      <c r="G106" t="n">
        <v>4.4</v>
      </c>
      <c r="H106" t="n">
        <v>0</v>
      </c>
      <c r="I106" t="n">
        <v>0</v>
      </c>
      <c r="J106" t="n">
        <v>0</v>
      </c>
      <c r="K106" t="n">
        <v>0</v>
      </c>
      <c r="L106" t="n">
        <v>0</v>
      </c>
      <c r="M106" t="n">
        <v>0</v>
      </c>
      <c r="N106" t="n">
        <v>0</v>
      </c>
      <c r="O106" t="n">
        <v>0</v>
      </c>
      <c r="P106" t="n">
        <v>0</v>
      </c>
      <c r="Q106" t="n">
        <v>0</v>
      </c>
      <c r="R106" s="2" t="inlineStr"/>
    </row>
    <row r="107" ht="15" customHeight="1">
      <c r="A107" t="inlineStr">
        <is>
          <t>A 48038-2025</t>
        </is>
      </c>
      <c r="B107" s="1" t="n">
        <v>45932.66008101852</v>
      </c>
      <c r="C107" s="1" t="n">
        <v>45936</v>
      </c>
      <c r="D107" t="inlineStr">
        <is>
          <t>STOCKHOLMS LÄN</t>
        </is>
      </c>
      <c r="E107" t="inlineStr">
        <is>
          <t>VALLENTUNA</t>
        </is>
      </c>
      <c r="G107" t="n">
        <v>0.5</v>
      </c>
      <c r="H107" t="n">
        <v>0</v>
      </c>
      <c r="I107" t="n">
        <v>0</v>
      </c>
      <c r="J107" t="n">
        <v>0</v>
      </c>
      <c r="K107" t="n">
        <v>0</v>
      </c>
      <c r="L107" t="n">
        <v>0</v>
      </c>
      <c r="M107" t="n">
        <v>0</v>
      </c>
      <c r="N107" t="n">
        <v>0</v>
      </c>
      <c r="O107" t="n">
        <v>0</v>
      </c>
      <c r="P107" t="n">
        <v>0</v>
      </c>
      <c r="Q107" t="n">
        <v>0</v>
      </c>
      <c r="R107" s="2" t="inlineStr"/>
    </row>
    <row r="108" ht="15" customHeight="1">
      <c r="A108" t="inlineStr">
        <is>
          <t>A 9063-2024</t>
        </is>
      </c>
      <c r="B108" s="1" t="n">
        <v>45357.72652777778</v>
      </c>
      <c r="C108" s="1" t="n">
        <v>45936</v>
      </c>
      <c r="D108" t="inlineStr">
        <is>
          <t>STOCKHOLMS LÄN</t>
        </is>
      </c>
      <c r="E108" t="inlineStr">
        <is>
          <t>VALLENTUNA</t>
        </is>
      </c>
      <c r="G108" t="n">
        <v>4.1</v>
      </c>
      <c r="H108" t="n">
        <v>0</v>
      </c>
      <c r="I108" t="n">
        <v>0</v>
      </c>
      <c r="J108" t="n">
        <v>0</v>
      </c>
      <c r="K108" t="n">
        <v>0</v>
      </c>
      <c r="L108" t="n">
        <v>0</v>
      </c>
      <c r="M108" t="n">
        <v>0</v>
      </c>
      <c r="N108" t="n">
        <v>0</v>
      </c>
      <c r="O108" t="n">
        <v>0</v>
      </c>
      <c r="P108" t="n">
        <v>0</v>
      </c>
      <c r="Q108" t="n">
        <v>0</v>
      </c>
      <c r="R108" s="2" t="inlineStr"/>
    </row>
    <row r="109" ht="15" customHeight="1">
      <c r="A109" t="inlineStr">
        <is>
          <t>A 48014-2025</t>
        </is>
      </c>
      <c r="B109" s="1" t="n">
        <v>45932.64520833334</v>
      </c>
      <c r="C109" s="1" t="n">
        <v>45936</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45936</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46381-2023</t>
        </is>
      </c>
      <c r="B111" s="1" t="n">
        <v>45193</v>
      </c>
      <c r="C111" s="1" t="n">
        <v>45936</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23009-2024</t>
        </is>
      </c>
      <c r="B112" s="1" t="n">
        <v>45450.34506944445</v>
      </c>
      <c r="C112" s="1" t="n">
        <v>45936</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61027-2023</t>
        </is>
      </c>
      <c r="B113" s="1" t="n">
        <v>45261</v>
      </c>
      <c r="C113" s="1" t="n">
        <v>45936</v>
      </c>
      <c r="D113" t="inlineStr">
        <is>
          <t>STOCKHOLMS LÄN</t>
        </is>
      </c>
      <c r="E113" t="inlineStr">
        <is>
          <t>VALLENTUNA</t>
        </is>
      </c>
      <c r="G113" t="n">
        <v>7.1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45936</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45936</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34460-2023</t>
        </is>
      </c>
      <c r="B116" s="1" t="n">
        <v>45139</v>
      </c>
      <c r="C116" s="1" t="n">
        <v>45936</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23923-2025</t>
        </is>
      </c>
      <c r="B117" s="1" t="n">
        <v>45795.39648148148</v>
      </c>
      <c r="C117" s="1" t="n">
        <v>45936</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735-2024</t>
        </is>
      </c>
      <c r="B118" s="1" t="n">
        <v>45300</v>
      </c>
      <c r="C118" s="1" t="n">
        <v>45936</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45936</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45936</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45936</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25984-2025</t>
        </is>
      </c>
      <c r="B122" s="1" t="n">
        <v>45804.64016203704</v>
      </c>
      <c r="C122" s="1" t="n">
        <v>45936</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45936</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21614-2022</t>
        </is>
      </c>
      <c r="B124" s="1" t="n">
        <v>44706</v>
      </c>
      <c r="C124" s="1" t="n">
        <v>45936</v>
      </c>
      <c r="D124" t="inlineStr">
        <is>
          <t>STOCKHOLMS LÄN</t>
        </is>
      </c>
      <c r="E124" t="inlineStr">
        <is>
          <t>VALLENTUNA</t>
        </is>
      </c>
      <c r="G124" t="n">
        <v>4</v>
      </c>
      <c r="H124" t="n">
        <v>0</v>
      </c>
      <c r="I124" t="n">
        <v>0</v>
      </c>
      <c r="J124" t="n">
        <v>0</v>
      </c>
      <c r="K124" t="n">
        <v>0</v>
      </c>
      <c r="L124" t="n">
        <v>0</v>
      </c>
      <c r="M124" t="n">
        <v>0</v>
      </c>
      <c r="N124" t="n">
        <v>0</v>
      </c>
      <c r="O124" t="n">
        <v>0</v>
      </c>
      <c r="P124" t="n">
        <v>0</v>
      </c>
      <c r="Q124" t="n">
        <v>0</v>
      </c>
      <c r="R124" s="2" t="inlineStr"/>
    </row>
    <row r="125" ht="15" customHeight="1">
      <c r="A125" t="inlineStr">
        <is>
          <t>A 30902-2025</t>
        </is>
      </c>
      <c r="B125" s="1" t="n">
        <v>45832.36104166666</v>
      </c>
      <c r="C125" s="1" t="n">
        <v>45936</v>
      </c>
      <c r="D125" t="inlineStr">
        <is>
          <t>STOCKHOLMS LÄN</t>
        </is>
      </c>
      <c r="E125" t="inlineStr">
        <is>
          <t>VALLENTUNA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45936</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34458-2023</t>
        </is>
      </c>
      <c r="B127" s="1" t="n">
        <v>45139</v>
      </c>
      <c r="C127" s="1" t="n">
        <v>45936</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24068-2024</t>
        </is>
      </c>
      <c r="B128" s="1" t="n">
        <v>45456</v>
      </c>
      <c r="C128" s="1" t="n">
        <v>45936</v>
      </c>
      <c r="D128" t="inlineStr">
        <is>
          <t>STOCKHOLMS LÄN</t>
        </is>
      </c>
      <c r="E128" t="inlineStr">
        <is>
          <t>VALLENTUNA</t>
        </is>
      </c>
      <c r="G128" t="n">
        <v>7.4</v>
      </c>
      <c r="H128" t="n">
        <v>0</v>
      </c>
      <c r="I128" t="n">
        <v>0</v>
      </c>
      <c r="J128" t="n">
        <v>0</v>
      </c>
      <c r="K128" t="n">
        <v>0</v>
      </c>
      <c r="L128" t="n">
        <v>0</v>
      </c>
      <c r="M128" t="n">
        <v>0</v>
      </c>
      <c r="N128" t="n">
        <v>0</v>
      </c>
      <c r="O128" t="n">
        <v>0</v>
      </c>
      <c r="P128" t="n">
        <v>0</v>
      </c>
      <c r="Q128" t="n">
        <v>0</v>
      </c>
      <c r="R128" s="2" t="inlineStr"/>
    </row>
    <row r="129" ht="15" customHeight="1">
      <c r="A129" t="inlineStr">
        <is>
          <t>A 28431-2025</t>
        </is>
      </c>
      <c r="B129" s="1" t="n">
        <v>45819.38072916667</v>
      </c>
      <c r="C129" s="1" t="n">
        <v>45936</v>
      </c>
      <c r="D129" t="inlineStr">
        <is>
          <t>STOCKHOLMS LÄN</t>
        </is>
      </c>
      <c r="E129" t="inlineStr">
        <is>
          <t>VALLENTUNA</t>
        </is>
      </c>
      <c r="G129" t="n">
        <v>1.5</v>
      </c>
      <c r="H129" t="n">
        <v>0</v>
      </c>
      <c r="I129" t="n">
        <v>0</v>
      </c>
      <c r="J129" t="n">
        <v>0</v>
      </c>
      <c r="K129" t="n">
        <v>0</v>
      </c>
      <c r="L129" t="n">
        <v>0</v>
      </c>
      <c r="M129" t="n">
        <v>0</v>
      </c>
      <c r="N129" t="n">
        <v>0</v>
      </c>
      <c r="O129" t="n">
        <v>0</v>
      </c>
      <c r="P129" t="n">
        <v>0</v>
      </c>
      <c r="Q129" t="n">
        <v>0</v>
      </c>
      <c r="R129" s="2" t="inlineStr"/>
    </row>
    <row r="130" ht="15" customHeight="1">
      <c r="A130" t="inlineStr">
        <is>
          <t>A 3937-2022</t>
        </is>
      </c>
      <c r="B130" s="1" t="n">
        <v>44587</v>
      </c>
      <c r="C130" s="1" t="n">
        <v>45936</v>
      </c>
      <c r="D130" t="inlineStr">
        <is>
          <t>STOCKHOLMS LÄN</t>
        </is>
      </c>
      <c r="E130" t="inlineStr">
        <is>
          <t>VALLENTUNA</t>
        </is>
      </c>
      <c r="G130" t="n">
        <v>6.6</v>
      </c>
      <c r="H130" t="n">
        <v>0</v>
      </c>
      <c r="I130" t="n">
        <v>0</v>
      </c>
      <c r="J130" t="n">
        <v>0</v>
      </c>
      <c r="K130" t="n">
        <v>0</v>
      </c>
      <c r="L130" t="n">
        <v>0</v>
      </c>
      <c r="M130" t="n">
        <v>0</v>
      </c>
      <c r="N130" t="n">
        <v>0</v>
      </c>
      <c r="O130" t="n">
        <v>0</v>
      </c>
      <c r="P130" t="n">
        <v>0</v>
      </c>
      <c r="Q130" t="n">
        <v>0</v>
      </c>
      <c r="R130" s="2" t="inlineStr"/>
    </row>
    <row r="131" ht="15" customHeight="1">
      <c r="A131" t="inlineStr">
        <is>
          <t>A 23013-2024</t>
        </is>
      </c>
      <c r="B131" s="1" t="n">
        <v>45450.35116898148</v>
      </c>
      <c r="C131" s="1" t="n">
        <v>45936</v>
      </c>
      <c r="D131" t="inlineStr">
        <is>
          <t>STOCKHOLMS LÄN</t>
        </is>
      </c>
      <c r="E131" t="inlineStr">
        <is>
          <t>VALLENTUNA</t>
        </is>
      </c>
      <c r="G131" t="n">
        <v>0.4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44946.41527777778</v>
      </c>
      <c r="C132" s="1" t="n">
        <v>45936</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6593-2021</t>
        </is>
      </c>
      <c r="B133" s="1" t="n">
        <v>44236</v>
      </c>
      <c r="C133" s="1" t="n">
        <v>45936</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19503-2023</t>
        </is>
      </c>
      <c r="B134" s="1" t="n">
        <v>45050.47333333334</v>
      </c>
      <c r="C134" s="1" t="n">
        <v>45936</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41206-2025</t>
        </is>
      </c>
      <c r="B135" s="1" t="n">
        <v>45898</v>
      </c>
      <c r="C135" s="1" t="n">
        <v>45936</v>
      </c>
      <c r="D135" t="inlineStr">
        <is>
          <t>STOCKHOLMS LÄN</t>
        </is>
      </c>
      <c r="E135" t="inlineStr">
        <is>
          <t>VALLENTUNA</t>
        </is>
      </c>
      <c r="G135" t="n">
        <v>10</v>
      </c>
      <c r="H135" t="n">
        <v>0</v>
      </c>
      <c r="I135" t="n">
        <v>0</v>
      </c>
      <c r="J135" t="n">
        <v>0</v>
      </c>
      <c r="K135" t="n">
        <v>0</v>
      </c>
      <c r="L135" t="n">
        <v>0</v>
      </c>
      <c r="M135" t="n">
        <v>0</v>
      </c>
      <c r="N135" t="n">
        <v>0</v>
      </c>
      <c r="O135" t="n">
        <v>0</v>
      </c>
      <c r="P135" t="n">
        <v>0</v>
      </c>
      <c r="Q135" t="n">
        <v>0</v>
      </c>
      <c r="R135" s="2" t="inlineStr"/>
    </row>
    <row r="136" ht="15" customHeight="1">
      <c r="A136" t="inlineStr">
        <is>
          <t>A 42613-2025</t>
        </is>
      </c>
      <c r="B136" s="1" t="n">
        <v>45905.70616898148</v>
      </c>
      <c r="C136" s="1" t="n">
        <v>45936</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21612-2021</t>
        </is>
      </c>
      <c r="B137" s="1" t="n">
        <v>44321</v>
      </c>
      <c r="C137" s="1" t="n">
        <v>45936</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4803-2024</t>
        </is>
      </c>
      <c r="B138" s="1" t="n">
        <v>45328</v>
      </c>
      <c r="C138" s="1" t="n">
        <v>45936</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3698-2022</t>
        </is>
      </c>
      <c r="B139" s="1" t="n">
        <v>44586</v>
      </c>
      <c r="C139" s="1" t="n">
        <v>45936</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c r="A140" t="inlineStr">
        <is>
          <t>A 38102-2024</t>
        </is>
      </c>
      <c r="B140" s="1" t="n">
        <v>45545.36349537037</v>
      </c>
      <c r="C140" s="1" t="n">
        <v>45936</v>
      </c>
      <c r="D140" t="inlineStr">
        <is>
          <t>STOCKHOLMS LÄN</t>
        </is>
      </c>
      <c r="E140" t="inlineStr">
        <is>
          <t>VALLENTUNA</t>
        </is>
      </c>
      <c r="G140" t="n">
        <v>3.2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2025-10-06T12:37:47Z</dcterms:created>
  <dcterms:modified xmlns:dcterms="http://purl.org/dc/terms/" xmlns:xsi="http://www.w3.org/2001/XMLSchema-instance" xsi:type="dcterms:W3CDTF">2025-10-06T12:37:47Z</dcterms:modified>
</cp:coreProperties>
</file>