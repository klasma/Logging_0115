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46105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46105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9807-2026</t>
        </is>
      </c>
      <c r="B15" s="1" t="n">
        <v>46072</v>
      </c>
      <c r="C15" s="1" t="n">
        <v>46105</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17342-2025</t>
        </is>
      </c>
      <c r="B16" s="1" t="n">
        <v>45756</v>
      </c>
      <c r="C16" s="1" t="n">
        <v>46105</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48717-2024</t>
        </is>
      </c>
      <c r="B17" s="1" t="n">
        <v>45593</v>
      </c>
      <c r="C17" s="1" t="n">
        <v>46105</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37456-2023</t>
        </is>
      </c>
      <c r="B18" s="1" t="n">
        <v>45156</v>
      </c>
      <c r="C18" s="1" t="n">
        <v>46105</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46105</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46105</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46105</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46105</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46105</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46105</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46105</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46105</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46105</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46105</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12401-2026</t>
        </is>
      </c>
      <c r="B32" s="1" t="n">
        <v>46090</v>
      </c>
      <c r="C32" s="1" t="n">
        <v>46105</v>
      </c>
      <c r="D32" t="inlineStr">
        <is>
          <t>STOCKHOLMS LÄN</t>
        </is>
      </c>
      <c r="E32" t="inlineStr">
        <is>
          <t>VALLENTUNA</t>
        </is>
      </c>
      <c r="G32" t="n">
        <v>5.9</v>
      </c>
      <c r="H32" t="n">
        <v>1</v>
      </c>
      <c r="I32" t="n">
        <v>0</v>
      </c>
      <c r="J32" t="n">
        <v>1</v>
      </c>
      <c r="K32" t="n">
        <v>0</v>
      </c>
      <c r="L32" t="n">
        <v>0</v>
      </c>
      <c r="M32" t="n">
        <v>0</v>
      </c>
      <c r="N32" t="n">
        <v>0</v>
      </c>
      <c r="O32" t="n">
        <v>1</v>
      </c>
      <c r="P32" t="n">
        <v>0</v>
      </c>
      <c r="Q32" t="n">
        <v>1</v>
      </c>
      <c r="R32" s="2" t="inlineStr">
        <is>
          <t>Spillkråka</t>
        </is>
      </c>
      <c r="S32">
        <f>HYPERLINK("https://klasma.github.io/Logging_0115/artfynd/A 12401-2026 artfynd.xlsx", "A 12401-2026")</f>
        <v/>
      </c>
      <c r="T32">
        <f>HYPERLINK("https://klasma.github.io/Logging_0115/kartor/A 12401-2026 karta.png", "A 12401-2026")</f>
        <v/>
      </c>
      <c r="V32">
        <f>HYPERLINK("https://klasma.github.io/Logging_0115/klagomål/A 12401-2026 FSC-klagomål.docx", "A 12401-2026")</f>
        <v/>
      </c>
      <c r="W32">
        <f>HYPERLINK("https://klasma.github.io/Logging_0115/klagomålsmail/A 12401-2026 FSC-klagomål mail.docx", "A 12401-2026")</f>
        <v/>
      </c>
      <c r="X32">
        <f>HYPERLINK("https://klasma.github.io/Logging_0115/tillsyn/A 12401-2026 tillsynsbegäran.docx", "A 12401-2026")</f>
        <v/>
      </c>
      <c r="Y32">
        <f>HYPERLINK("https://klasma.github.io/Logging_0115/tillsynsmail/A 12401-2026 tillsynsbegäran mail.docx", "A 12401-2026")</f>
        <v/>
      </c>
      <c r="Z32">
        <f>HYPERLINK("https://klasma.github.io/Logging_0115/fåglar/A 12401-2026 prioriterade fågelarter.docx", "A 12401-2026")</f>
        <v/>
      </c>
    </row>
    <row r="33" ht="15" customHeight="1">
      <c r="A33" t="inlineStr">
        <is>
          <t>A 54481-2025</t>
        </is>
      </c>
      <c r="B33" s="1" t="n">
        <v>45965.58837962963</v>
      </c>
      <c r="C33" s="1" t="n">
        <v>46105</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7890-2023</t>
        </is>
      </c>
      <c r="B34" s="1" t="n">
        <v>44973</v>
      </c>
      <c r="C34" s="1" t="n">
        <v>46105</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63543-2025</t>
        </is>
      </c>
      <c r="B35" s="1" t="n">
        <v>46013.59207175926</v>
      </c>
      <c r="C35" s="1" t="n">
        <v>46105</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46105</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21-2022</t>
        </is>
      </c>
      <c r="B37" s="1" t="n">
        <v>44560</v>
      </c>
      <c r="C37" s="1" t="n">
        <v>46105</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46105</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46105</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46105</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46105</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46105</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20612-2021</t>
        </is>
      </c>
      <c r="B43" s="1" t="n">
        <v>44315</v>
      </c>
      <c r="C43" s="1" t="n">
        <v>46105</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46105</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46105</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46105</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46105</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46105</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46105</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46105</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46105</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46105</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46105</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46105</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46105</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46105</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46105</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46105</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46105</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46105</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46105</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46105</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46105</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46105</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46105</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46105</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14480-2024</t>
        </is>
      </c>
      <c r="B67" s="1" t="n">
        <v>45394.56777777777</v>
      </c>
      <c r="C67" s="1" t="n">
        <v>46105</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46105</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48068-2021</t>
        </is>
      </c>
      <c r="B69" s="1" t="n">
        <v>44449.42270833333</v>
      </c>
      <c r="C69" s="1" t="n">
        <v>46105</v>
      </c>
      <c r="D69" t="inlineStr">
        <is>
          <t>STOCKHOLMS LÄN</t>
        </is>
      </c>
      <c r="E69" t="inlineStr">
        <is>
          <t>VALLENTUNA</t>
        </is>
      </c>
      <c r="G69" t="n">
        <v>1.3</v>
      </c>
      <c r="H69" t="n">
        <v>0</v>
      </c>
      <c r="I69" t="n">
        <v>0</v>
      </c>
      <c r="J69" t="n">
        <v>0</v>
      </c>
      <c r="K69" t="n">
        <v>0</v>
      </c>
      <c r="L69" t="n">
        <v>0</v>
      </c>
      <c r="M69" t="n">
        <v>0</v>
      </c>
      <c r="N69" t="n">
        <v>0</v>
      </c>
      <c r="O69" t="n">
        <v>0</v>
      </c>
      <c r="P69" t="n">
        <v>0</v>
      </c>
      <c r="Q69" t="n">
        <v>0</v>
      </c>
      <c r="R69" s="2" t="inlineStr"/>
    </row>
    <row r="70" ht="15" customHeight="1">
      <c r="A70" t="inlineStr">
        <is>
          <t>A 3937-2022</t>
        </is>
      </c>
      <c r="B70" s="1" t="n">
        <v>44587</v>
      </c>
      <c r="C70" s="1" t="n">
        <v>46105</v>
      </c>
      <c r="D70" t="inlineStr">
        <is>
          <t>STOCKHOLMS LÄN</t>
        </is>
      </c>
      <c r="E70" t="inlineStr">
        <is>
          <t>VALLENTUNA</t>
        </is>
      </c>
      <c r="G70" t="n">
        <v>6.6</v>
      </c>
      <c r="H70" t="n">
        <v>0</v>
      </c>
      <c r="I70" t="n">
        <v>0</v>
      </c>
      <c r="J70" t="n">
        <v>0</v>
      </c>
      <c r="K70" t="n">
        <v>0</v>
      </c>
      <c r="L70" t="n">
        <v>0</v>
      </c>
      <c r="M70" t="n">
        <v>0</v>
      </c>
      <c r="N70" t="n">
        <v>0</v>
      </c>
      <c r="O70" t="n">
        <v>0</v>
      </c>
      <c r="P70" t="n">
        <v>0</v>
      </c>
      <c r="Q70" t="n">
        <v>0</v>
      </c>
      <c r="R70" s="2" t="inlineStr"/>
    </row>
    <row r="71" ht="15" customHeight="1">
      <c r="A71" t="inlineStr">
        <is>
          <t>A 12396-2026</t>
        </is>
      </c>
      <c r="B71" s="1" t="n">
        <v>46090.38930555555</v>
      </c>
      <c r="C71" s="1" t="n">
        <v>46105</v>
      </c>
      <c r="D71" t="inlineStr">
        <is>
          <t>STOCKHOLMS LÄN</t>
        </is>
      </c>
      <c r="E71" t="inlineStr">
        <is>
          <t>VALLENTUNA</t>
        </is>
      </c>
      <c r="G71" t="n">
        <v>3</v>
      </c>
      <c r="H71" t="n">
        <v>0</v>
      </c>
      <c r="I71" t="n">
        <v>0</v>
      </c>
      <c r="J71" t="n">
        <v>0</v>
      </c>
      <c r="K71" t="n">
        <v>0</v>
      </c>
      <c r="L71" t="n">
        <v>0</v>
      </c>
      <c r="M71" t="n">
        <v>0</v>
      </c>
      <c r="N71" t="n">
        <v>0</v>
      </c>
      <c r="O71" t="n">
        <v>0</v>
      </c>
      <c r="P71" t="n">
        <v>0</v>
      </c>
      <c r="Q71" t="n">
        <v>0</v>
      </c>
      <c r="R71" s="2" t="inlineStr"/>
    </row>
    <row r="72" ht="15" customHeight="1">
      <c r="A72" t="inlineStr">
        <is>
          <t>A 12400-2026</t>
        </is>
      </c>
      <c r="B72" s="1" t="n">
        <v>46090.39423611111</v>
      </c>
      <c r="C72" s="1" t="n">
        <v>46105</v>
      </c>
      <c r="D72" t="inlineStr">
        <is>
          <t>STOCKHOLMS LÄN</t>
        </is>
      </c>
      <c r="E72" t="inlineStr">
        <is>
          <t>VALLENTUNA</t>
        </is>
      </c>
      <c r="G72" t="n">
        <v>1.9</v>
      </c>
      <c r="H72" t="n">
        <v>0</v>
      </c>
      <c r="I72" t="n">
        <v>0</v>
      </c>
      <c r="J72" t="n">
        <v>0</v>
      </c>
      <c r="K72" t="n">
        <v>0</v>
      </c>
      <c r="L72" t="n">
        <v>0</v>
      </c>
      <c r="M72" t="n">
        <v>0</v>
      </c>
      <c r="N72" t="n">
        <v>0</v>
      </c>
      <c r="O72" t="n">
        <v>0</v>
      </c>
      <c r="P72" t="n">
        <v>0</v>
      </c>
      <c r="Q72" t="n">
        <v>0</v>
      </c>
      <c r="R72" s="2" t="inlineStr"/>
    </row>
    <row r="73" ht="15" customHeight="1">
      <c r="A73" t="inlineStr">
        <is>
          <t>A 12819-2026</t>
        </is>
      </c>
      <c r="B73" s="1" t="n">
        <v>46092.40896990741</v>
      </c>
      <c r="C73" s="1" t="n">
        <v>46105</v>
      </c>
      <c r="D73" t="inlineStr">
        <is>
          <t>STOCKHOLMS LÄN</t>
        </is>
      </c>
      <c r="E73" t="inlineStr">
        <is>
          <t>VALLENTUNA</t>
        </is>
      </c>
      <c r="G73" t="n">
        <v>3.5</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46105</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12822-2026</t>
        </is>
      </c>
      <c r="B75" s="1" t="n">
        <v>46092.41358796296</v>
      </c>
      <c r="C75" s="1" t="n">
        <v>46105</v>
      </c>
      <c r="D75" t="inlineStr">
        <is>
          <t>STOCKHOLMS LÄN</t>
        </is>
      </c>
      <c r="E75" t="inlineStr">
        <is>
          <t>VALLENTUNA</t>
        </is>
      </c>
      <c r="G75" t="n">
        <v>2.7</v>
      </c>
      <c r="H75" t="n">
        <v>0</v>
      </c>
      <c r="I75" t="n">
        <v>0</v>
      </c>
      <c r="J75" t="n">
        <v>0</v>
      </c>
      <c r="K75" t="n">
        <v>0</v>
      </c>
      <c r="L75" t="n">
        <v>0</v>
      </c>
      <c r="M75" t="n">
        <v>0</v>
      </c>
      <c r="N75" t="n">
        <v>0</v>
      </c>
      <c r="O75" t="n">
        <v>0</v>
      </c>
      <c r="P75" t="n">
        <v>0</v>
      </c>
      <c r="Q75" t="n">
        <v>0</v>
      </c>
      <c r="R75" s="2" t="inlineStr"/>
    </row>
    <row r="76" ht="15" customHeight="1">
      <c r="A76" t="inlineStr">
        <is>
          <t>A 12828-2026</t>
        </is>
      </c>
      <c r="B76" s="1" t="n">
        <v>46092.41760416667</v>
      </c>
      <c r="C76" s="1" t="n">
        <v>46105</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12830-2026</t>
        </is>
      </c>
      <c r="B77" s="1" t="n">
        <v>46092.42290509259</v>
      </c>
      <c r="C77" s="1" t="n">
        <v>46105</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30902-2025</t>
        </is>
      </c>
      <c r="B78" s="1" t="n">
        <v>45832.36104166666</v>
      </c>
      <c r="C78" s="1" t="n">
        <v>46105</v>
      </c>
      <c r="D78" t="inlineStr">
        <is>
          <t>STOCKHOLMS LÄN</t>
        </is>
      </c>
      <c r="E78" t="inlineStr">
        <is>
          <t>VALLENTUNA</t>
        </is>
      </c>
      <c r="G78" t="n">
        <v>8.199999999999999</v>
      </c>
      <c r="H78" t="n">
        <v>0</v>
      </c>
      <c r="I78" t="n">
        <v>0</v>
      </c>
      <c r="J78" t="n">
        <v>0</v>
      </c>
      <c r="K78" t="n">
        <v>0</v>
      </c>
      <c r="L78" t="n">
        <v>0</v>
      </c>
      <c r="M78" t="n">
        <v>0</v>
      </c>
      <c r="N78" t="n">
        <v>0</v>
      </c>
      <c r="O78" t="n">
        <v>0</v>
      </c>
      <c r="P78" t="n">
        <v>0</v>
      </c>
      <c r="Q78" t="n">
        <v>0</v>
      </c>
      <c r="R78" s="2" t="inlineStr"/>
    </row>
    <row r="79" ht="15" customHeight="1">
      <c r="A79" t="inlineStr">
        <is>
          <t>A 60818-2023</t>
        </is>
      </c>
      <c r="B79" s="1" t="n">
        <v>45259</v>
      </c>
      <c r="C79" s="1" t="n">
        <v>46105</v>
      </c>
      <c r="D79" t="inlineStr">
        <is>
          <t>STOCKHOLMS LÄN</t>
        </is>
      </c>
      <c r="E79" t="inlineStr">
        <is>
          <t>VALLENTUNA</t>
        </is>
      </c>
      <c r="G79" t="n">
        <v>9.4</v>
      </c>
      <c r="H79" t="n">
        <v>0</v>
      </c>
      <c r="I79" t="n">
        <v>0</v>
      </c>
      <c r="J79" t="n">
        <v>0</v>
      </c>
      <c r="K79" t="n">
        <v>0</v>
      </c>
      <c r="L79" t="n">
        <v>0</v>
      </c>
      <c r="M79" t="n">
        <v>0</v>
      </c>
      <c r="N79" t="n">
        <v>0</v>
      </c>
      <c r="O79" t="n">
        <v>0</v>
      </c>
      <c r="P79" t="n">
        <v>0</v>
      </c>
      <c r="Q79" t="n">
        <v>0</v>
      </c>
      <c r="R79" s="2" t="inlineStr"/>
    </row>
    <row r="80" ht="15" customHeight="1">
      <c r="A80" t="inlineStr">
        <is>
          <t>A 6298-2026</t>
        </is>
      </c>
      <c r="B80" s="1" t="n">
        <v>46055.5656712963</v>
      </c>
      <c r="C80" s="1" t="n">
        <v>46105</v>
      </c>
      <c r="D80" t="inlineStr">
        <is>
          <t>STOCKHOLMS LÄN</t>
        </is>
      </c>
      <c r="E80" t="inlineStr">
        <is>
          <t>VALLENTUNA</t>
        </is>
      </c>
      <c r="G80" t="n">
        <v>3.3</v>
      </c>
      <c r="H80" t="n">
        <v>0</v>
      </c>
      <c r="I80" t="n">
        <v>0</v>
      </c>
      <c r="J80" t="n">
        <v>0</v>
      </c>
      <c r="K80" t="n">
        <v>0</v>
      </c>
      <c r="L80" t="n">
        <v>0</v>
      </c>
      <c r="M80" t="n">
        <v>0</v>
      </c>
      <c r="N80" t="n">
        <v>0</v>
      </c>
      <c r="O80" t="n">
        <v>0</v>
      </c>
      <c r="P80" t="n">
        <v>0</v>
      </c>
      <c r="Q80" t="n">
        <v>0</v>
      </c>
      <c r="R80" s="2" t="inlineStr"/>
    </row>
    <row r="81" ht="15" customHeight="1">
      <c r="A81" t="inlineStr">
        <is>
          <t>A 28431-2025</t>
        </is>
      </c>
      <c r="B81" s="1" t="n">
        <v>45819.38072916667</v>
      </c>
      <c r="C81" s="1" t="n">
        <v>46105</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44988-2025</t>
        </is>
      </c>
      <c r="B82" s="1" t="n">
        <v>45918.65505787037</v>
      </c>
      <c r="C82" s="1" t="n">
        <v>46105</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14799-2026</t>
        </is>
      </c>
      <c r="B83" s="1" t="n">
        <v>46102.82101851852</v>
      </c>
      <c r="C83" s="1" t="n">
        <v>46105</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48014-2025</t>
        </is>
      </c>
      <c r="B84" s="1" t="n">
        <v>45932.64520833334</v>
      </c>
      <c r="C84" s="1" t="n">
        <v>46105</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48038-2025</t>
        </is>
      </c>
      <c r="B85" s="1" t="n">
        <v>45932.66008101852</v>
      </c>
      <c r="C85" s="1" t="n">
        <v>46105</v>
      </c>
      <c r="D85" t="inlineStr">
        <is>
          <t>STOCKHOLMS LÄN</t>
        </is>
      </c>
      <c r="E85" t="inlineStr">
        <is>
          <t>VALLENTUNA</t>
        </is>
      </c>
      <c r="G85" t="n">
        <v>0.5</v>
      </c>
      <c r="H85" t="n">
        <v>0</v>
      </c>
      <c r="I85" t="n">
        <v>0</v>
      </c>
      <c r="J85" t="n">
        <v>0</v>
      </c>
      <c r="K85" t="n">
        <v>0</v>
      </c>
      <c r="L85" t="n">
        <v>0</v>
      </c>
      <c r="M85" t="n">
        <v>0</v>
      </c>
      <c r="N85" t="n">
        <v>0</v>
      </c>
      <c r="O85" t="n">
        <v>0</v>
      </c>
      <c r="P85" t="n">
        <v>0</v>
      </c>
      <c r="Q85" t="n">
        <v>0</v>
      </c>
      <c r="R85" s="2" t="inlineStr"/>
    </row>
    <row r="86" ht="15" customHeight="1">
      <c r="A86" t="inlineStr">
        <is>
          <t>A 7264-2022</t>
        </is>
      </c>
      <c r="B86" s="1" t="n">
        <v>44606</v>
      </c>
      <c r="C86" s="1" t="n">
        <v>46105</v>
      </c>
      <c r="D86" t="inlineStr">
        <is>
          <t>STOCKHOLMS LÄN</t>
        </is>
      </c>
      <c r="E86" t="inlineStr">
        <is>
          <t>VALLENTUNA</t>
        </is>
      </c>
      <c r="G86" t="n">
        <v>2.4</v>
      </c>
      <c r="H86" t="n">
        <v>0</v>
      </c>
      <c r="I86" t="n">
        <v>0</v>
      </c>
      <c r="J86" t="n">
        <v>0</v>
      </c>
      <c r="K86" t="n">
        <v>0</v>
      </c>
      <c r="L86" t="n">
        <v>0</v>
      </c>
      <c r="M86" t="n">
        <v>0</v>
      </c>
      <c r="N86" t="n">
        <v>0</v>
      </c>
      <c r="O86" t="n">
        <v>0</v>
      </c>
      <c r="P86" t="n">
        <v>0</v>
      </c>
      <c r="Q86" t="n">
        <v>0</v>
      </c>
      <c r="R86" s="2" t="inlineStr"/>
    </row>
    <row r="87" ht="15" customHeight="1">
      <c r="A87" t="inlineStr">
        <is>
          <t>A 44346-2021</t>
        </is>
      </c>
      <c r="B87" s="1" t="n">
        <v>44434</v>
      </c>
      <c r="C87" s="1" t="n">
        <v>46105</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46105</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19356-2025</t>
        </is>
      </c>
      <c r="B89" s="1" t="n">
        <v>45769.62061342593</v>
      </c>
      <c r="C89" s="1" t="n">
        <v>46105</v>
      </c>
      <c r="D89" t="inlineStr">
        <is>
          <t>STOCKHOLMS LÄN</t>
        </is>
      </c>
      <c r="E89" t="inlineStr">
        <is>
          <t>VALLENTUNA</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46105</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46105</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54466-2025</t>
        </is>
      </c>
      <c r="B92" s="1" t="n">
        <v>45965.56984953704</v>
      </c>
      <c r="C92" s="1" t="n">
        <v>46105</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46105</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24068-2024</t>
        </is>
      </c>
      <c r="B94" s="1" t="n">
        <v>45456</v>
      </c>
      <c r="C94" s="1" t="n">
        <v>46105</v>
      </c>
      <c r="D94" t="inlineStr">
        <is>
          <t>STOCKHOLMS LÄN</t>
        </is>
      </c>
      <c r="E94" t="inlineStr">
        <is>
          <t>VALLENTUNA</t>
        </is>
      </c>
      <c r="G94" t="n">
        <v>7.4</v>
      </c>
      <c r="H94" t="n">
        <v>0</v>
      </c>
      <c r="I94" t="n">
        <v>0</v>
      </c>
      <c r="J94" t="n">
        <v>0</v>
      </c>
      <c r="K94" t="n">
        <v>0</v>
      </c>
      <c r="L94" t="n">
        <v>0</v>
      </c>
      <c r="M94" t="n">
        <v>0</v>
      </c>
      <c r="N94" t="n">
        <v>0</v>
      </c>
      <c r="O94" t="n">
        <v>0</v>
      </c>
      <c r="P94" t="n">
        <v>0</v>
      </c>
      <c r="Q94" t="n">
        <v>0</v>
      </c>
      <c r="R94" s="2" t="inlineStr"/>
    </row>
    <row r="95" ht="15" customHeight="1">
      <c r="A95" t="inlineStr">
        <is>
          <t>A 61442-2024</t>
        </is>
      </c>
      <c r="B95" s="1" t="n">
        <v>45646.47003472222</v>
      </c>
      <c r="C95" s="1" t="n">
        <v>46105</v>
      </c>
      <c r="D95" t="inlineStr">
        <is>
          <t>STOCKHOLMS LÄN</t>
        </is>
      </c>
      <c r="E95" t="inlineStr">
        <is>
          <t>VALLENTUNA</t>
        </is>
      </c>
      <c r="G95" t="n">
        <v>4.6</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46105</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27870-2025</t>
        </is>
      </c>
      <c r="B97" s="1" t="n">
        <v>45817</v>
      </c>
      <c r="C97" s="1" t="n">
        <v>46105</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61646-2025</t>
        </is>
      </c>
      <c r="B98" s="1" t="n">
        <v>46002</v>
      </c>
      <c r="C98" s="1" t="n">
        <v>46105</v>
      </c>
      <c r="D98" t="inlineStr">
        <is>
          <t>STOCKHOLMS LÄN</t>
        </is>
      </c>
      <c r="E98" t="inlineStr">
        <is>
          <t>VALLENTUNA</t>
        </is>
      </c>
      <c r="G98" t="n">
        <v>3.7</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46105</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22683-2023</t>
        </is>
      </c>
      <c r="B100" s="1" t="n">
        <v>45071</v>
      </c>
      <c r="C100" s="1" t="n">
        <v>46105</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24943-2024</t>
        </is>
      </c>
      <c r="B101" s="1" t="n">
        <v>45461.62585648148</v>
      </c>
      <c r="C101" s="1" t="n">
        <v>46105</v>
      </c>
      <c r="D101" t="inlineStr">
        <is>
          <t>STOCKHOLMS LÄN</t>
        </is>
      </c>
      <c r="E101" t="inlineStr">
        <is>
          <t>VALLENTUNA</t>
        </is>
      </c>
      <c r="G101" t="n">
        <v>2</v>
      </c>
      <c r="H101" t="n">
        <v>0</v>
      </c>
      <c r="I101" t="n">
        <v>0</v>
      </c>
      <c r="J101" t="n">
        <v>0</v>
      </c>
      <c r="K101" t="n">
        <v>0</v>
      </c>
      <c r="L101" t="n">
        <v>0</v>
      </c>
      <c r="M101" t="n">
        <v>0</v>
      </c>
      <c r="N101" t="n">
        <v>0</v>
      </c>
      <c r="O101" t="n">
        <v>0</v>
      </c>
      <c r="P101" t="n">
        <v>0</v>
      </c>
      <c r="Q101" t="n">
        <v>0</v>
      </c>
      <c r="R101" s="2" t="inlineStr"/>
    </row>
    <row r="102" ht="15" customHeight="1">
      <c r="A102" t="inlineStr">
        <is>
          <t>A 5910-2022</t>
        </is>
      </c>
      <c r="B102" s="1" t="n">
        <v>44597</v>
      </c>
      <c r="C102" s="1" t="n">
        <v>46105</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414-2026</t>
        </is>
      </c>
      <c r="B103" s="1" t="n">
        <v>46028.76050925926</v>
      </c>
      <c r="C103" s="1" t="n">
        <v>46105</v>
      </c>
      <c r="D103" t="inlineStr">
        <is>
          <t>STOCKHOLMS LÄN</t>
        </is>
      </c>
      <c r="E103" t="inlineStr">
        <is>
          <t>VALLENTUNA</t>
        </is>
      </c>
      <c r="G103" t="n">
        <v>2.6</v>
      </c>
      <c r="H103" t="n">
        <v>0</v>
      </c>
      <c r="I103" t="n">
        <v>0</v>
      </c>
      <c r="J103" t="n">
        <v>0</v>
      </c>
      <c r="K103" t="n">
        <v>0</v>
      </c>
      <c r="L103" t="n">
        <v>0</v>
      </c>
      <c r="M103" t="n">
        <v>0</v>
      </c>
      <c r="N103" t="n">
        <v>0</v>
      </c>
      <c r="O103" t="n">
        <v>0</v>
      </c>
      <c r="P103" t="n">
        <v>0</v>
      </c>
      <c r="Q103" t="n">
        <v>0</v>
      </c>
      <c r="R103" s="2" t="inlineStr"/>
    </row>
    <row r="104" ht="15" customHeight="1">
      <c r="A104" t="inlineStr">
        <is>
          <t>A 26390-2023</t>
        </is>
      </c>
      <c r="B104" s="1" t="n">
        <v>45086</v>
      </c>
      <c r="C104" s="1" t="n">
        <v>46105</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24707-2023</t>
        </is>
      </c>
      <c r="B105" s="1" t="n">
        <v>45084</v>
      </c>
      <c r="C105" s="1" t="n">
        <v>46105</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12609-2024</t>
        </is>
      </c>
      <c r="B106" s="1" t="n">
        <v>45382.8109375</v>
      </c>
      <c r="C106" s="1" t="n">
        <v>46105</v>
      </c>
      <c r="D106" t="inlineStr">
        <is>
          <t>STOCKHOLMS LÄN</t>
        </is>
      </c>
      <c r="E106" t="inlineStr">
        <is>
          <t>VALLENTUNA</t>
        </is>
      </c>
      <c r="G106" t="n">
        <v>0.9</v>
      </c>
      <c r="H106" t="n">
        <v>0</v>
      </c>
      <c r="I106" t="n">
        <v>0</v>
      </c>
      <c r="J106" t="n">
        <v>0</v>
      </c>
      <c r="K106" t="n">
        <v>0</v>
      </c>
      <c r="L106" t="n">
        <v>0</v>
      </c>
      <c r="M106" t="n">
        <v>0</v>
      </c>
      <c r="N106" t="n">
        <v>0</v>
      </c>
      <c r="O106" t="n">
        <v>0</v>
      </c>
      <c r="P106" t="n">
        <v>0</v>
      </c>
      <c r="Q106" t="n">
        <v>0</v>
      </c>
      <c r="R106" s="2" t="inlineStr"/>
    </row>
    <row r="107" ht="15" customHeight="1">
      <c r="A107" t="inlineStr">
        <is>
          <t>A 47140-2024</t>
        </is>
      </c>
      <c r="B107" s="1" t="n">
        <v>45586.58753472222</v>
      </c>
      <c r="C107" s="1" t="n">
        <v>46105</v>
      </c>
      <c r="D107" t="inlineStr">
        <is>
          <t>STOCKHOLMS LÄN</t>
        </is>
      </c>
      <c r="E107" t="inlineStr">
        <is>
          <t>VALLENTUNA</t>
        </is>
      </c>
      <c r="G107" t="n">
        <v>1</v>
      </c>
      <c r="H107" t="n">
        <v>0</v>
      </c>
      <c r="I107" t="n">
        <v>0</v>
      </c>
      <c r="J107" t="n">
        <v>0</v>
      </c>
      <c r="K107" t="n">
        <v>0</v>
      </c>
      <c r="L107" t="n">
        <v>0</v>
      </c>
      <c r="M107" t="n">
        <v>0</v>
      </c>
      <c r="N107" t="n">
        <v>0</v>
      </c>
      <c r="O107" t="n">
        <v>0</v>
      </c>
      <c r="P107" t="n">
        <v>0</v>
      </c>
      <c r="Q107" t="n">
        <v>0</v>
      </c>
      <c r="R107" s="2" t="inlineStr"/>
    </row>
    <row r="108" ht="15" customHeight="1">
      <c r="A108" t="inlineStr">
        <is>
          <t>A 8565-2025</t>
        </is>
      </c>
      <c r="B108" s="1" t="n">
        <v>45709</v>
      </c>
      <c r="C108" s="1" t="n">
        <v>46105</v>
      </c>
      <c r="D108" t="inlineStr">
        <is>
          <t>STOCKHOLMS LÄN</t>
        </is>
      </c>
      <c r="E108" t="inlineStr">
        <is>
          <t>VALLENTUNA</t>
        </is>
      </c>
      <c r="F108" t="inlineStr">
        <is>
          <t>Kommuner</t>
        </is>
      </c>
      <c r="G108" t="n">
        <v>4.2</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46105</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4803-2024</t>
        </is>
      </c>
      <c r="B110" s="1" t="n">
        <v>45328</v>
      </c>
      <c r="C110" s="1" t="n">
        <v>46105</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52542-2023</t>
        </is>
      </c>
      <c r="B111" s="1" t="n">
        <v>45225</v>
      </c>
      <c r="C111" s="1" t="n">
        <v>46105</v>
      </c>
      <c r="D111" t="inlineStr">
        <is>
          <t>STOCKHOLMS LÄN</t>
        </is>
      </c>
      <c r="E111" t="inlineStr">
        <is>
          <t>VALLENTUNA</t>
        </is>
      </c>
      <c r="G111" t="n">
        <v>3.8</v>
      </c>
      <c r="H111" t="n">
        <v>0</v>
      </c>
      <c r="I111" t="n">
        <v>0</v>
      </c>
      <c r="J111" t="n">
        <v>0</v>
      </c>
      <c r="K111" t="n">
        <v>0</v>
      </c>
      <c r="L111" t="n">
        <v>0</v>
      </c>
      <c r="M111" t="n">
        <v>0</v>
      </c>
      <c r="N111" t="n">
        <v>0</v>
      </c>
      <c r="O111" t="n">
        <v>0</v>
      </c>
      <c r="P111" t="n">
        <v>0</v>
      </c>
      <c r="Q111" t="n">
        <v>0</v>
      </c>
      <c r="R111" s="2" t="inlineStr"/>
    </row>
    <row r="112" ht="15" customHeight="1">
      <c r="A112" t="inlineStr">
        <is>
          <t>A 11950-2025</t>
        </is>
      </c>
      <c r="B112" s="1" t="n">
        <v>45728.55622685186</v>
      </c>
      <c r="C112" s="1" t="n">
        <v>46105</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14489-2024</t>
        </is>
      </c>
      <c r="B113" s="1" t="n">
        <v>45394.58053240741</v>
      </c>
      <c r="C113" s="1" t="n">
        <v>46105</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52562-2023</t>
        </is>
      </c>
      <c r="B114" s="1" t="n">
        <v>45225</v>
      </c>
      <c r="C114" s="1" t="n">
        <v>46105</v>
      </c>
      <c r="D114" t="inlineStr">
        <is>
          <t>STOCKHOLMS LÄN</t>
        </is>
      </c>
      <c r="E114" t="inlineStr">
        <is>
          <t>VALLENTUNA</t>
        </is>
      </c>
      <c r="G114" t="n">
        <v>3.4</v>
      </c>
      <c r="H114" t="n">
        <v>0</v>
      </c>
      <c r="I114" t="n">
        <v>0</v>
      </c>
      <c r="J114" t="n">
        <v>0</v>
      </c>
      <c r="K114" t="n">
        <v>0</v>
      </c>
      <c r="L114" t="n">
        <v>0</v>
      </c>
      <c r="M114" t="n">
        <v>0</v>
      </c>
      <c r="N114" t="n">
        <v>0</v>
      </c>
      <c r="O114" t="n">
        <v>0</v>
      </c>
      <c r="P114" t="n">
        <v>0</v>
      </c>
      <c r="Q114" t="n">
        <v>0</v>
      </c>
      <c r="R114" s="2" t="inlineStr"/>
    </row>
    <row r="115" ht="15" customHeight="1">
      <c r="A115" t="inlineStr">
        <is>
          <t>A 4804-2024</t>
        </is>
      </c>
      <c r="B115" s="1" t="n">
        <v>45328</v>
      </c>
      <c r="C115" s="1" t="n">
        <v>46105</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46105</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2318-2024</t>
        </is>
      </c>
      <c r="B117" s="1" t="n">
        <v>45310</v>
      </c>
      <c r="C117" s="1" t="n">
        <v>46105</v>
      </c>
      <c r="D117" t="inlineStr">
        <is>
          <t>STOCKHOLMS LÄN</t>
        </is>
      </c>
      <c r="E117" t="inlineStr">
        <is>
          <t>VALLENTUNA</t>
        </is>
      </c>
      <c r="G117" t="n">
        <v>2.2</v>
      </c>
      <c r="H117" t="n">
        <v>0</v>
      </c>
      <c r="I117" t="n">
        <v>0</v>
      </c>
      <c r="J117" t="n">
        <v>0</v>
      </c>
      <c r="K117" t="n">
        <v>0</v>
      </c>
      <c r="L117" t="n">
        <v>0</v>
      </c>
      <c r="M117" t="n">
        <v>0</v>
      </c>
      <c r="N117" t="n">
        <v>0</v>
      </c>
      <c r="O117" t="n">
        <v>0</v>
      </c>
      <c r="P117" t="n">
        <v>0</v>
      </c>
      <c r="Q117" t="n">
        <v>0</v>
      </c>
      <c r="R117" s="2" t="inlineStr"/>
    </row>
    <row r="118" ht="15" customHeight="1">
      <c r="A118" t="inlineStr">
        <is>
          <t>A 61742-2022</t>
        </is>
      </c>
      <c r="B118" s="1" t="n">
        <v>44917</v>
      </c>
      <c r="C118" s="1" t="n">
        <v>46105</v>
      </c>
      <c r="D118" t="inlineStr">
        <is>
          <t>STOCKHOLMS LÄN</t>
        </is>
      </c>
      <c r="E118" t="inlineStr">
        <is>
          <t>VALLENTUNA</t>
        </is>
      </c>
      <c r="G118" t="n">
        <v>0.5</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46105</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60997-2022</t>
        </is>
      </c>
      <c r="B120" s="1" t="n">
        <v>44914.70746527778</v>
      </c>
      <c r="C120" s="1" t="n">
        <v>46105</v>
      </c>
      <c r="D120" t="inlineStr">
        <is>
          <t>STOCKHOLMS LÄN</t>
        </is>
      </c>
      <c r="E120" t="inlineStr">
        <is>
          <t>VALLENTUNA</t>
        </is>
      </c>
      <c r="G120" t="n">
        <v>1.8</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46105</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21614-2022</t>
        </is>
      </c>
      <c r="B122" s="1" t="n">
        <v>44706</v>
      </c>
      <c r="C122" s="1" t="n">
        <v>46105</v>
      </c>
      <c r="D122" t="inlineStr">
        <is>
          <t>STOCKHOLMS LÄN</t>
        </is>
      </c>
      <c r="E122" t="inlineStr">
        <is>
          <t>VALLENTUNA</t>
        </is>
      </c>
      <c r="G122" t="n">
        <v>4</v>
      </c>
      <c r="H122" t="n">
        <v>0</v>
      </c>
      <c r="I122" t="n">
        <v>0</v>
      </c>
      <c r="J122" t="n">
        <v>0</v>
      </c>
      <c r="K122" t="n">
        <v>0</v>
      </c>
      <c r="L122" t="n">
        <v>0</v>
      </c>
      <c r="M122" t="n">
        <v>0</v>
      </c>
      <c r="N122" t="n">
        <v>0</v>
      </c>
      <c r="O122" t="n">
        <v>0</v>
      </c>
      <c r="P122" t="n">
        <v>0</v>
      </c>
      <c r="Q122" t="n">
        <v>0</v>
      </c>
      <c r="R122" s="2" t="inlineStr"/>
    </row>
    <row r="123" ht="15" customHeight="1">
      <c r="A123" t="inlineStr">
        <is>
          <t>A 12585-2023</t>
        </is>
      </c>
      <c r="B123" s="1" t="n">
        <v>45000.41373842592</v>
      </c>
      <c r="C123" s="1" t="n">
        <v>46105</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8787-2024</t>
        </is>
      </c>
      <c r="B124" s="1" t="n">
        <v>45356</v>
      </c>
      <c r="C124" s="1" t="n">
        <v>46105</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46105</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46105</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23986-2023</t>
        </is>
      </c>
      <c r="B127" s="1" t="n">
        <v>45078</v>
      </c>
      <c r="C127" s="1" t="n">
        <v>46105</v>
      </c>
      <c r="D127" t="inlineStr">
        <is>
          <t>STOCKHOLMS LÄN</t>
        </is>
      </c>
      <c r="E127" t="inlineStr">
        <is>
          <t>VALLENTUNA</t>
        </is>
      </c>
      <c r="F127" t="inlineStr">
        <is>
          <t>Kyrkan</t>
        </is>
      </c>
      <c r="G127" t="n">
        <v>5.7</v>
      </c>
      <c r="H127" t="n">
        <v>0</v>
      </c>
      <c r="I127" t="n">
        <v>0</v>
      </c>
      <c r="J127" t="n">
        <v>0</v>
      </c>
      <c r="K127" t="n">
        <v>0</v>
      </c>
      <c r="L127" t="n">
        <v>0</v>
      </c>
      <c r="M127" t="n">
        <v>0</v>
      </c>
      <c r="N127" t="n">
        <v>0</v>
      </c>
      <c r="O127" t="n">
        <v>0</v>
      </c>
      <c r="P127" t="n">
        <v>0</v>
      </c>
      <c r="Q127" t="n">
        <v>0</v>
      </c>
      <c r="R127" s="2" t="inlineStr"/>
    </row>
    <row r="128" ht="15" customHeight="1">
      <c r="A128" t="inlineStr">
        <is>
          <t>A 15300-2023</t>
        </is>
      </c>
      <c r="B128" s="1" t="n">
        <v>45019</v>
      </c>
      <c r="C128" s="1" t="n">
        <v>46105</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46105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46105</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46105</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46105</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46105</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46105</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46105</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46105</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46105</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46105</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46105</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46105</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46105</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46105</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46105</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46105</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46105</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12621-2024</t>
        </is>
      </c>
      <c r="B146" s="1" t="n">
        <v>45383.6325</v>
      </c>
      <c r="C146" s="1" t="n">
        <v>46105</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row r="147" ht="15" customHeight="1">
      <c r="A147" t="inlineStr">
        <is>
          <t>A 46381-2023</t>
        </is>
      </c>
      <c r="B147" s="1" t="n">
        <v>45193</v>
      </c>
      <c r="C147" s="1" t="n">
        <v>46105</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61027-2023</t>
        </is>
      </c>
      <c r="B148" s="1" t="n">
        <v>45261</v>
      </c>
      <c r="C148" s="1" t="n">
        <v>46105</v>
      </c>
      <c r="D148" t="inlineStr">
        <is>
          <t>STOCKHOLMS LÄN</t>
        </is>
      </c>
      <c r="E148" t="inlineStr">
        <is>
          <t>VALLENTUNA</t>
        </is>
      </c>
      <c r="G148" t="n">
        <v>7.1</v>
      </c>
      <c r="H148" t="n">
        <v>0</v>
      </c>
      <c r="I148" t="n">
        <v>0</v>
      </c>
      <c r="J148" t="n">
        <v>0</v>
      </c>
      <c r="K148" t="n">
        <v>0</v>
      </c>
      <c r="L148" t="n">
        <v>0</v>
      </c>
      <c r="M148" t="n">
        <v>0</v>
      </c>
      <c r="N148" t="n">
        <v>0</v>
      </c>
      <c r="O148" t="n">
        <v>0</v>
      </c>
      <c r="P148" t="n">
        <v>0</v>
      </c>
      <c r="Q148" t="n">
        <v>0</v>
      </c>
      <c r="R148" s="2" t="inlineStr"/>
    </row>
    <row r="149" ht="15" customHeight="1">
      <c r="A149" t="inlineStr">
        <is>
          <t>A 23009-2024</t>
        </is>
      </c>
      <c r="B149" s="1" t="n">
        <v>45450.34506944445</v>
      </c>
      <c r="C149" s="1" t="n">
        <v>46105</v>
      </c>
      <c r="D149" t="inlineStr">
        <is>
          <t>STOCKHOLMS LÄN</t>
        </is>
      </c>
      <c r="E149" t="inlineStr">
        <is>
          <t>VALLENTUNA</t>
        </is>
      </c>
      <c r="G149" t="n">
        <v>1.4</v>
      </c>
      <c r="H149" t="n">
        <v>0</v>
      </c>
      <c r="I149" t="n">
        <v>0</v>
      </c>
      <c r="J149" t="n">
        <v>0</v>
      </c>
      <c r="K149" t="n">
        <v>0</v>
      </c>
      <c r="L149" t="n">
        <v>0</v>
      </c>
      <c r="M149" t="n">
        <v>0</v>
      </c>
      <c r="N149" t="n">
        <v>0</v>
      </c>
      <c r="O149" t="n">
        <v>0</v>
      </c>
      <c r="P149" t="n">
        <v>0</v>
      </c>
      <c r="Q149" t="n">
        <v>0</v>
      </c>
      <c r="R149" s="2" t="inlineStr"/>
    </row>
    <row r="150" ht="15" customHeight="1">
      <c r="A150" t="inlineStr">
        <is>
          <t>A 23923-2025</t>
        </is>
      </c>
      <c r="B150" s="1" t="n">
        <v>45795.39648148148</v>
      </c>
      <c r="C150" s="1" t="n">
        <v>46105</v>
      </c>
      <c r="D150" t="inlineStr">
        <is>
          <t>STOCKHOLMS LÄN</t>
        </is>
      </c>
      <c r="E150" t="inlineStr">
        <is>
          <t>VALLENTUNA</t>
        </is>
      </c>
      <c r="G150" t="n">
        <v>2.3</v>
      </c>
      <c r="H150" t="n">
        <v>0</v>
      </c>
      <c r="I150" t="n">
        <v>0</v>
      </c>
      <c r="J150" t="n">
        <v>0</v>
      </c>
      <c r="K150" t="n">
        <v>0</v>
      </c>
      <c r="L150" t="n">
        <v>0</v>
      </c>
      <c r="M150" t="n">
        <v>0</v>
      </c>
      <c r="N150" t="n">
        <v>0</v>
      </c>
      <c r="O150" t="n">
        <v>0</v>
      </c>
      <c r="P150" t="n">
        <v>0</v>
      </c>
      <c r="Q150" t="n">
        <v>0</v>
      </c>
      <c r="R150" s="2" t="inlineStr"/>
    </row>
    <row r="151">
      <c r="A151" t="inlineStr">
        <is>
          <t>A 25984-2025</t>
        </is>
      </c>
      <c r="B151" s="1" t="n">
        <v>45804.64016203704</v>
      </c>
      <c r="C151" s="1" t="n">
        <v>46105</v>
      </c>
      <c r="D151" t="inlineStr">
        <is>
          <t>STOCKHOLMS LÄN</t>
        </is>
      </c>
      <c r="E151" t="inlineStr">
        <is>
          <t>VALLENTUNA</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2026-03-24T11:31:49Z</dcterms:created>
  <dcterms:modified xmlns:dcterms="http://purl.org/dc/terms/" xmlns:xsi="http://www.w3.org/2001/XMLSchema-instance" xsi:type="dcterms:W3CDTF">2026-03-24T11:31:49Z</dcterms:modified>
</cp:coreProperties>
</file>