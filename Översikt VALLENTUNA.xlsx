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46193</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46193</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46193</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46193</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46193</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46193</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46193</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46193</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46193</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46193</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46193</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46193</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14508-2024</t>
        </is>
      </c>
      <c r="B14" s="1" t="n">
        <v>45394</v>
      </c>
      <c r="C14" s="1" t="n">
        <v>46193</v>
      </c>
      <c r="D14" t="inlineStr">
        <is>
          <t>STOCKHOLMS LÄN</t>
        </is>
      </c>
      <c r="E14" t="inlineStr">
        <is>
          <t>VALLENTUNA</t>
        </is>
      </c>
      <c r="G14" t="n">
        <v>1.7</v>
      </c>
      <c r="H14" t="n">
        <v>2</v>
      </c>
      <c r="I14" t="n">
        <v>0</v>
      </c>
      <c r="J14" t="n">
        <v>2</v>
      </c>
      <c r="K14" t="n">
        <v>1</v>
      </c>
      <c r="L14" t="n">
        <v>0</v>
      </c>
      <c r="M14" t="n">
        <v>0</v>
      </c>
      <c r="N14" t="n">
        <v>0</v>
      </c>
      <c r="O14" t="n">
        <v>3</v>
      </c>
      <c r="P14" t="n">
        <v>1</v>
      </c>
      <c r="Q14" t="n">
        <v>3</v>
      </c>
      <c r="R14" s="2" t="inlineStr">
        <is>
          <t>Hussvala
Berggräsfjäril
Mindre hackspett</t>
        </is>
      </c>
      <c r="S14">
        <f>HYPERLINK("https://klasma.github.io/Logging_0115/artfynd/A 14508-2024 artfynd.xlsx", "A 14508-2024")</f>
        <v/>
      </c>
      <c r="T14">
        <f>HYPERLINK("https://klasma.github.io/Logging_0115/kartor/A 14508-2024 karta.png", "A 14508-2024")</f>
        <v/>
      </c>
      <c r="V14">
        <f>HYPERLINK("https://klasma.github.io/Logging_0115/klagomål/A 14508-2024 FSC-klagomål.docx", "A 14508-2024")</f>
        <v/>
      </c>
      <c r="W14">
        <f>HYPERLINK("https://klasma.github.io/Logging_0115/klagomålsmail/A 14508-2024 FSC-klagomål mail.docx", "A 14508-2024")</f>
        <v/>
      </c>
      <c r="X14">
        <f>HYPERLINK("https://klasma.github.io/Logging_0115/tillsyn/A 14508-2024 tillsynsbegäran.docx", "A 14508-2024")</f>
        <v/>
      </c>
      <c r="Y14">
        <f>HYPERLINK("https://klasma.github.io/Logging_0115/tillsynsmail/A 14508-2024 tillsynsbegäran mail.docx", "A 14508-2024")</f>
        <v/>
      </c>
      <c r="Z14">
        <f>HYPERLINK("https://klasma.github.io/Logging_0115/fåglar/A 14508-2024 prioriterade fågelarter.docx", "A 14508-2024")</f>
        <v/>
      </c>
    </row>
    <row r="15" ht="15" customHeight="1">
      <c r="A15" t="inlineStr">
        <is>
          <t>A 34452-2021</t>
        </is>
      </c>
      <c r="B15" s="1" t="n">
        <v>44381</v>
      </c>
      <c r="C15" s="1" t="n">
        <v>46193</v>
      </c>
      <c r="D15" t="inlineStr">
        <is>
          <t>STOCKHOLMS LÄN</t>
        </is>
      </c>
      <c r="E15" t="inlineStr">
        <is>
          <t>VALLENTUNA</t>
        </is>
      </c>
      <c r="G15" t="n">
        <v>14.7</v>
      </c>
      <c r="H15" t="n">
        <v>0</v>
      </c>
      <c r="I15" t="n">
        <v>0</v>
      </c>
      <c r="J15" t="n">
        <v>0</v>
      </c>
      <c r="K15" t="n">
        <v>0</v>
      </c>
      <c r="L15" t="n">
        <v>0</v>
      </c>
      <c r="M15" t="n">
        <v>0</v>
      </c>
      <c r="N15" t="n">
        <v>0</v>
      </c>
      <c r="O15" t="n">
        <v>0</v>
      </c>
      <c r="P15" t="n">
        <v>0</v>
      </c>
      <c r="Q15" t="n">
        <v>3</v>
      </c>
      <c r="R15" s="2" t="inlineStr">
        <is>
          <t>Ekorrbär
Kärrviol
Skogsstjärna</t>
        </is>
      </c>
      <c r="S15">
        <f>HYPERLINK("https://klasma.github.io/Logging_0115/artfynd/A 34452-2021 artfynd.xlsx", "A 34452-2021")</f>
        <v/>
      </c>
      <c r="T15">
        <f>HYPERLINK("https://klasma.github.io/Logging_0115/kartor/A 34452-2021 karta.png", "A 34452-2021")</f>
        <v/>
      </c>
      <c r="V15">
        <f>HYPERLINK("https://klasma.github.io/Logging_0115/klagomål/A 34452-2021 FSC-klagomål.docx", "A 34452-2021")</f>
        <v/>
      </c>
      <c r="W15">
        <f>HYPERLINK("https://klasma.github.io/Logging_0115/klagomålsmail/A 34452-2021 FSC-klagomål mail.docx", "A 34452-2021")</f>
        <v/>
      </c>
      <c r="X15">
        <f>HYPERLINK("https://klasma.github.io/Logging_0115/tillsyn/A 34452-2021 tillsynsbegäran.docx", "A 34452-2021")</f>
        <v/>
      </c>
      <c r="Y15">
        <f>HYPERLINK("https://klasma.github.io/Logging_0115/tillsynsmail/A 34452-2021 tillsynsbegäran mail.docx", "A 34452-2021")</f>
        <v/>
      </c>
    </row>
    <row r="16" ht="15" customHeight="1">
      <c r="A16" t="inlineStr">
        <is>
          <t>A 37456-2023</t>
        </is>
      </c>
      <c r="B16" s="1" t="n">
        <v>45156</v>
      </c>
      <c r="C16" s="1" t="n">
        <v>46193</v>
      </c>
      <c r="D16" t="inlineStr">
        <is>
          <t>STOCKHOLMS LÄN</t>
        </is>
      </c>
      <c r="E16" t="inlineStr">
        <is>
          <t>VALLENTUNA</t>
        </is>
      </c>
      <c r="F16" t="inlineStr">
        <is>
          <t>Övriga Aktiebolag</t>
        </is>
      </c>
      <c r="G16" t="n">
        <v>3.3</v>
      </c>
      <c r="H16" t="n">
        <v>1</v>
      </c>
      <c r="I16" t="n">
        <v>0</v>
      </c>
      <c r="J16" t="n">
        <v>2</v>
      </c>
      <c r="K16" t="n">
        <v>0</v>
      </c>
      <c r="L16" t="n">
        <v>0</v>
      </c>
      <c r="M16" t="n">
        <v>0</v>
      </c>
      <c r="N16" t="n">
        <v>0</v>
      </c>
      <c r="O16" t="n">
        <v>2</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63543-2025</t>
        </is>
      </c>
      <c r="B17" s="1" t="n">
        <v>46013</v>
      </c>
      <c r="C17" s="1" t="n">
        <v>46193</v>
      </c>
      <c r="D17" t="inlineStr">
        <is>
          <t>STOCKHOLMS LÄN</t>
        </is>
      </c>
      <c r="E17" t="inlineStr">
        <is>
          <t>VALLENTUNA</t>
        </is>
      </c>
      <c r="G17" t="n">
        <v>3.4</v>
      </c>
      <c r="H17" t="n">
        <v>0</v>
      </c>
      <c r="I17" t="n">
        <v>1</v>
      </c>
      <c r="J17" t="n">
        <v>2</v>
      </c>
      <c r="K17" t="n">
        <v>0</v>
      </c>
      <c r="L17" t="n">
        <v>0</v>
      </c>
      <c r="M17" t="n">
        <v>0</v>
      </c>
      <c r="N17" t="n">
        <v>0</v>
      </c>
      <c r="O17" t="n">
        <v>2</v>
      </c>
      <c r="P17" t="n">
        <v>0</v>
      </c>
      <c r="Q17" t="n">
        <v>3</v>
      </c>
      <c r="R17" s="2" t="inlineStr">
        <is>
          <t>Tallticka
Vedskivlav
Björksplintborre</t>
        </is>
      </c>
      <c r="S17">
        <f>HYPERLINK("https://klasma.github.io/Logging_0115/artfynd/A 63543-2025 artfynd.xlsx", "A 63543-2025")</f>
        <v/>
      </c>
      <c r="T17">
        <f>HYPERLINK("https://klasma.github.io/Logging_0115/kartor/A 63543-2025 karta.png", "A 63543-2025")</f>
        <v/>
      </c>
      <c r="V17">
        <f>HYPERLINK("https://klasma.github.io/Logging_0115/klagomål/A 63543-2025 FSC-klagomål.docx", "A 63543-2025")</f>
        <v/>
      </c>
      <c r="W17">
        <f>HYPERLINK("https://klasma.github.io/Logging_0115/klagomålsmail/A 63543-2025 FSC-klagomål mail.docx", "A 63543-2025")</f>
        <v/>
      </c>
      <c r="X17">
        <f>HYPERLINK("https://klasma.github.io/Logging_0115/tillsyn/A 63543-2025 tillsynsbegäran.docx", "A 63543-2025")</f>
        <v/>
      </c>
      <c r="Y17">
        <f>HYPERLINK("https://klasma.github.io/Logging_0115/tillsynsmail/A 63543-2025 tillsynsbegäran mail.docx", "A 63543-2025")</f>
        <v/>
      </c>
    </row>
    <row r="18" ht="15" customHeight="1">
      <c r="A18" t="inlineStr">
        <is>
          <t>A 9745-2022</t>
        </is>
      </c>
      <c r="B18" s="1" t="n">
        <v>44618</v>
      </c>
      <c r="C18" s="1" t="n">
        <v>46193</v>
      </c>
      <c r="D18" t="inlineStr">
        <is>
          <t>STOCKHOLMS LÄN</t>
        </is>
      </c>
      <c r="E18" t="inlineStr">
        <is>
          <t>VALLENTUNA</t>
        </is>
      </c>
      <c r="G18" t="n">
        <v>5.9</v>
      </c>
      <c r="H18" t="n">
        <v>1</v>
      </c>
      <c r="I18" t="n">
        <v>2</v>
      </c>
      <c r="J18" t="n">
        <v>0</v>
      </c>
      <c r="K18" t="n">
        <v>0</v>
      </c>
      <c r="L18" t="n">
        <v>0</v>
      </c>
      <c r="M18" t="n">
        <v>0</v>
      </c>
      <c r="N18" t="n">
        <v>0</v>
      </c>
      <c r="O18" t="n">
        <v>0</v>
      </c>
      <c r="P18" t="n">
        <v>0</v>
      </c>
      <c r="Q18" t="n">
        <v>3</v>
      </c>
      <c r="R18" s="2" t="inlineStr">
        <is>
          <t>Björksplintborre
Vedticka
Spillkråka</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48717-2024</t>
        </is>
      </c>
      <c r="B19" s="1" t="n">
        <v>45593</v>
      </c>
      <c r="C19" s="1" t="n">
        <v>46193</v>
      </c>
      <c r="D19" t="inlineStr">
        <is>
          <t>STOCKHOLMS LÄN</t>
        </is>
      </c>
      <c r="E19" t="inlineStr">
        <is>
          <t>VALLENTUNA</t>
        </is>
      </c>
      <c r="G19" t="n">
        <v>6.2</v>
      </c>
      <c r="H19" t="n">
        <v>2</v>
      </c>
      <c r="I19" t="n">
        <v>0</v>
      </c>
      <c r="J19" t="n">
        <v>1</v>
      </c>
      <c r="K19" t="n">
        <v>0</v>
      </c>
      <c r="L19" t="n">
        <v>0</v>
      </c>
      <c r="M19" t="n">
        <v>0</v>
      </c>
      <c r="N19" t="n">
        <v>0</v>
      </c>
      <c r="O19" t="n">
        <v>1</v>
      </c>
      <c r="P19" t="n">
        <v>0</v>
      </c>
      <c r="Q19" t="n">
        <v>3</v>
      </c>
      <c r="R19" s="2" t="inlineStr">
        <is>
          <t>Ullticka
Tjäder
Kungsfågel</t>
        </is>
      </c>
      <c r="S19">
        <f>HYPERLINK("https://klasma.github.io/Logging_0115/artfynd/A 48717-2024 artfynd.xlsx", "A 48717-2024")</f>
        <v/>
      </c>
      <c r="T19">
        <f>HYPERLINK("https://klasma.github.io/Logging_0115/kartor/A 48717-2024 karta.png", "A 48717-2024")</f>
        <v/>
      </c>
      <c r="V19">
        <f>HYPERLINK("https://klasma.github.io/Logging_0115/klagomål/A 48717-2024 FSC-klagomål.docx", "A 48717-2024")</f>
        <v/>
      </c>
      <c r="W19">
        <f>HYPERLINK("https://klasma.github.io/Logging_0115/klagomålsmail/A 48717-2024 FSC-klagomål mail.docx", "A 48717-2024")</f>
        <v/>
      </c>
      <c r="X19">
        <f>HYPERLINK("https://klasma.github.io/Logging_0115/tillsyn/A 48717-2024 tillsynsbegäran.docx", "A 48717-2024")</f>
        <v/>
      </c>
      <c r="Y19">
        <f>HYPERLINK("https://klasma.github.io/Logging_0115/tillsynsmail/A 48717-2024 tillsynsbegäran mail.docx", "A 48717-2024")</f>
        <v/>
      </c>
      <c r="Z19">
        <f>HYPERLINK("https://klasma.github.io/Logging_0115/fåglar/A 48717-2024 prioriterade fågelarter.docx", "A 48717-2024")</f>
        <v/>
      </c>
    </row>
    <row r="20" ht="15" customHeight="1">
      <c r="A20" t="inlineStr">
        <is>
          <t>A 9807-2026</t>
        </is>
      </c>
      <c r="B20" s="1" t="n">
        <v>46072</v>
      </c>
      <c r="C20" s="1" t="n">
        <v>46193</v>
      </c>
      <c r="D20" t="inlineStr">
        <is>
          <t>STOCKHOLMS LÄN</t>
        </is>
      </c>
      <c r="E20" t="inlineStr">
        <is>
          <t>VALLENTUNA</t>
        </is>
      </c>
      <c r="G20" t="n">
        <v>2.1</v>
      </c>
      <c r="H20" t="n">
        <v>3</v>
      </c>
      <c r="I20" t="n">
        <v>0</v>
      </c>
      <c r="J20" t="n">
        <v>1</v>
      </c>
      <c r="K20" t="n">
        <v>0</v>
      </c>
      <c r="L20" t="n">
        <v>0</v>
      </c>
      <c r="M20" t="n">
        <v>0</v>
      </c>
      <c r="N20" t="n">
        <v>0</v>
      </c>
      <c r="O20" t="n">
        <v>1</v>
      </c>
      <c r="P20" t="n">
        <v>0</v>
      </c>
      <c r="Q20" t="n">
        <v>3</v>
      </c>
      <c r="R20" s="2" t="inlineStr">
        <is>
          <t>Järnsparv
Grönsiska
Kungsfågel</t>
        </is>
      </c>
      <c r="S20">
        <f>HYPERLINK("https://klasma.github.io/Logging_0115/artfynd/A 9807-2026 artfynd.xlsx", "A 9807-2026")</f>
        <v/>
      </c>
      <c r="T20">
        <f>HYPERLINK("https://klasma.github.io/Logging_0115/kartor/A 9807-2026 karta.png", "A 9807-2026")</f>
        <v/>
      </c>
      <c r="V20">
        <f>HYPERLINK("https://klasma.github.io/Logging_0115/klagomål/A 9807-2026 FSC-klagomål.docx", "A 9807-2026")</f>
        <v/>
      </c>
      <c r="W20">
        <f>HYPERLINK("https://klasma.github.io/Logging_0115/klagomålsmail/A 9807-2026 FSC-klagomål mail.docx", "A 9807-2026")</f>
        <v/>
      </c>
      <c r="X20">
        <f>HYPERLINK("https://klasma.github.io/Logging_0115/tillsyn/A 9807-2026 tillsynsbegäran.docx", "A 9807-2026")</f>
        <v/>
      </c>
      <c r="Y20">
        <f>HYPERLINK("https://klasma.github.io/Logging_0115/tillsynsmail/A 9807-2026 tillsynsbegäran mail.docx", "A 9807-2026")</f>
        <v/>
      </c>
      <c r="Z20">
        <f>HYPERLINK("https://klasma.github.io/Logging_0115/fåglar/A 9807-2026 prioriterade fågelarter.docx", "A 9807-2026")</f>
        <v/>
      </c>
    </row>
    <row r="21" ht="15" customHeight="1">
      <c r="A21" t="inlineStr">
        <is>
          <t>A 60-2022</t>
        </is>
      </c>
      <c r="B21" s="1" t="n">
        <v>44560</v>
      </c>
      <c r="C21" s="1" t="n">
        <v>46193</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46193</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46193</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34460-2023</t>
        </is>
      </c>
      <c r="B24" s="1" t="n">
        <v>45139</v>
      </c>
      <c r="C24" s="1" t="n">
        <v>46193</v>
      </c>
      <c r="D24" t="inlineStr">
        <is>
          <t>STOCKHOLMS LÄN</t>
        </is>
      </c>
      <c r="E24" t="inlineStr">
        <is>
          <t>VALLENTUNA</t>
        </is>
      </c>
      <c r="G24" t="n">
        <v>1.7</v>
      </c>
      <c r="H24" t="n">
        <v>0</v>
      </c>
      <c r="I24" t="n">
        <v>0</v>
      </c>
      <c r="J24" t="n">
        <v>2</v>
      </c>
      <c r="K24" t="n">
        <v>0</v>
      </c>
      <c r="L24" t="n">
        <v>0</v>
      </c>
      <c r="M24" t="n">
        <v>0</v>
      </c>
      <c r="N24" t="n">
        <v>0</v>
      </c>
      <c r="O24" t="n">
        <v>2</v>
      </c>
      <c r="P24" t="n">
        <v>0</v>
      </c>
      <c r="Q24" t="n">
        <v>2</v>
      </c>
      <c r="R24" s="2" t="inlineStr">
        <is>
          <t>Motaggsvamp
Orange taggsvamp</t>
        </is>
      </c>
      <c r="S24">
        <f>HYPERLINK("https://klasma.github.io/Logging_0115/artfynd/A 34460-2023 artfynd.xlsx", "A 34460-2023")</f>
        <v/>
      </c>
      <c r="T24">
        <f>HYPERLINK("https://klasma.github.io/Logging_0115/kartor/A 34460-2023 karta.png", "A 34460-2023")</f>
        <v/>
      </c>
      <c r="V24">
        <f>HYPERLINK("https://klasma.github.io/Logging_0115/klagomål/A 34460-2023 FSC-klagomål.docx", "A 34460-2023")</f>
        <v/>
      </c>
      <c r="W24">
        <f>HYPERLINK("https://klasma.github.io/Logging_0115/klagomålsmail/A 34460-2023 FSC-klagomål mail.docx", "A 34460-2023")</f>
        <v/>
      </c>
      <c r="X24">
        <f>HYPERLINK("https://klasma.github.io/Logging_0115/tillsyn/A 34460-2023 tillsynsbegäran.docx", "A 34460-2023")</f>
        <v/>
      </c>
      <c r="Y24">
        <f>HYPERLINK("https://klasma.github.io/Logging_0115/tillsynsmail/A 34460-2023 tillsynsbegäran mail.docx", "A 34460-2023")</f>
        <v/>
      </c>
    </row>
    <row r="25" ht="15" customHeight="1">
      <c r="A25" t="inlineStr">
        <is>
          <t>A 23923-2025</t>
        </is>
      </c>
      <c r="B25" s="1" t="n">
        <v>45795</v>
      </c>
      <c r="C25" s="1" t="n">
        <v>46193</v>
      </c>
      <c r="D25" t="inlineStr">
        <is>
          <t>STOCKHOLMS LÄN</t>
        </is>
      </c>
      <c r="E25" t="inlineStr">
        <is>
          <t>VALLENTUNA</t>
        </is>
      </c>
      <c r="G25" t="n">
        <v>2.3</v>
      </c>
      <c r="H25" t="n">
        <v>2</v>
      </c>
      <c r="I25" t="n">
        <v>0</v>
      </c>
      <c r="J25" t="n">
        <v>1</v>
      </c>
      <c r="K25" t="n">
        <v>0</v>
      </c>
      <c r="L25" t="n">
        <v>0</v>
      </c>
      <c r="M25" t="n">
        <v>0</v>
      </c>
      <c r="N25" t="n">
        <v>0</v>
      </c>
      <c r="O25" t="n">
        <v>1</v>
      </c>
      <c r="P25" t="n">
        <v>0</v>
      </c>
      <c r="Q25" t="n">
        <v>2</v>
      </c>
      <c r="R25" s="2" t="inlineStr">
        <is>
          <t>Gulsparv
Kråka</t>
        </is>
      </c>
      <c r="S25">
        <f>HYPERLINK("https://klasma.github.io/Logging_0115/artfynd/A 23923-2025 artfynd.xlsx", "A 23923-2025")</f>
        <v/>
      </c>
      <c r="T25">
        <f>HYPERLINK("https://klasma.github.io/Logging_0115/kartor/A 23923-2025 karta.png", "A 23923-2025")</f>
        <v/>
      </c>
      <c r="V25">
        <f>HYPERLINK("https://klasma.github.io/Logging_0115/klagomål/A 23923-2025 FSC-klagomål.docx", "A 23923-2025")</f>
        <v/>
      </c>
      <c r="W25">
        <f>HYPERLINK("https://klasma.github.io/Logging_0115/klagomålsmail/A 23923-2025 FSC-klagomål mail.docx", "A 23923-2025")</f>
        <v/>
      </c>
      <c r="X25">
        <f>HYPERLINK("https://klasma.github.io/Logging_0115/tillsyn/A 23923-2025 tillsynsbegäran.docx", "A 23923-2025")</f>
        <v/>
      </c>
      <c r="Y25">
        <f>HYPERLINK("https://klasma.github.io/Logging_0115/tillsynsmail/A 23923-2025 tillsynsbegäran mail.docx", "A 23923-2025")</f>
        <v/>
      </c>
      <c r="Z25">
        <f>HYPERLINK("https://klasma.github.io/Logging_0115/fåglar/A 23923-2025 prioriterade fågelarter.docx", "A 23923-2025")</f>
        <v/>
      </c>
    </row>
    <row r="26" ht="15" customHeight="1">
      <c r="A26" t="inlineStr">
        <is>
          <t>A 41021-2023</t>
        </is>
      </c>
      <c r="B26" s="1" t="n">
        <v>45173</v>
      </c>
      <c r="C26" s="1" t="n">
        <v>46193</v>
      </c>
      <c r="D26" t="inlineStr">
        <is>
          <t>STOCKHOLMS LÄN</t>
        </is>
      </c>
      <c r="E26" t="inlineStr">
        <is>
          <t>VALLENTUNA</t>
        </is>
      </c>
      <c r="G26" t="n">
        <v>3</v>
      </c>
      <c r="H26" t="n">
        <v>0</v>
      </c>
      <c r="I26" t="n">
        <v>0</v>
      </c>
      <c r="J26" t="n">
        <v>2</v>
      </c>
      <c r="K26" t="n">
        <v>0</v>
      </c>
      <c r="L26" t="n">
        <v>0</v>
      </c>
      <c r="M26" t="n">
        <v>0</v>
      </c>
      <c r="N26" t="n">
        <v>0</v>
      </c>
      <c r="O26" t="n">
        <v>2</v>
      </c>
      <c r="P26" t="n">
        <v>0</v>
      </c>
      <c r="Q26" t="n">
        <v>2</v>
      </c>
      <c r="R26" s="2" t="inlineStr">
        <is>
          <t>Fjällig taggsvamp s.str.
Orange taggsvamp</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63539-2025</t>
        </is>
      </c>
      <c r="B27" s="1" t="n">
        <v>46013</v>
      </c>
      <c r="C27" s="1" t="n">
        <v>46193</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34458-2023</t>
        </is>
      </c>
      <c r="B28" s="1" t="n">
        <v>45139</v>
      </c>
      <c r="C28" s="1" t="n">
        <v>46193</v>
      </c>
      <c r="D28" t="inlineStr">
        <is>
          <t>STOCKHOLMS LÄN</t>
        </is>
      </c>
      <c r="E28" t="inlineStr">
        <is>
          <t>VALLENTUNA</t>
        </is>
      </c>
      <c r="G28" t="n">
        <v>2.5</v>
      </c>
      <c r="H28" t="n">
        <v>0</v>
      </c>
      <c r="I28" t="n">
        <v>0</v>
      </c>
      <c r="J28" t="n">
        <v>1</v>
      </c>
      <c r="K28" t="n">
        <v>0</v>
      </c>
      <c r="L28" t="n">
        <v>0</v>
      </c>
      <c r="M28" t="n">
        <v>0</v>
      </c>
      <c r="N28" t="n">
        <v>0</v>
      </c>
      <c r="O28" t="n">
        <v>1</v>
      </c>
      <c r="P28" t="n">
        <v>0</v>
      </c>
      <c r="Q28" t="n">
        <v>1</v>
      </c>
      <c r="R28" s="2" t="inlineStr">
        <is>
          <t>Motaggsvamp</t>
        </is>
      </c>
      <c r="S28">
        <f>HYPERLINK("https://klasma.github.io/Logging_0115/artfynd/A 34458-2023 artfynd.xlsx", "A 34458-2023")</f>
        <v/>
      </c>
      <c r="T28">
        <f>HYPERLINK("https://klasma.github.io/Logging_0115/kartor/A 34458-2023 karta.png", "A 34458-2023")</f>
        <v/>
      </c>
      <c r="V28">
        <f>HYPERLINK("https://klasma.github.io/Logging_0115/klagomål/A 34458-2023 FSC-klagomål.docx", "A 34458-2023")</f>
        <v/>
      </c>
      <c r="W28">
        <f>HYPERLINK("https://klasma.github.io/Logging_0115/klagomålsmail/A 34458-2023 FSC-klagomål mail.docx", "A 34458-2023")</f>
        <v/>
      </c>
      <c r="X28">
        <f>HYPERLINK("https://klasma.github.io/Logging_0115/tillsyn/A 34458-2023 tillsynsbegäran.docx", "A 34458-2023")</f>
        <v/>
      </c>
      <c r="Y28">
        <f>HYPERLINK("https://klasma.github.io/Logging_0115/tillsynsmail/A 34458-2023 tillsynsbegäran mail.docx", "A 34458-2023")</f>
        <v/>
      </c>
    </row>
    <row r="29" ht="15" customHeight="1">
      <c r="A29" t="inlineStr">
        <is>
          <t>A 8817-2025</t>
        </is>
      </c>
      <c r="B29" s="1" t="n">
        <v>45712</v>
      </c>
      <c r="C29" s="1" t="n">
        <v>46193</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17348-2025</t>
        </is>
      </c>
      <c r="B30" s="1" t="n">
        <v>45756</v>
      </c>
      <c r="C30" s="1" t="n">
        <v>46193</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24068-2024</t>
        </is>
      </c>
      <c r="B31" s="1" t="n">
        <v>45456</v>
      </c>
      <c r="C31" s="1" t="n">
        <v>46193</v>
      </c>
      <c r="D31" t="inlineStr">
        <is>
          <t>STOCKHOLMS LÄN</t>
        </is>
      </c>
      <c r="E31" t="inlineStr">
        <is>
          <t>VALLENTUNA</t>
        </is>
      </c>
      <c r="G31" t="n">
        <v>7.4</v>
      </c>
      <c r="H31" t="n">
        <v>0</v>
      </c>
      <c r="I31" t="n">
        <v>0</v>
      </c>
      <c r="J31" t="n">
        <v>1</v>
      </c>
      <c r="K31" t="n">
        <v>0</v>
      </c>
      <c r="L31" t="n">
        <v>0</v>
      </c>
      <c r="M31" t="n">
        <v>0</v>
      </c>
      <c r="N31" t="n">
        <v>0</v>
      </c>
      <c r="O31" t="n">
        <v>1</v>
      </c>
      <c r="P31" t="n">
        <v>0</v>
      </c>
      <c r="Q31" t="n">
        <v>1</v>
      </c>
      <c r="R31" s="2" t="inlineStr">
        <is>
          <t>Vedskivlav</t>
        </is>
      </c>
      <c r="S31">
        <f>HYPERLINK("https://klasma.github.io/Logging_0115/artfynd/A 24068-2024 artfynd.xlsx", "A 24068-2024")</f>
        <v/>
      </c>
      <c r="T31">
        <f>HYPERLINK("https://klasma.github.io/Logging_0115/kartor/A 24068-2024 karta.png", "A 24068-2024")</f>
        <v/>
      </c>
      <c r="V31">
        <f>HYPERLINK("https://klasma.github.io/Logging_0115/klagomål/A 24068-2024 FSC-klagomål.docx", "A 24068-2024")</f>
        <v/>
      </c>
      <c r="W31">
        <f>HYPERLINK("https://klasma.github.io/Logging_0115/klagomålsmail/A 24068-2024 FSC-klagomål mail.docx", "A 24068-2024")</f>
        <v/>
      </c>
      <c r="X31">
        <f>HYPERLINK("https://klasma.github.io/Logging_0115/tillsyn/A 24068-2024 tillsynsbegäran.docx", "A 24068-2024")</f>
        <v/>
      </c>
      <c r="Y31">
        <f>HYPERLINK("https://klasma.github.io/Logging_0115/tillsynsmail/A 24068-2024 tillsynsbegäran mail.docx", "A 24068-2024")</f>
        <v/>
      </c>
    </row>
    <row r="32" ht="15" customHeight="1">
      <c r="A32" t="inlineStr">
        <is>
          <t>A 22830-2024</t>
        </is>
      </c>
      <c r="B32" s="1" t="n">
        <v>45448</v>
      </c>
      <c r="C32" s="1" t="n">
        <v>46193</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7890-2023</t>
        </is>
      </c>
      <c r="B33" s="1" t="n">
        <v>44973</v>
      </c>
      <c r="C33" s="1" t="n">
        <v>46193</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23009-2024</t>
        </is>
      </c>
      <c r="B34" s="1" t="n">
        <v>45450</v>
      </c>
      <c r="C34" s="1" t="n">
        <v>46193</v>
      </c>
      <c r="D34" t="inlineStr">
        <is>
          <t>STOCKHOLMS LÄN</t>
        </is>
      </c>
      <c r="E34" t="inlineStr">
        <is>
          <t>VALLENTUNA</t>
        </is>
      </c>
      <c r="G34" t="n">
        <v>1.4</v>
      </c>
      <c r="H34" t="n">
        <v>0</v>
      </c>
      <c r="I34" t="n">
        <v>1</v>
      </c>
      <c r="J34" t="n">
        <v>0</v>
      </c>
      <c r="K34" t="n">
        <v>0</v>
      </c>
      <c r="L34" t="n">
        <v>0</v>
      </c>
      <c r="M34" t="n">
        <v>0</v>
      </c>
      <c r="N34" t="n">
        <v>0</v>
      </c>
      <c r="O34" t="n">
        <v>0</v>
      </c>
      <c r="P34" t="n">
        <v>0</v>
      </c>
      <c r="Q34" t="n">
        <v>1</v>
      </c>
      <c r="R34" s="2" t="inlineStr">
        <is>
          <t>Tibast</t>
        </is>
      </c>
      <c r="S34">
        <f>HYPERLINK("https://klasma.github.io/Logging_0115/artfynd/A 23009-2024 artfynd.xlsx", "A 23009-2024")</f>
        <v/>
      </c>
      <c r="T34">
        <f>HYPERLINK("https://klasma.github.io/Logging_0115/kartor/A 23009-2024 karta.png", "A 23009-2024")</f>
        <v/>
      </c>
      <c r="V34">
        <f>HYPERLINK("https://klasma.github.io/Logging_0115/klagomål/A 23009-2024 FSC-klagomål.docx", "A 23009-2024")</f>
        <v/>
      </c>
      <c r="W34">
        <f>HYPERLINK("https://klasma.github.io/Logging_0115/klagomålsmail/A 23009-2024 FSC-klagomål mail.docx", "A 23009-2024")</f>
        <v/>
      </c>
      <c r="X34">
        <f>HYPERLINK("https://klasma.github.io/Logging_0115/tillsyn/A 23009-2024 tillsynsbegäran.docx", "A 23009-2024")</f>
        <v/>
      </c>
      <c r="Y34">
        <f>HYPERLINK("https://klasma.github.io/Logging_0115/tillsynsmail/A 23009-2024 tillsynsbegäran mail.docx", "A 23009-2024")</f>
        <v/>
      </c>
    </row>
    <row r="35" ht="15" customHeight="1">
      <c r="A35" t="inlineStr">
        <is>
          <t>A 20910-2026</t>
        </is>
      </c>
      <c r="B35" s="1" t="n">
        <v>46142</v>
      </c>
      <c r="C35" s="1" t="n">
        <v>46193</v>
      </c>
      <c r="D35" t="inlineStr">
        <is>
          <t>STOCKHOLMS LÄN</t>
        </is>
      </c>
      <c r="E35" t="inlineStr">
        <is>
          <t>VALLENTUNA</t>
        </is>
      </c>
      <c r="G35" t="n">
        <v>1.8</v>
      </c>
      <c r="H35" t="n">
        <v>1</v>
      </c>
      <c r="I35" t="n">
        <v>0</v>
      </c>
      <c r="J35" t="n">
        <v>0</v>
      </c>
      <c r="K35" t="n">
        <v>0</v>
      </c>
      <c r="L35" t="n">
        <v>0</v>
      </c>
      <c r="M35" t="n">
        <v>0</v>
      </c>
      <c r="N35" t="n">
        <v>0</v>
      </c>
      <c r="O35" t="n">
        <v>0</v>
      </c>
      <c r="P35" t="n">
        <v>0</v>
      </c>
      <c r="Q35" t="n">
        <v>1</v>
      </c>
      <c r="R35" s="2" t="inlineStr">
        <is>
          <t>Revlummer</t>
        </is>
      </c>
      <c r="S35">
        <f>HYPERLINK("https://klasma.github.io/Logging_0115/artfynd/A 20910-2026 artfynd.xlsx", "A 20910-2026")</f>
        <v/>
      </c>
      <c r="T35">
        <f>HYPERLINK("https://klasma.github.io/Logging_0115/kartor/A 20910-2026 karta.png", "A 20910-2026")</f>
        <v/>
      </c>
      <c r="V35">
        <f>HYPERLINK("https://klasma.github.io/Logging_0115/klagomål/A 20910-2026 FSC-klagomål.docx", "A 20910-2026")</f>
        <v/>
      </c>
      <c r="W35">
        <f>HYPERLINK("https://klasma.github.io/Logging_0115/klagomålsmail/A 20910-2026 FSC-klagomål mail.docx", "A 20910-2026")</f>
        <v/>
      </c>
      <c r="X35">
        <f>HYPERLINK("https://klasma.github.io/Logging_0115/tillsyn/A 20910-2026 tillsynsbegäran.docx", "A 20910-2026")</f>
        <v/>
      </c>
      <c r="Y35">
        <f>HYPERLINK("https://klasma.github.io/Logging_0115/tillsynsmail/A 20910-2026 tillsynsbegäran mail.docx", "A 20910-2026")</f>
        <v/>
      </c>
    </row>
    <row r="36" ht="15" customHeight="1">
      <c r="A36" t="inlineStr">
        <is>
          <t>A 20914-2026</t>
        </is>
      </c>
      <c r="B36" s="1" t="n">
        <v>46142</v>
      </c>
      <c r="C36" s="1" t="n">
        <v>46193</v>
      </c>
      <c r="D36" t="inlineStr">
        <is>
          <t>STOCKHOLMS LÄN</t>
        </is>
      </c>
      <c r="E36" t="inlineStr">
        <is>
          <t>VALLENTUNA</t>
        </is>
      </c>
      <c r="G36" t="n">
        <v>1.1</v>
      </c>
      <c r="H36" t="n">
        <v>0</v>
      </c>
      <c r="I36" t="n">
        <v>0</v>
      </c>
      <c r="J36" t="n">
        <v>1</v>
      </c>
      <c r="K36" t="n">
        <v>0</v>
      </c>
      <c r="L36" t="n">
        <v>0</v>
      </c>
      <c r="M36" t="n">
        <v>0</v>
      </c>
      <c r="N36" t="n">
        <v>0</v>
      </c>
      <c r="O36" t="n">
        <v>1</v>
      </c>
      <c r="P36" t="n">
        <v>0</v>
      </c>
      <c r="Q36" t="n">
        <v>1</v>
      </c>
      <c r="R36" s="2" t="inlineStr">
        <is>
          <t>Tallticka</t>
        </is>
      </c>
      <c r="S36">
        <f>HYPERLINK("https://klasma.github.io/Logging_0115/artfynd/A 20914-2026 artfynd.xlsx", "A 20914-2026")</f>
        <v/>
      </c>
      <c r="T36">
        <f>HYPERLINK("https://klasma.github.io/Logging_0115/kartor/A 20914-2026 karta.png", "A 20914-2026")</f>
        <v/>
      </c>
      <c r="V36">
        <f>HYPERLINK("https://klasma.github.io/Logging_0115/klagomål/A 20914-2026 FSC-klagomål.docx", "A 20914-2026")</f>
        <v/>
      </c>
      <c r="W36">
        <f>HYPERLINK("https://klasma.github.io/Logging_0115/klagomålsmail/A 20914-2026 FSC-klagomål mail.docx", "A 20914-2026")</f>
        <v/>
      </c>
      <c r="X36">
        <f>HYPERLINK("https://klasma.github.io/Logging_0115/tillsyn/A 20914-2026 tillsynsbegäran.docx", "A 20914-2026")</f>
        <v/>
      </c>
      <c r="Y36">
        <f>HYPERLINK("https://klasma.github.io/Logging_0115/tillsynsmail/A 20914-2026 tillsynsbegäran mail.docx", "A 20914-2026")</f>
        <v/>
      </c>
    </row>
    <row r="37" ht="15" customHeight="1">
      <c r="A37" t="inlineStr">
        <is>
          <t>A 54481-2025</t>
        </is>
      </c>
      <c r="B37" s="1" t="n">
        <v>45965</v>
      </c>
      <c r="C37" s="1" t="n">
        <v>46193</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54460-2025</t>
        </is>
      </c>
      <c r="B38" s="1" t="n">
        <v>45965</v>
      </c>
      <c r="C38" s="1" t="n">
        <v>46193</v>
      </c>
      <c r="D38" t="inlineStr">
        <is>
          <t>STOCKHOLMS LÄN</t>
        </is>
      </c>
      <c r="E38" t="inlineStr">
        <is>
          <t>VALLENTUNA</t>
        </is>
      </c>
      <c r="G38" t="n">
        <v>22.9</v>
      </c>
      <c r="H38" t="n">
        <v>0</v>
      </c>
      <c r="I38" t="n">
        <v>0</v>
      </c>
      <c r="J38" t="n">
        <v>1</v>
      </c>
      <c r="K38" t="n">
        <v>0</v>
      </c>
      <c r="L38" t="n">
        <v>0</v>
      </c>
      <c r="M38" t="n">
        <v>0</v>
      </c>
      <c r="N38" t="n">
        <v>0</v>
      </c>
      <c r="O38" t="n">
        <v>1</v>
      </c>
      <c r="P38" t="n">
        <v>0</v>
      </c>
      <c r="Q38" t="n">
        <v>1</v>
      </c>
      <c r="R38" s="2" t="inlineStr">
        <is>
          <t>Gullklöver</t>
        </is>
      </c>
      <c r="S38">
        <f>HYPERLINK("https://klasma.github.io/Logging_0115/artfynd/A 54460-2025 artfynd.xlsx", "A 54460-2025")</f>
        <v/>
      </c>
      <c r="T38">
        <f>HYPERLINK("https://klasma.github.io/Logging_0115/kartor/A 54460-2025 karta.png", "A 54460-2025")</f>
        <v/>
      </c>
      <c r="V38">
        <f>HYPERLINK("https://klasma.github.io/Logging_0115/klagomål/A 54460-2025 FSC-klagomål.docx", "A 54460-2025")</f>
        <v/>
      </c>
      <c r="W38">
        <f>HYPERLINK("https://klasma.github.io/Logging_0115/klagomålsmail/A 54460-2025 FSC-klagomål mail.docx", "A 54460-2025")</f>
        <v/>
      </c>
      <c r="X38">
        <f>HYPERLINK("https://klasma.github.io/Logging_0115/tillsyn/A 54460-2025 tillsynsbegäran.docx", "A 54460-2025")</f>
        <v/>
      </c>
      <c r="Y38">
        <f>HYPERLINK("https://klasma.github.io/Logging_0115/tillsynsmail/A 54460-2025 tillsynsbegäran mail.docx", "A 54460-2025")</f>
        <v/>
      </c>
    </row>
    <row r="39" ht="15" customHeight="1">
      <c r="A39" t="inlineStr">
        <is>
          <t>A 21-2022</t>
        </is>
      </c>
      <c r="B39" s="1" t="n">
        <v>44560</v>
      </c>
      <c r="C39" s="1" t="n">
        <v>46193</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46193</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12396-2026</t>
        </is>
      </c>
      <c r="B41" s="1" t="n">
        <v>46090</v>
      </c>
      <c r="C41" s="1" t="n">
        <v>46193</v>
      </c>
      <c r="D41" t="inlineStr">
        <is>
          <t>STOCKHOLMS LÄN</t>
        </is>
      </c>
      <c r="E41" t="inlineStr">
        <is>
          <t>VALLENTUNA</t>
        </is>
      </c>
      <c r="G41" t="n">
        <v>3</v>
      </c>
      <c r="H41" t="n">
        <v>1</v>
      </c>
      <c r="I41" t="n">
        <v>0</v>
      </c>
      <c r="J41" t="n">
        <v>0</v>
      </c>
      <c r="K41" t="n">
        <v>0</v>
      </c>
      <c r="L41" t="n">
        <v>0</v>
      </c>
      <c r="M41" t="n">
        <v>0</v>
      </c>
      <c r="N41" t="n">
        <v>0</v>
      </c>
      <c r="O41" t="n">
        <v>0</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12401-2026</t>
        </is>
      </c>
      <c r="B42" s="1" t="n">
        <v>46090</v>
      </c>
      <c r="C42" s="1" t="n">
        <v>46193</v>
      </c>
      <c r="D42" t="inlineStr">
        <is>
          <t>STOCKHOLMS LÄN</t>
        </is>
      </c>
      <c r="E42" t="inlineStr">
        <is>
          <t>VALLENTUNA</t>
        </is>
      </c>
      <c r="G42" t="n">
        <v>5.9</v>
      </c>
      <c r="H42" t="n">
        <v>1</v>
      </c>
      <c r="I42" t="n">
        <v>0</v>
      </c>
      <c r="J42" t="n">
        <v>0</v>
      </c>
      <c r="K42" t="n">
        <v>0</v>
      </c>
      <c r="L42" t="n">
        <v>0</v>
      </c>
      <c r="M42" t="n">
        <v>0</v>
      </c>
      <c r="N42" t="n">
        <v>0</v>
      </c>
      <c r="O42" t="n">
        <v>0</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8089-2022</t>
        </is>
      </c>
      <c r="B43" s="1" t="n">
        <v>44609</v>
      </c>
      <c r="C43" s="1" t="n">
        <v>46193</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46193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46193</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46193</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46193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46193</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46193</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46193</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46193</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46193</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12234-2022</t>
        </is>
      </c>
      <c r="B53" s="1" t="n">
        <v>44637</v>
      </c>
      <c r="C53" s="1" t="n">
        <v>46193</v>
      </c>
      <c r="D53" t="inlineStr">
        <is>
          <t>STOCKHOLMS LÄN</t>
        </is>
      </c>
      <c r="E53" t="inlineStr">
        <is>
          <t>VALLENTUNA</t>
        </is>
      </c>
      <c r="G53" t="n">
        <v>2.4</v>
      </c>
      <c r="H53" t="n">
        <v>0</v>
      </c>
      <c r="I53" t="n">
        <v>0</v>
      </c>
      <c r="J53" t="n">
        <v>0</v>
      </c>
      <c r="K53" t="n">
        <v>0</v>
      </c>
      <c r="L53" t="n">
        <v>0</v>
      </c>
      <c r="M53" t="n">
        <v>0</v>
      </c>
      <c r="N53" t="n">
        <v>0</v>
      </c>
      <c r="O53" t="n">
        <v>0</v>
      </c>
      <c r="P53" t="n">
        <v>0</v>
      </c>
      <c r="Q53" t="n">
        <v>0</v>
      </c>
      <c r="R53" s="2" t="inlineStr"/>
    </row>
    <row r="54" ht="15" customHeight="1">
      <c r="A54" t="inlineStr">
        <is>
          <t>A 21614-2022</t>
        </is>
      </c>
      <c r="B54" s="1" t="n">
        <v>44706</v>
      </c>
      <c r="C54" s="1" t="n">
        <v>46193</v>
      </c>
      <c r="D54" t="inlineStr">
        <is>
          <t>STOCKHOLMS LÄN</t>
        </is>
      </c>
      <c r="E54" t="inlineStr">
        <is>
          <t>VALLENTUNA</t>
        </is>
      </c>
      <c r="G54" t="n">
        <v>4</v>
      </c>
      <c r="H54" t="n">
        <v>0</v>
      </c>
      <c r="I54" t="n">
        <v>0</v>
      </c>
      <c r="J54" t="n">
        <v>0</v>
      </c>
      <c r="K54" t="n">
        <v>0</v>
      </c>
      <c r="L54" t="n">
        <v>0</v>
      </c>
      <c r="M54" t="n">
        <v>0</v>
      </c>
      <c r="N54" t="n">
        <v>0</v>
      </c>
      <c r="O54" t="n">
        <v>0</v>
      </c>
      <c r="P54" t="n">
        <v>0</v>
      </c>
      <c r="Q54" t="n">
        <v>0</v>
      </c>
      <c r="R54" s="2" t="inlineStr"/>
    </row>
    <row r="55" ht="15" customHeight="1">
      <c r="A55" t="inlineStr">
        <is>
          <t>A 12585-2023</t>
        </is>
      </c>
      <c r="B55" s="1" t="n">
        <v>45000</v>
      </c>
      <c r="C55" s="1" t="n">
        <v>46193</v>
      </c>
      <c r="D55" t="inlineStr">
        <is>
          <t>STOCKHOLMS LÄN</t>
        </is>
      </c>
      <c r="E55" t="inlineStr">
        <is>
          <t>VALLENTUNA</t>
        </is>
      </c>
      <c r="G55" t="n">
        <v>3.7</v>
      </c>
      <c r="H55" t="n">
        <v>0</v>
      </c>
      <c r="I55" t="n">
        <v>0</v>
      </c>
      <c r="J55" t="n">
        <v>0</v>
      </c>
      <c r="K55" t="n">
        <v>0</v>
      </c>
      <c r="L55" t="n">
        <v>0</v>
      </c>
      <c r="M55" t="n">
        <v>0</v>
      </c>
      <c r="N55" t="n">
        <v>0</v>
      </c>
      <c r="O55" t="n">
        <v>0</v>
      </c>
      <c r="P55" t="n">
        <v>0</v>
      </c>
      <c r="Q55" t="n">
        <v>0</v>
      </c>
      <c r="R55" s="2" t="inlineStr"/>
    </row>
    <row r="56" ht="15" customHeight="1">
      <c r="A56" t="inlineStr">
        <is>
          <t>A 8787-2024</t>
        </is>
      </c>
      <c r="B56" s="1" t="n">
        <v>45356</v>
      </c>
      <c r="C56" s="1" t="n">
        <v>46193</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48068-2021</t>
        </is>
      </c>
      <c r="B57" s="1" t="n">
        <v>44449</v>
      </c>
      <c r="C57" s="1" t="n">
        <v>46193</v>
      </c>
      <c r="D57" t="inlineStr">
        <is>
          <t>STOCKHOLMS LÄN</t>
        </is>
      </c>
      <c r="E57" t="inlineStr">
        <is>
          <t>VALLENTUNA</t>
        </is>
      </c>
      <c r="G57" t="n">
        <v>1.3</v>
      </c>
      <c r="H57" t="n">
        <v>0</v>
      </c>
      <c r="I57" t="n">
        <v>0</v>
      </c>
      <c r="J57" t="n">
        <v>0</v>
      </c>
      <c r="K57" t="n">
        <v>0</v>
      </c>
      <c r="L57" t="n">
        <v>0</v>
      </c>
      <c r="M57" t="n">
        <v>0</v>
      </c>
      <c r="N57" t="n">
        <v>0</v>
      </c>
      <c r="O57" t="n">
        <v>0</v>
      </c>
      <c r="P57" t="n">
        <v>0</v>
      </c>
      <c r="Q57" t="n">
        <v>0</v>
      </c>
      <c r="R57" s="2" t="inlineStr"/>
    </row>
    <row r="58" ht="15" customHeight="1">
      <c r="A58" t="inlineStr">
        <is>
          <t>A 3937-2022</t>
        </is>
      </c>
      <c r="B58" s="1" t="n">
        <v>44587</v>
      </c>
      <c r="C58" s="1" t="n">
        <v>46193</v>
      </c>
      <c r="D58" t="inlineStr">
        <is>
          <t>STOCKHOLMS LÄN</t>
        </is>
      </c>
      <c r="E58" t="inlineStr">
        <is>
          <t>VALLENTUNA</t>
        </is>
      </c>
      <c r="G58" t="n">
        <v>6.6</v>
      </c>
      <c r="H58" t="n">
        <v>0</v>
      </c>
      <c r="I58" t="n">
        <v>0</v>
      </c>
      <c r="J58" t="n">
        <v>0</v>
      </c>
      <c r="K58" t="n">
        <v>0</v>
      </c>
      <c r="L58" t="n">
        <v>0</v>
      </c>
      <c r="M58" t="n">
        <v>0</v>
      </c>
      <c r="N58" t="n">
        <v>0</v>
      </c>
      <c r="O58" t="n">
        <v>0</v>
      </c>
      <c r="P58" t="n">
        <v>0</v>
      </c>
      <c r="Q58" t="n">
        <v>0</v>
      </c>
      <c r="R58" s="2" t="inlineStr"/>
    </row>
    <row r="59" ht="15" customHeight="1">
      <c r="A59" t="inlineStr">
        <is>
          <t>A 60818-2023</t>
        </is>
      </c>
      <c r="B59" s="1" t="n">
        <v>45259</v>
      </c>
      <c r="C59" s="1" t="n">
        <v>46193</v>
      </c>
      <c r="D59" t="inlineStr">
        <is>
          <t>STOCKHOLMS LÄN</t>
        </is>
      </c>
      <c r="E59" t="inlineStr">
        <is>
          <t>VALLENTUNA</t>
        </is>
      </c>
      <c r="G59" t="n">
        <v>9.4</v>
      </c>
      <c r="H59" t="n">
        <v>0</v>
      </c>
      <c r="I59" t="n">
        <v>0</v>
      </c>
      <c r="J59" t="n">
        <v>0</v>
      </c>
      <c r="K59" t="n">
        <v>0</v>
      </c>
      <c r="L59" t="n">
        <v>0</v>
      </c>
      <c r="M59" t="n">
        <v>0</v>
      </c>
      <c r="N59" t="n">
        <v>0</v>
      </c>
      <c r="O59" t="n">
        <v>0</v>
      </c>
      <c r="P59" t="n">
        <v>0</v>
      </c>
      <c r="Q59" t="n">
        <v>0</v>
      </c>
      <c r="R59" s="2" t="inlineStr"/>
    </row>
    <row r="60" ht="15" customHeight="1">
      <c r="A60" t="inlineStr">
        <is>
          <t>A 42624-2021</t>
        </is>
      </c>
      <c r="B60" s="1" t="n">
        <v>44428</v>
      </c>
      <c r="C60" s="1" t="n">
        <v>46193</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7264-2022</t>
        </is>
      </c>
      <c r="B61" s="1" t="n">
        <v>44606</v>
      </c>
      <c r="C61" s="1" t="n">
        <v>46193</v>
      </c>
      <c r="D61" t="inlineStr">
        <is>
          <t>STOCKHOLMS LÄN</t>
        </is>
      </c>
      <c r="E61" t="inlineStr">
        <is>
          <t>VALLENTUNA</t>
        </is>
      </c>
      <c r="G61" t="n">
        <v>2.4</v>
      </c>
      <c r="H61" t="n">
        <v>0</v>
      </c>
      <c r="I61" t="n">
        <v>0</v>
      </c>
      <c r="J61" t="n">
        <v>0</v>
      </c>
      <c r="K61" t="n">
        <v>0</v>
      </c>
      <c r="L61" t="n">
        <v>0</v>
      </c>
      <c r="M61" t="n">
        <v>0</v>
      </c>
      <c r="N61" t="n">
        <v>0</v>
      </c>
      <c r="O61" t="n">
        <v>0</v>
      </c>
      <c r="P61" t="n">
        <v>0</v>
      </c>
      <c r="Q61" t="n">
        <v>0</v>
      </c>
      <c r="R61" s="2" t="inlineStr"/>
    </row>
    <row r="62" ht="15" customHeight="1">
      <c r="A62" t="inlineStr">
        <is>
          <t>A 14725-2022</t>
        </is>
      </c>
      <c r="B62" s="1" t="n">
        <v>44655</v>
      </c>
      <c r="C62" s="1" t="n">
        <v>46193</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46193</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34441-2023</t>
        </is>
      </c>
      <c r="B64" s="1" t="n">
        <v>45139</v>
      </c>
      <c r="C64" s="1" t="n">
        <v>46193</v>
      </c>
      <c r="D64" t="inlineStr">
        <is>
          <t>STOCKHOLMS LÄN</t>
        </is>
      </c>
      <c r="E64" t="inlineStr">
        <is>
          <t>VALLENTUNA</t>
        </is>
      </c>
      <c r="G64" t="n">
        <v>1.6</v>
      </c>
      <c r="H64" t="n">
        <v>0</v>
      </c>
      <c r="I64" t="n">
        <v>0</v>
      </c>
      <c r="J64" t="n">
        <v>0</v>
      </c>
      <c r="K64" t="n">
        <v>0</v>
      </c>
      <c r="L64" t="n">
        <v>0</v>
      </c>
      <c r="M64" t="n">
        <v>0</v>
      </c>
      <c r="N64" t="n">
        <v>0</v>
      </c>
      <c r="O64" t="n">
        <v>0</v>
      </c>
      <c r="P64" t="n">
        <v>0</v>
      </c>
      <c r="Q64" t="n">
        <v>0</v>
      </c>
      <c r="R64" s="2" t="inlineStr"/>
    </row>
    <row r="65" ht="15" customHeight="1">
      <c r="A65" t="inlineStr">
        <is>
          <t>A 34445-2023</t>
        </is>
      </c>
      <c r="B65" s="1" t="n">
        <v>45139</v>
      </c>
      <c r="C65" s="1" t="n">
        <v>46193</v>
      </c>
      <c r="D65" t="inlineStr">
        <is>
          <t>STOCKHOLMS LÄN</t>
        </is>
      </c>
      <c r="E65" t="inlineStr">
        <is>
          <t>VALLENTUNA</t>
        </is>
      </c>
      <c r="G65" t="n">
        <v>0.9</v>
      </c>
      <c r="H65" t="n">
        <v>0</v>
      </c>
      <c r="I65" t="n">
        <v>0</v>
      </c>
      <c r="J65" t="n">
        <v>0</v>
      </c>
      <c r="K65" t="n">
        <v>0</v>
      </c>
      <c r="L65" t="n">
        <v>0</v>
      </c>
      <c r="M65" t="n">
        <v>0</v>
      </c>
      <c r="N65" t="n">
        <v>0</v>
      </c>
      <c r="O65" t="n">
        <v>0</v>
      </c>
      <c r="P65" t="n">
        <v>0</v>
      </c>
      <c r="Q65" t="n">
        <v>0</v>
      </c>
      <c r="R65" s="2" t="inlineStr"/>
    </row>
    <row r="66" ht="15" customHeight="1">
      <c r="A66" t="inlineStr">
        <is>
          <t>A 23986-2023</t>
        </is>
      </c>
      <c r="B66" s="1" t="n">
        <v>45078</v>
      </c>
      <c r="C66" s="1" t="n">
        <v>46193</v>
      </c>
      <c r="D66" t="inlineStr">
        <is>
          <t>STOCKHOLMS LÄN</t>
        </is>
      </c>
      <c r="E66" t="inlineStr">
        <is>
          <t>VALLENTUNA</t>
        </is>
      </c>
      <c r="F66" t="inlineStr">
        <is>
          <t>Kyrkan</t>
        </is>
      </c>
      <c r="G66" t="n">
        <v>5.7</v>
      </c>
      <c r="H66" t="n">
        <v>0</v>
      </c>
      <c r="I66" t="n">
        <v>0</v>
      </c>
      <c r="J66" t="n">
        <v>0</v>
      </c>
      <c r="K66" t="n">
        <v>0</v>
      </c>
      <c r="L66" t="n">
        <v>0</v>
      </c>
      <c r="M66" t="n">
        <v>0</v>
      </c>
      <c r="N66" t="n">
        <v>0</v>
      </c>
      <c r="O66" t="n">
        <v>0</v>
      </c>
      <c r="P66" t="n">
        <v>0</v>
      </c>
      <c r="Q66" t="n">
        <v>0</v>
      </c>
      <c r="R66" s="2" t="inlineStr"/>
    </row>
    <row r="67" ht="15" customHeight="1">
      <c r="A67" t="inlineStr">
        <is>
          <t>A 19356-2025</t>
        </is>
      </c>
      <c r="B67" s="1" t="n">
        <v>45769</v>
      </c>
      <c r="C67" s="1" t="n">
        <v>46193</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46193</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46193</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8077-2022</t>
        </is>
      </c>
      <c r="B70" s="1" t="n">
        <v>44609</v>
      </c>
      <c r="C70" s="1" t="n">
        <v>46193</v>
      </c>
      <c r="D70" t="inlineStr">
        <is>
          <t>STOCKHOLMS LÄN</t>
        </is>
      </c>
      <c r="E70" t="inlineStr">
        <is>
          <t>VALLENTUNA</t>
        </is>
      </c>
      <c r="G70" t="n">
        <v>1.3</v>
      </c>
      <c r="H70" t="n">
        <v>0</v>
      </c>
      <c r="I70" t="n">
        <v>0</v>
      </c>
      <c r="J70" t="n">
        <v>0</v>
      </c>
      <c r="K70" t="n">
        <v>0</v>
      </c>
      <c r="L70" t="n">
        <v>0</v>
      </c>
      <c r="M70" t="n">
        <v>0</v>
      </c>
      <c r="N70" t="n">
        <v>0</v>
      </c>
      <c r="O70" t="n">
        <v>0</v>
      </c>
      <c r="P70" t="n">
        <v>0</v>
      </c>
      <c r="Q70" t="n">
        <v>0</v>
      </c>
      <c r="R70" s="2" t="inlineStr"/>
    </row>
    <row r="71" ht="15" customHeight="1">
      <c r="A71" t="inlineStr">
        <is>
          <t>A 13836-2022</t>
        </is>
      </c>
      <c r="B71" s="1" t="n">
        <v>44649</v>
      </c>
      <c r="C71" s="1" t="n">
        <v>46193</v>
      </c>
      <c r="D71" t="inlineStr">
        <is>
          <t>STOCKHOLMS LÄN</t>
        </is>
      </c>
      <c r="E71" t="inlineStr">
        <is>
          <t>VALLENTUNA</t>
        </is>
      </c>
      <c r="G71" t="n">
        <v>3.5</v>
      </c>
      <c r="H71" t="n">
        <v>0</v>
      </c>
      <c r="I71" t="n">
        <v>0</v>
      </c>
      <c r="J71" t="n">
        <v>0</v>
      </c>
      <c r="K71" t="n">
        <v>0</v>
      </c>
      <c r="L71" t="n">
        <v>0</v>
      </c>
      <c r="M71" t="n">
        <v>0</v>
      </c>
      <c r="N71" t="n">
        <v>0</v>
      </c>
      <c r="O71" t="n">
        <v>0</v>
      </c>
      <c r="P71" t="n">
        <v>0</v>
      </c>
      <c r="Q71" t="n">
        <v>0</v>
      </c>
      <c r="R71" s="2" t="inlineStr"/>
    </row>
    <row r="72" ht="15" customHeight="1">
      <c r="A72" t="inlineStr">
        <is>
          <t>A 3078-2023</t>
        </is>
      </c>
      <c r="B72" s="1" t="n">
        <v>44946</v>
      </c>
      <c r="C72" s="1" t="n">
        <v>46193</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46193</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21765-2023</t>
        </is>
      </c>
      <c r="B74" s="1" t="n">
        <v>45064</v>
      </c>
      <c r="C74" s="1" t="n">
        <v>46193</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46193</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45499-2023</t>
        </is>
      </c>
      <c r="B76" s="1" t="n">
        <v>45194</v>
      </c>
      <c r="C76" s="1" t="n">
        <v>46193</v>
      </c>
      <c r="D76" t="inlineStr">
        <is>
          <t>STOCKHOLMS LÄN</t>
        </is>
      </c>
      <c r="E76" t="inlineStr">
        <is>
          <t>VALLENTUNA</t>
        </is>
      </c>
      <c r="G76" t="n">
        <v>2.5</v>
      </c>
      <c r="H76" t="n">
        <v>0</v>
      </c>
      <c r="I76" t="n">
        <v>0</v>
      </c>
      <c r="J76" t="n">
        <v>0</v>
      </c>
      <c r="K76" t="n">
        <v>0</v>
      </c>
      <c r="L76" t="n">
        <v>0</v>
      </c>
      <c r="M76" t="n">
        <v>0</v>
      </c>
      <c r="N76" t="n">
        <v>0</v>
      </c>
      <c r="O76" t="n">
        <v>0</v>
      </c>
      <c r="P76" t="n">
        <v>0</v>
      </c>
      <c r="Q76" t="n">
        <v>0</v>
      </c>
      <c r="R76" s="2" t="inlineStr"/>
    </row>
    <row r="77" ht="15" customHeight="1">
      <c r="A77" t="inlineStr">
        <is>
          <t>A 60795-2023</t>
        </is>
      </c>
      <c r="B77" s="1" t="n">
        <v>45260</v>
      </c>
      <c r="C77" s="1" t="n">
        <v>46193</v>
      </c>
      <c r="D77" t="inlineStr">
        <is>
          <t>STOCKHOLMS LÄN</t>
        </is>
      </c>
      <c r="E77" t="inlineStr">
        <is>
          <t>VALLENTUNA</t>
        </is>
      </c>
      <c r="G77" t="n">
        <v>2.2</v>
      </c>
      <c r="H77" t="n">
        <v>0</v>
      </c>
      <c r="I77" t="n">
        <v>0</v>
      </c>
      <c r="J77" t="n">
        <v>0</v>
      </c>
      <c r="K77" t="n">
        <v>0</v>
      </c>
      <c r="L77" t="n">
        <v>0</v>
      </c>
      <c r="M77" t="n">
        <v>0</v>
      </c>
      <c r="N77" t="n">
        <v>0</v>
      </c>
      <c r="O77" t="n">
        <v>0</v>
      </c>
      <c r="P77" t="n">
        <v>0</v>
      </c>
      <c r="Q77" t="n">
        <v>0</v>
      </c>
      <c r="R77" s="2" t="inlineStr"/>
    </row>
    <row r="78" ht="15" customHeight="1">
      <c r="A78" t="inlineStr">
        <is>
          <t>A 14782-2024</t>
        </is>
      </c>
      <c r="B78" s="1" t="n">
        <v>45397</v>
      </c>
      <c r="C78" s="1" t="n">
        <v>46193</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1385-2024</t>
        </is>
      </c>
      <c r="B79" s="1" t="n">
        <v>45303</v>
      </c>
      <c r="C79" s="1" t="n">
        <v>46193</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14775-2024</t>
        </is>
      </c>
      <c r="B80" s="1" t="n">
        <v>45397</v>
      </c>
      <c r="C80" s="1" t="n">
        <v>46193</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14480-2024</t>
        </is>
      </c>
      <c r="B81" s="1" t="n">
        <v>45394</v>
      </c>
      <c r="C81" s="1" t="n">
        <v>46193</v>
      </c>
      <c r="D81" t="inlineStr">
        <is>
          <t>STOCKHOLMS LÄN</t>
        </is>
      </c>
      <c r="E81" t="inlineStr">
        <is>
          <t>VALLENTUNA</t>
        </is>
      </c>
      <c r="G81" t="n">
        <v>1.8</v>
      </c>
      <c r="H81" t="n">
        <v>0</v>
      </c>
      <c r="I81" t="n">
        <v>0</v>
      </c>
      <c r="J81" t="n">
        <v>0</v>
      </c>
      <c r="K81" t="n">
        <v>0</v>
      </c>
      <c r="L81" t="n">
        <v>0</v>
      </c>
      <c r="M81" t="n">
        <v>0</v>
      </c>
      <c r="N81" t="n">
        <v>0</v>
      </c>
      <c r="O81" t="n">
        <v>0</v>
      </c>
      <c r="P81" t="n">
        <v>0</v>
      </c>
      <c r="Q81" t="n">
        <v>0</v>
      </c>
      <c r="R81" s="2" t="inlineStr"/>
    </row>
    <row r="82" ht="15" customHeight="1">
      <c r="A82" t="inlineStr">
        <is>
          <t>A 17411-2023</t>
        </is>
      </c>
      <c r="B82" s="1" t="n">
        <v>45035</v>
      </c>
      <c r="C82" s="1" t="n">
        <v>46193</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61442-2024</t>
        </is>
      </c>
      <c r="B83" s="1" t="n">
        <v>45646</v>
      </c>
      <c r="C83" s="1" t="n">
        <v>46193</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38102-2024</t>
        </is>
      </c>
      <c r="B84" s="1" t="n">
        <v>45545</v>
      </c>
      <c r="C84" s="1" t="n">
        <v>46193</v>
      </c>
      <c r="D84" t="inlineStr">
        <is>
          <t>STOCKHOLMS LÄN</t>
        </is>
      </c>
      <c r="E84" t="inlineStr">
        <is>
          <t>VALLENTUNA</t>
        </is>
      </c>
      <c r="G84" t="n">
        <v>3.2</v>
      </c>
      <c r="H84" t="n">
        <v>0</v>
      </c>
      <c r="I84" t="n">
        <v>0</v>
      </c>
      <c r="J84" t="n">
        <v>0</v>
      </c>
      <c r="K84" t="n">
        <v>0</v>
      </c>
      <c r="L84" t="n">
        <v>0</v>
      </c>
      <c r="M84" t="n">
        <v>0</v>
      </c>
      <c r="N84" t="n">
        <v>0</v>
      </c>
      <c r="O84" t="n">
        <v>0</v>
      </c>
      <c r="P84" t="n">
        <v>0</v>
      </c>
      <c r="Q84" t="n">
        <v>0</v>
      </c>
      <c r="R84" s="2" t="inlineStr"/>
    </row>
    <row r="85" ht="15" customHeight="1">
      <c r="A85" t="inlineStr">
        <is>
          <t>A 17340-2025</t>
        </is>
      </c>
      <c r="B85" s="1" t="n">
        <v>45756</v>
      </c>
      <c r="C85" s="1" t="n">
        <v>46193</v>
      </c>
      <c r="D85" t="inlineStr">
        <is>
          <t>STOCKHOLMS LÄN</t>
        </is>
      </c>
      <c r="E85" t="inlineStr">
        <is>
          <t>VALLENTUNA</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19503-2023</t>
        </is>
      </c>
      <c r="B86" s="1" t="n">
        <v>45050</v>
      </c>
      <c r="C86" s="1" t="n">
        <v>46193</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20791-2025</t>
        </is>
      </c>
      <c r="B87" s="1" t="n">
        <v>45776</v>
      </c>
      <c r="C87" s="1" t="n">
        <v>46193</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10073-2024</t>
        </is>
      </c>
      <c r="B88" s="1" t="n">
        <v>45364</v>
      </c>
      <c r="C88" s="1" t="n">
        <v>46193</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12621-2024</t>
        </is>
      </c>
      <c r="B89" s="1" t="n">
        <v>45383</v>
      </c>
      <c r="C89" s="1" t="n">
        <v>46193</v>
      </c>
      <c r="D89" t="inlineStr">
        <is>
          <t>STOCKHOLMS LÄN</t>
        </is>
      </c>
      <c r="E89" t="inlineStr">
        <is>
          <t>VALLENTUNA</t>
        </is>
      </c>
      <c r="G89" t="n">
        <v>4.4</v>
      </c>
      <c r="H89" t="n">
        <v>0</v>
      </c>
      <c r="I89" t="n">
        <v>0</v>
      </c>
      <c r="J89" t="n">
        <v>0</v>
      </c>
      <c r="K89" t="n">
        <v>0</v>
      </c>
      <c r="L89" t="n">
        <v>0</v>
      </c>
      <c r="M89" t="n">
        <v>0</v>
      </c>
      <c r="N89" t="n">
        <v>0</v>
      </c>
      <c r="O89" t="n">
        <v>0</v>
      </c>
      <c r="P89" t="n">
        <v>0</v>
      </c>
      <c r="Q89" t="n">
        <v>0</v>
      </c>
      <c r="R89" s="2" t="inlineStr"/>
    </row>
    <row r="90" ht="15" customHeight="1">
      <c r="A90" t="inlineStr">
        <is>
          <t>A 46381-2023</t>
        </is>
      </c>
      <c r="B90" s="1" t="n">
        <v>45193</v>
      </c>
      <c r="C90" s="1" t="n">
        <v>46193</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48014-2025</t>
        </is>
      </c>
      <c r="B91" s="1" t="n">
        <v>45932</v>
      </c>
      <c r="C91" s="1" t="n">
        <v>46193</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61027-2023</t>
        </is>
      </c>
      <c r="B92" s="1" t="n">
        <v>45261</v>
      </c>
      <c r="C92" s="1" t="n">
        <v>46193</v>
      </c>
      <c r="D92" t="inlineStr">
        <is>
          <t>STOCKHOLMS LÄN</t>
        </is>
      </c>
      <c r="E92" t="inlineStr">
        <is>
          <t>VALLENTUNA</t>
        </is>
      </c>
      <c r="G92" t="n">
        <v>7.1</v>
      </c>
      <c r="H92" t="n">
        <v>0</v>
      </c>
      <c r="I92" t="n">
        <v>0</v>
      </c>
      <c r="J92" t="n">
        <v>0</v>
      </c>
      <c r="K92" t="n">
        <v>0</v>
      </c>
      <c r="L92" t="n">
        <v>0</v>
      </c>
      <c r="M92" t="n">
        <v>0</v>
      </c>
      <c r="N92" t="n">
        <v>0</v>
      </c>
      <c r="O92" t="n">
        <v>0</v>
      </c>
      <c r="P92" t="n">
        <v>0</v>
      </c>
      <c r="Q92" t="n">
        <v>0</v>
      </c>
      <c r="R92" s="2" t="inlineStr"/>
    </row>
    <row r="93" ht="15" customHeight="1">
      <c r="A93" t="inlineStr">
        <is>
          <t>A 48038-2025</t>
        </is>
      </c>
      <c r="B93" s="1" t="n">
        <v>45932</v>
      </c>
      <c r="C93" s="1" t="n">
        <v>46193</v>
      </c>
      <c r="D93" t="inlineStr">
        <is>
          <t>STOCKHOLMS LÄN</t>
        </is>
      </c>
      <c r="E93" t="inlineStr">
        <is>
          <t>VALLENTUNA</t>
        </is>
      </c>
      <c r="G93" t="n">
        <v>0.5</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46193</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46193</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v>
      </c>
      <c r="C96" s="1" t="n">
        <v>46193</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46193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46193</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24740-2026</t>
        </is>
      </c>
      <c r="B99" s="1" t="n">
        <v>46171</v>
      </c>
      <c r="C99" s="1" t="n">
        <v>46193</v>
      </c>
      <c r="D99" t="inlineStr">
        <is>
          <t>STOCKHOLMS LÄN</t>
        </is>
      </c>
      <c r="E99" t="inlineStr">
        <is>
          <t>VALLENTUNA</t>
        </is>
      </c>
      <c r="F99" t="inlineStr">
        <is>
          <t>Övriga Aktiebolag</t>
        </is>
      </c>
      <c r="G99" t="n">
        <v>5.7</v>
      </c>
      <c r="H99" t="n">
        <v>0</v>
      </c>
      <c r="I99" t="n">
        <v>0</v>
      </c>
      <c r="J99" t="n">
        <v>0</v>
      </c>
      <c r="K99" t="n">
        <v>0</v>
      </c>
      <c r="L99" t="n">
        <v>0</v>
      </c>
      <c r="M99" t="n">
        <v>0</v>
      </c>
      <c r="N99" t="n">
        <v>0</v>
      </c>
      <c r="O99" t="n">
        <v>0</v>
      </c>
      <c r="P99" t="n">
        <v>0</v>
      </c>
      <c r="Q99" t="n">
        <v>0</v>
      </c>
      <c r="R99" s="2" t="inlineStr"/>
    </row>
    <row r="100" ht="15" customHeight="1">
      <c r="A100" t="inlineStr">
        <is>
          <t>A 30902-2025</t>
        </is>
      </c>
      <c r="B100" s="1" t="n">
        <v>45832</v>
      </c>
      <c r="C100" s="1" t="n">
        <v>46193</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46193</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v>
      </c>
      <c r="C102" s="1" t="n">
        <v>46193</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v>
      </c>
      <c r="C103" s="1" t="n">
        <v>46193</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v>
      </c>
      <c r="C104" s="1" t="n">
        <v>46193</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61646-2025</t>
        </is>
      </c>
      <c r="B105" s="1" t="n">
        <v>46002</v>
      </c>
      <c r="C105" s="1" t="n">
        <v>46193</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v>
      </c>
      <c r="C106" s="1" t="n">
        <v>46193</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4803-2024</t>
        </is>
      </c>
      <c r="B107" s="1" t="n">
        <v>45328</v>
      </c>
      <c r="C107" s="1" t="n">
        <v>46193</v>
      </c>
      <c r="D107" t="inlineStr">
        <is>
          <t>STOCKHOLMS LÄN</t>
        </is>
      </c>
      <c r="E107" t="inlineStr">
        <is>
          <t>VALLENTUNA</t>
        </is>
      </c>
      <c r="G107" t="n">
        <v>4.6</v>
      </c>
      <c r="H107" t="n">
        <v>0</v>
      </c>
      <c r="I107" t="n">
        <v>0</v>
      </c>
      <c r="J107" t="n">
        <v>0</v>
      </c>
      <c r="K107" t="n">
        <v>0</v>
      </c>
      <c r="L107" t="n">
        <v>0</v>
      </c>
      <c r="M107" t="n">
        <v>0</v>
      </c>
      <c r="N107" t="n">
        <v>0</v>
      </c>
      <c r="O107" t="n">
        <v>0</v>
      </c>
      <c r="P107" t="n">
        <v>0</v>
      </c>
      <c r="Q107" t="n">
        <v>0</v>
      </c>
      <c r="R107" s="2" t="inlineStr"/>
    </row>
    <row r="108" ht="15" customHeight="1">
      <c r="A108" t="inlineStr">
        <is>
          <t>A 52542-2023</t>
        </is>
      </c>
      <c r="B108" s="1" t="n">
        <v>45225</v>
      </c>
      <c r="C108" s="1" t="n">
        <v>46193</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44346-2021</t>
        </is>
      </c>
      <c r="B109" s="1" t="n">
        <v>44434</v>
      </c>
      <c r="C109" s="1" t="n">
        <v>46193</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414-2026</t>
        </is>
      </c>
      <c r="B110" s="1" t="n">
        <v>46028</v>
      </c>
      <c r="C110" s="1" t="n">
        <v>46193</v>
      </c>
      <c r="D110" t="inlineStr">
        <is>
          <t>STOCKHOLMS LÄN</t>
        </is>
      </c>
      <c r="E110" t="inlineStr">
        <is>
          <t>VALLENTUNA</t>
        </is>
      </c>
      <c r="G110" t="n">
        <v>2.6</v>
      </c>
      <c r="H110" t="n">
        <v>0</v>
      </c>
      <c r="I110" t="n">
        <v>0</v>
      </c>
      <c r="J110" t="n">
        <v>0</v>
      </c>
      <c r="K110" t="n">
        <v>0</v>
      </c>
      <c r="L110" t="n">
        <v>0</v>
      </c>
      <c r="M110" t="n">
        <v>0</v>
      </c>
      <c r="N110" t="n">
        <v>0</v>
      </c>
      <c r="O110" t="n">
        <v>0</v>
      </c>
      <c r="P110" t="n">
        <v>0</v>
      </c>
      <c r="Q110" t="n">
        <v>0</v>
      </c>
      <c r="R110" s="2" t="inlineStr"/>
    </row>
    <row r="111" ht="15" customHeight="1">
      <c r="A111" t="inlineStr">
        <is>
          <t>A 11950-2025</t>
        </is>
      </c>
      <c r="B111" s="1" t="n">
        <v>45728</v>
      </c>
      <c r="C111" s="1" t="n">
        <v>46193</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14489-2024</t>
        </is>
      </c>
      <c r="B112" s="1" t="n">
        <v>45394</v>
      </c>
      <c r="C112" s="1" t="n">
        <v>46193</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52562-2023</t>
        </is>
      </c>
      <c r="B113" s="1" t="n">
        <v>45225</v>
      </c>
      <c r="C113" s="1" t="n">
        <v>46193</v>
      </c>
      <c r="D113" t="inlineStr">
        <is>
          <t>STOCKHOLMS LÄN</t>
        </is>
      </c>
      <c r="E113" t="inlineStr">
        <is>
          <t>VALLENTUNA</t>
        </is>
      </c>
      <c r="G113" t="n">
        <v>3.4</v>
      </c>
      <c r="H113" t="n">
        <v>0</v>
      </c>
      <c r="I113" t="n">
        <v>0</v>
      </c>
      <c r="J113" t="n">
        <v>0</v>
      </c>
      <c r="K113" t="n">
        <v>0</v>
      </c>
      <c r="L113" t="n">
        <v>0</v>
      </c>
      <c r="M113" t="n">
        <v>0</v>
      </c>
      <c r="N113" t="n">
        <v>0</v>
      </c>
      <c r="O113" t="n">
        <v>0</v>
      </c>
      <c r="P113" t="n">
        <v>0</v>
      </c>
      <c r="Q113" t="n">
        <v>0</v>
      </c>
      <c r="R113" s="2" t="inlineStr"/>
    </row>
    <row r="114" ht="15" customHeight="1">
      <c r="A114" t="inlineStr">
        <is>
          <t>A 6298-2026</t>
        </is>
      </c>
      <c r="B114" s="1" t="n">
        <v>46055</v>
      </c>
      <c r="C114" s="1" t="n">
        <v>46193</v>
      </c>
      <c r="D114" t="inlineStr">
        <is>
          <t>STOCKHOLMS LÄN</t>
        </is>
      </c>
      <c r="E114" t="inlineStr">
        <is>
          <t>VALLENTUNA</t>
        </is>
      </c>
      <c r="G114" t="n">
        <v>3.3</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v>
      </c>
      <c r="C115" s="1" t="n">
        <v>46193</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2318-2024</t>
        </is>
      </c>
      <c r="B116" s="1" t="n">
        <v>45310</v>
      </c>
      <c r="C116" s="1" t="n">
        <v>46193</v>
      </c>
      <c r="D116" t="inlineStr">
        <is>
          <t>STOCKHOLMS LÄN</t>
        </is>
      </c>
      <c r="E116" t="inlineStr">
        <is>
          <t>VALLENTUNA</t>
        </is>
      </c>
      <c r="G116" t="n">
        <v>2.2</v>
      </c>
      <c r="H116" t="n">
        <v>0</v>
      </c>
      <c r="I116" t="n">
        <v>0</v>
      </c>
      <c r="J116" t="n">
        <v>0</v>
      </c>
      <c r="K116" t="n">
        <v>0</v>
      </c>
      <c r="L116" t="n">
        <v>0</v>
      </c>
      <c r="M116" t="n">
        <v>0</v>
      </c>
      <c r="N116" t="n">
        <v>0</v>
      </c>
      <c r="O116" t="n">
        <v>0</v>
      </c>
      <c r="P116" t="n">
        <v>0</v>
      </c>
      <c r="Q116" t="n">
        <v>0</v>
      </c>
      <c r="R116" s="2" t="inlineStr"/>
    </row>
    <row r="117" ht="15" customHeight="1">
      <c r="A117" t="inlineStr">
        <is>
          <t>A 61742-2022</t>
        </is>
      </c>
      <c r="B117" s="1" t="n">
        <v>44917</v>
      </c>
      <c r="C117" s="1" t="n">
        <v>46193</v>
      </c>
      <c r="D117" t="inlineStr">
        <is>
          <t>STOCKHOLMS LÄN</t>
        </is>
      </c>
      <c r="E117" t="inlineStr">
        <is>
          <t>VALLENTUNA</t>
        </is>
      </c>
      <c r="G117" t="n">
        <v>0.5</v>
      </c>
      <c r="H117" t="n">
        <v>0</v>
      </c>
      <c r="I117" t="n">
        <v>0</v>
      </c>
      <c r="J117" t="n">
        <v>0</v>
      </c>
      <c r="K117" t="n">
        <v>0</v>
      </c>
      <c r="L117" t="n">
        <v>0</v>
      </c>
      <c r="M117" t="n">
        <v>0</v>
      </c>
      <c r="N117" t="n">
        <v>0</v>
      </c>
      <c r="O117" t="n">
        <v>0</v>
      </c>
      <c r="P117" t="n">
        <v>0</v>
      </c>
      <c r="Q117" t="n">
        <v>0</v>
      </c>
      <c r="R117" s="2" t="inlineStr"/>
    </row>
    <row r="118" ht="15" customHeight="1">
      <c r="A118" t="inlineStr">
        <is>
          <t>A 12400-2026</t>
        </is>
      </c>
      <c r="B118" s="1" t="n">
        <v>46090</v>
      </c>
      <c r="C118" s="1" t="n">
        <v>46193</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12819-2026</t>
        </is>
      </c>
      <c r="B119" s="1" t="n">
        <v>46092</v>
      </c>
      <c r="C119" s="1" t="n">
        <v>46193</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12830-2026</t>
        </is>
      </c>
      <c r="B120" s="1" t="n">
        <v>46092</v>
      </c>
      <c r="C120" s="1" t="n">
        <v>46193</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46193</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12822-2026</t>
        </is>
      </c>
      <c r="B122" s="1" t="n">
        <v>46092</v>
      </c>
      <c r="C122" s="1" t="n">
        <v>46193</v>
      </c>
      <c r="D122" t="inlineStr">
        <is>
          <t>STOCKHOLMS LÄN</t>
        </is>
      </c>
      <c r="E122" t="inlineStr">
        <is>
          <t>VALLENTUNA</t>
        </is>
      </c>
      <c r="G122" t="n">
        <v>2.7</v>
      </c>
      <c r="H122" t="n">
        <v>0</v>
      </c>
      <c r="I122" t="n">
        <v>0</v>
      </c>
      <c r="J122" t="n">
        <v>0</v>
      </c>
      <c r="K122" t="n">
        <v>0</v>
      </c>
      <c r="L122" t="n">
        <v>0</v>
      </c>
      <c r="M122" t="n">
        <v>0</v>
      </c>
      <c r="N122" t="n">
        <v>0</v>
      </c>
      <c r="O122" t="n">
        <v>0</v>
      </c>
      <c r="P122" t="n">
        <v>0</v>
      </c>
      <c r="Q122" t="n">
        <v>0</v>
      </c>
      <c r="R122" s="2" t="inlineStr"/>
    </row>
    <row r="123" ht="15" customHeight="1">
      <c r="A123" t="inlineStr">
        <is>
          <t>A 12828-2026</t>
        </is>
      </c>
      <c r="B123" s="1" t="n">
        <v>46092</v>
      </c>
      <c r="C123" s="1" t="n">
        <v>46193</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v>
      </c>
      <c r="C124" s="1" t="n">
        <v>46193</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17389-2026</t>
        </is>
      </c>
      <c r="B125" s="1" t="n">
        <v>46119</v>
      </c>
      <c r="C125" s="1" t="n">
        <v>46193</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17387-2026</t>
        </is>
      </c>
      <c r="B126" s="1" t="n">
        <v>46119</v>
      </c>
      <c r="C126" s="1" t="n">
        <v>46193</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4804-2024</t>
        </is>
      </c>
      <c r="B127" s="1" t="n">
        <v>45328</v>
      </c>
      <c r="C127" s="1" t="n">
        <v>46193</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25740-2026</t>
        </is>
      </c>
      <c r="B128" s="1" t="n">
        <v>46178</v>
      </c>
      <c r="C128" s="1" t="n">
        <v>46193</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c r="A129" t="inlineStr">
        <is>
          <t>A 25752-2026</t>
        </is>
      </c>
      <c r="B129" s="1" t="n">
        <v>46178</v>
      </c>
      <c r="C129" s="1" t="n">
        <v>46193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2026-06-20T00:46:03Z</dcterms:created>
  <dcterms:modified xmlns:dcterms="http://purl.org/dc/terms/" xmlns:xsi="http://www.w3.org/2001/XMLSchema-instance" xsi:type="dcterms:W3CDTF">2026-06-20T00:46:03Z</dcterms:modified>
</cp:coreProperties>
</file>