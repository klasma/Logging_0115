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45910</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45910</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45910</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18446-2025</t>
        </is>
      </c>
      <c r="B11" s="1" t="n">
        <v>45762</v>
      </c>
      <c r="C11" s="1" t="n">
        <v>45910</v>
      </c>
      <c r="D11" t="inlineStr">
        <is>
          <t>STOCKHOLMS LÄN</t>
        </is>
      </c>
      <c r="E11" t="inlineStr">
        <is>
          <t>VALLENTUNA</t>
        </is>
      </c>
      <c r="G11" t="n">
        <v>3.7</v>
      </c>
      <c r="H11" t="n">
        <v>2</v>
      </c>
      <c r="I11" t="n">
        <v>2</v>
      </c>
      <c r="J11" t="n">
        <v>1</v>
      </c>
      <c r="K11" t="n">
        <v>0</v>
      </c>
      <c r="L11" t="n">
        <v>0</v>
      </c>
      <c r="M11" t="n">
        <v>0</v>
      </c>
      <c r="N11" t="n">
        <v>0</v>
      </c>
      <c r="O11" t="n">
        <v>1</v>
      </c>
      <c r="P11" t="n">
        <v>0</v>
      </c>
      <c r="Q11" t="n">
        <v>4</v>
      </c>
      <c r="R11" s="2" t="inlineStr">
        <is>
          <t>Talltita
Grönpyrola
Vedticka
Blåsippa</t>
        </is>
      </c>
      <c r="S11">
        <f>HYPERLINK("https://klasma.github.io/Logging_0115/artfynd/A 18446-2025 artfynd.xlsx", "A 18446-2025")</f>
        <v/>
      </c>
      <c r="T11">
        <f>HYPERLINK("https://klasma.github.io/Logging_0115/kartor/A 18446-2025 karta.png", "A 18446-2025")</f>
        <v/>
      </c>
      <c r="V11">
        <f>HYPERLINK("https://klasma.github.io/Logging_0115/klagomål/A 18446-2025 FSC-klagomål.docx", "A 18446-2025")</f>
        <v/>
      </c>
      <c r="W11">
        <f>HYPERLINK("https://klasma.github.io/Logging_0115/klagomålsmail/A 18446-2025 FSC-klagomål mail.docx", "A 18446-2025")</f>
        <v/>
      </c>
      <c r="X11">
        <f>HYPERLINK("https://klasma.github.io/Logging_0115/tillsyn/A 18446-2025 tillsynsbegäran.docx", "A 18446-2025")</f>
        <v/>
      </c>
      <c r="Y11">
        <f>HYPERLINK("https://klasma.github.io/Logging_0115/tillsynsmail/A 18446-2025 tillsynsbegäran mail.docx", "A 18446-2025")</f>
        <v/>
      </c>
      <c r="Z11">
        <f>HYPERLINK("https://klasma.github.io/Logging_0115/fåglar/A 18446-2025 prioriterade fågelarter.docx", "A 18446-2025")</f>
        <v/>
      </c>
    </row>
    <row r="12" ht="15" customHeight="1">
      <c r="A12" t="inlineStr">
        <is>
          <t>A 8500-2022</t>
        </is>
      </c>
      <c r="B12" s="1" t="n">
        <v>44613</v>
      </c>
      <c r="C12" s="1" t="n">
        <v>45910</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42612-2025</t>
        </is>
      </c>
      <c r="B13" s="1" t="n">
        <v>45905.70087962963</v>
      </c>
      <c r="C13" s="1" t="n">
        <v>45910</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45910</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45910</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45910</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45910</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754-2024</t>
        </is>
      </c>
      <c r="B18" s="1" t="n">
        <v>45300</v>
      </c>
      <c r="C18" s="1" t="n">
        <v>45910</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9745-2022</t>
        </is>
      </c>
      <c r="B19" s="1" t="n">
        <v>44618</v>
      </c>
      <c r="C19" s="1" t="n">
        <v>45910</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41021-2023</t>
        </is>
      </c>
      <c r="B20" s="1" t="n">
        <v>45173</v>
      </c>
      <c r="C20" s="1" t="n">
        <v>45910</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45910</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8817-2025</t>
        </is>
      </c>
      <c r="B22" s="1" t="n">
        <v>45712.70987268518</v>
      </c>
      <c r="C22" s="1" t="n">
        <v>45910</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45910</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21439-2025</t>
        </is>
      </c>
      <c r="B24" s="1" t="n">
        <v>45782.52939814814</v>
      </c>
      <c r="C24" s="1" t="n">
        <v>45910</v>
      </c>
      <c r="D24" t="inlineStr">
        <is>
          <t>STOCKHOLMS LÄN</t>
        </is>
      </c>
      <c r="E24" t="inlineStr">
        <is>
          <t>VALLENTUNA</t>
        </is>
      </c>
      <c r="G24" t="n">
        <v>2.1</v>
      </c>
      <c r="H24" t="n">
        <v>0</v>
      </c>
      <c r="I24" t="n">
        <v>1</v>
      </c>
      <c r="J24" t="n">
        <v>0</v>
      </c>
      <c r="K24" t="n">
        <v>0</v>
      </c>
      <c r="L24" t="n">
        <v>0</v>
      </c>
      <c r="M24" t="n">
        <v>0</v>
      </c>
      <c r="N24" t="n">
        <v>0</v>
      </c>
      <c r="O24" t="n">
        <v>0</v>
      </c>
      <c r="P24" t="n">
        <v>0</v>
      </c>
      <c r="Q24" t="n">
        <v>1</v>
      </c>
      <c r="R24" s="2" t="inlineStr">
        <is>
          <t>Mindre märgborre</t>
        </is>
      </c>
      <c r="S24">
        <f>HYPERLINK("https://klasma.github.io/Logging_0115/artfynd/A 21439-2025 artfynd.xlsx", "A 21439-2025")</f>
        <v/>
      </c>
      <c r="T24">
        <f>HYPERLINK("https://klasma.github.io/Logging_0115/kartor/A 21439-2025 karta.png", "A 21439-2025")</f>
        <v/>
      </c>
      <c r="V24">
        <f>HYPERLINK("https://klasma.github.io/Logging_0115/klagomål/A 21439-2025 FSC-klagomål.docx", "A 21439-2025")</f>
        <v/>
      </c>
      <c r="W24">
        <f>HYPERLINK("https://klasma.github.io/Logging_0115/klagomålsmail/A 21439-2025 FSC-klagomål mail.docx", "A 21439-2025")</f>
        <v/>
      </c>
      <c r="X24">
        <f>HYPERLINK("https://klasma.github.io/Logging_0115/tillsyn/A 21439-2025 tillsynsbegäran.docx", "A 21439-2025")</f>
        <v/>
      </c>
      <c r="Y24">
        <f>HYPERLINK("https://klasma.github.io/Logging_0115/tillsynsmail/A 21439-2025 tillsynsbegäran mail.docx", "A 21439-2025")</f>
        <v/>
      </c>
    </row>
    <row r="25" ht="15" customHeight="1">
      <c r="A25" t="inlineStr">
        <is>
          <t>A 17348-2025</t>
        </is>
      </c>
      <c r="B25" s="1" t="n">
        <v>45756</v>
      </c>
      <c r="C25" s="1" t="n">
        <v>45910</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22936-2025</t>
        </is>
      </c>
      <c r="B26" s="1" t="n">
        <v>45790.45738425926</v>
      </c>
      <c r="C26" s="1" t="n">
        <v>45910</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45910</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7890-2023</t>
        </is>
      </c>
      <c r="B28" s="1" t="n">
        <v>44973</v>
      </c>
      <c r="C28" s="1" t="n">
        <v>45910</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45910</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27870-2025</t>
        </is>
      </c>
      <c r="B30" s="1" t="n">
        <v>45817</v>
      </c>
      <c r="C30" s="1" t="n">
        <v>45910</v>
      </c>
      <c r="D30" t="inlineStr">
        <is>
          <t>STOCKHOLMS LÄN</t>
        </is>
      </c>
      <c r="E30" t="inlineStr">
        <is>
          <t>VALLENTUNA</t>
        </is>
      </c>
      <c r="G30" t="n">
        <v>5</v>
      </c>
      <c r="H30" t="n">
        <v>0</v>
      </c>
      <c r="I30" t="n">
        <v>0</v>
      </c>
      <c r="J30" t="n">
        <v>1</v>
      </c>
      <c r="K30" t="n">
        <v>0</v>
      </c>
      <c r="L30" t="n">
        <v>0</v>
      </c>
      <c r="M30" t="n">
        <v>0</v>
      </c>
      <c r="N30" t="n">
        <v>0</v>
      </c>
      <c r="O30" t="n">
        <v>1</v>
      </c>
      <c r="P30" t="n">
        <v>0</v>
      </c>
      <c r="Q30" t="n">
        <v>1</v>
      </c>
      <c r="R30" s="2" t="inlineStr">
        <is>
          <t>Bronspraktbagge</t>
        </is>
      </c>
      <c r="S30">
        <f>HYPERLINK("https://klasma.github.io/Logging_0115/artfynd/A 27870-2025 artfynd.xlsx", "A 27870-2025")</f>
        <v/>
      </c>
      <c r="T30">
        <f>HYPERLINK("https://klasma.github.io/Logging_0115/kartor/A 27870-2025 karta.png", "A 27870-2025")</f>
        <v/>
      </c>
      <c r="V30">
        <f>HYPERLINK("https://klasma.github.io/Logging_0115/klagomål/A 27870-2025 FSC-klagomål.docx", "A 27870-2025")</f>
        <v/>
      </c>
      <c r="W30">
        <f>HYPERLINK("https://klasma.github.io/Logging_0115/klagomålsmail/A 27870-2025 FSC-klagomål mail.docx", "A 27870-2025")</f>
        <v/>
      </c>
      <c r="X30">
        <f>HYPERLINK("https://klasma.github.io/Logging_0115/tillsyn/A 27870-2025 tillsynsbegäran.docx", "A 27870-2025")</f>
        <v/>
      </c>
      <c r="Y30">
        <f>HYPERLINK("https://klasma.github.io/Logging_0115/tillsynsmail/A 27870-2025 tillsynsbegäran mail.docx", "A 27870-2025")</f>
        <v/>
      </c>
    </row>
    <row r="31" ht="15" customHeight="1">
      <c r="A31" t="inlineStr">
        <is>
          <t>A 8946-2025</t>
        </is>
      </c>
      <c r="B31" s="1" t="n">
        <v>45712</v>
      </c>
      <c r="C31" s="1" t="n">
        <v>45910</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45910</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45910</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45910</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45910</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45910</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45910</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45910</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45910</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45910</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45910</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45910</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45910</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45910</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45910</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45910</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45910</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45910</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45910</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45910</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45910</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45910</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45910</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14489-2024</t>
        </is>
      </c>
      <c r="B55" s="1" t="n">
        <v>45394.58053240741</v>
      </c>
      <c r="C55" s="1" t="n">
        <v>45910</v>
      </c>
      <c r="D55" t="inlineStr">
        <is>
          <t>STOCKHOLMS LÄN</t>
        </is>
      </c>
      <c r="E55" t="inlineStr">
        <is>
          <t>VALLENTUNA</t>
        </is>
      </c>
      <c r="G55" t="n">
        <v>2.3</v>
      </c>
      <c r="H55" t="n">
        <v>0</v>
      </c>
      <c r="I55" t="n">
        <v>0</v>
      </c>
      <c r="J55" t="n">
        <v>0</v>
      </c>
      <c r="K55" t="n">
        <v>0</v>
      </c>
      <c r="L55" t="n">
        <v>0</v>
      </c>
      <c r="M55" t="n">
        <v>0</v>
      </c>
      <c r="N55" t="n">
        <v>0</v>
      </c>
      <c r="O55" t="n">
        <v>0</v>
      </c>
      <c r="P55" t="n">
        <v>0</v>
      </c>
      <c r="Q55" t="n">
        <v>0</v>
      </c>
      <c r="R55" s="2" t="inlineStr"/>
    </row>
    <row r="56" ht="15" customHeight="1">
      <c r="A56" t="inlineStr">
        <is>
          <t>A 15268-2023</t>
        </is>
      </c>
      <c r="B56" s="1" t="n">
        <v>45019.41045138889</v>
      </c>
      <c r="C56" s="1" t="n">
        <v>45910</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61442-2024</t>
        </is>
      </c>
      <c r="B57" s="1" t="n">
        <v>45646.47003472222</v>
      </c>
      <c r="C57" s="1" t="n">
        <v>45910</v>
      </c>
      <c r="D57" t="inlineStr">
        <is>
          <t>STOCKHOLMS LÄN</t>
        </is>
      </c>
      <c r="E57" t="inlineStr">
        <is>
          <t>VALLENTUNA</t>
        </is>
      </c>
      <c r="G57" t="n">
        <v>4.6</v>
      </c>
      <c r="H57" t="n">
        <v>0</v>
      </c>
      <c r="I57" t="n">
        <v>0</v>
      </c>
      <c r="J57" t="n">
        <v>0</v>
      </c>
      <c r="K57" t="n">
        <v>0</v>
      </c>
      <c r="L57" t="n">
        <v>0</v>
      </c>
      <c r="M57" t="n">
        <v>0</v>
      </c>
      <c r="N57" t="n">
        <v>0</v>
      </c>
      <c r="O57" t="n">
        <v>0</v>
      </c>
      <c r="P57" t="n">
        <v>0</v>
      </c>
      <c r="Q57" t="n">
        <v>0</v>
      </c>
      <c r="R57" s="2" t="inlineStr"/>
    </row>
    <row r="58" ht="15" customHeight="1">
      <c r="A58" t="inlineStr">
        <is>
          <t>A 48068-2021</t>
        </is>
      </c>
      <c r="B58" s="1" t="n">
        <v>44449.42270833333</v>
      </c>
      <c r="C58" s="1" t="n">
        <v>45910</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735-2024</t>
        </is>
      </c>
      <c r="B59" s="1" t="n">
        <v>45300</v>
      </c>
      <c r="C59" s="1" t="n">
        <v>45910</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45499-2023</t>
        </is>
      </c>
      <c r="B60" s="1" t="n">
        <v>45194</v>
      </c>
      <c r="C60" s="1" t="n">
        <v>45910</v>
      </c>
      <c r="D60" t="inlineStr">
        <is>
          <t>STOCKHOLMS LÄN</t>
        </is>
      </c>
      <c r="E60" t="inlineStr">
        <is>
          <t>VALLENTUNA</t>
        </is>
      </c>
      <c r="G60" t="n">
        <v>2.5</v>
      </c>
      <c r="H60" t="n">
        <v>0</v>
      </c>
      <c r="I60" t="n">
        <v>0</v>
      </c>
      <c r="J60" t="n">
        <v>0</v>
      </c>
      <c r="K60" t="n">
        <v>0</v>
      </c>
      <c r="L60" t="n">
        <v>0</v>
      </c>
      <c r="M60" t="n">
        <v>0</v>
      </c>
      <c r="N60" t="n">
        <v>0</v>
      </c>
      <c r="O60" t="n">
        <v>0</v>
      </c>
      <c r="P60" t="n">
        <v>0</v>
      </c>
      <c r="Q60" t="n">
        <v>0</v>
      </c>
      <c r="R60" s="2" t="inlineStr"/>
    </row>
    <row r="61" ht="15" customHeight="1">
      <c r="A61" t="inlineStr">
        <is>
          <t>A 12585-2023</t>
        </is>
      </c>
      <c r="B61" s="1" t="n">
        <v>45000.41373842592</v>
      </c>
      <c r="C61" s="1" t="n">
        <v>45910</v>
      </c>
      <c r="D61" t="inlineStr">
        <is>
          <t>STOCKHOLMS LÄN</t>
        </is>
      </c>
      <c r="E61" t="inlineStr">
        <is>
          <t>VALLENTUNA</t>
        </is>
      </c>
      <c r="G61" t="n">
        <v>3.7</v>
      </c>
      <c r="H61" t="n">
        <v>0</v>
      </c>
      <c r="I61" t="n">
        <v>0</v>
      </c>
      <c r="J61" t="n">
        <v>0</v>
      </c>
      <c r="K61" t="n">
        <v>0</v>
      </c>
      <c r="L61" t="n">
        <v>0</v>
      </c>
      <c r="M61" t="n">
        <v>0</v>
      </c>
      <c r="N61" t="n">
        <v>0</v>
      </c>
      <c r="O61" t="n">
        <v>0</v>
      </c>
      <c r="P61" t="n">
        <v>0</v>
      </c>
      <c r="Q61" t="n">
        <v>0</v>
      </c>
      <c r="R61" s="2" t="inlineStr"/>
    </row>
    <row r="62" ht="15" customHeight="1">
      <c r="A62" t="inlineStr">
        <is>
          <t>A 47204-2024</t>
        </is>
      </c>
      <c r="B62" s="1" t="n">
        <v>45586.63575231482</v>
      </c>
      <c r="C62" s="1" t="n">
        <v>45910</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34452-2021</t>
        </is>
      </c>
      <c r="B63" s="1" t="n">
        <v>44381</v>
      </c>
      <c r="C63" s="1" t="n">
        <v>45910</v>
      </c>
      <c r="D63" t="inlineStr">
        <is>
          <t>STOCKHOLMS LÄN</t>
        </is>
      </c>
      <c r="E63" t="inlineStr">
        <is>
          <t>VALLENTUNA</t>
        </is>
      </c>
      <c r="G63" t="n">
        <v>14.7</v>
      </c>
      <c r="H63" t="n">
        <v>0</v>
      </c>
      <c r="I63" t="n">
        <v>0</v>
      </c>
      <c r="J63" t="n">
        <v>0</v>
      </c>
      <c r="K63" t="n">
        <v>0</v>
      </c>
      <c r="L63" t="n">
        <v>0</v>
      </c>
      <c r="M63" t="n">
        <v>0</v>
      </c>
      <c r="N63" t="n">
        <v>0</v>
      </c>
      <c r="O63" t="n">
        <v>0</v>
      </c>
      <c r="P63" t="n">
        <v>0</v>
      </c>
      <c r="Q63" t="n">
        <v>0</v>
      </c>
      <c r="R63" s="2" t="inlineStr"/>
    </row>
    <row r="64" ht="15" customHeight="1">
      <c r="A64" t="inlineStr">
        <is>
          <t>A 20791-2025</t>
        </is>
      </c>
      <c r="B64" s="1" t="n">
        <v>45776.62738425926</v>
      </c>
      <c r="C64" s="1" t="n">
        <v>45910</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10073-2024</t>
        </is>
      </c>
      <c r="B65" s="1" t="n">
        <v>45364.40821759259</v>
      </c>
      <c r="C65" s="1" t="n">
        <v>45910</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45910</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20789-2025</t>
        </is>
      </c>
      <c r="B67" s="1" t="n">
        <v>45776.62518518518</v>
      </c>
      <c r="C67" s="1" t="n">
        <v>45910</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68938-2020</t>
        </is>
      </c>
      <c r="B68" s="1" t="n">
        <v>44187</v>
      </c>
      <c r="C68" s="1" t="n">
        <v>45910</v>
      </c>
      <c r="D68" t="inlineStr">
        <is>
          <t>STOCKHOLMS LÄN</t>
        </is>
      </c>
      <c r="E68" t="inlineStr">
        <is>
          <t>VALLENTUNA</t>
        </is>
      </c>
      <c r="G68" t="n">
        <v>3</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45910</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26390-2023</t>
        </is>
      </c>
      <c r="B70" s="1" t="n">
        <v>45086</v>
      </c>
      <c r="C70" s="1" t="n">
        <v>45910</v>
      </c>
      <c r="D70" t="inlineStr">
        <is>
          <t>STOCKHOLMS LÄN</t>
        </is>
      </c>
      <c r="E70" t="inlineStr">
        <is>
          <t>VALLENTUNA</t>
        </is>
      </c>
      <c r="G70" t="n">
        <v>1.6</v>
      </c>
      <c r="H70" t="n">
        <v>0</v>
      </c>
      <c r="I70" t="n">
        <v>0</v>
      </c>
      <c r="J70" t="n">
        <v>0</v>
      </c>
      <c r="K70" t="n">
        <v>0</v>
      </c>
      <c r="L70" t="n">
        <v>0</v>
      </c>
      <c r="M70" t="n">
        <v>0</v>
      </c>
      <c r="N70" t="n">
        <v>0</v>
      </c>
      <c r="O70" t="n">
        <v>0</v>
      </c>
      <c r="P70" t="n">
        <v>0</v>
      </c>
      <c r="Q70" t="n">
        <v>0</v>
      </c>
      <c r="R70" s="2" t="inlineStr"/>
    </row>
    <row r="71" ht="15" customHeight="1">
      <c r="A71" t="inlineStr">
        <is>
          <t>A 8077-2022</t>
        </is>
      </c>
      <c r="B71" s="1" t="n">
        <v>44609</v>
      </c>
      <c r="C71" s="1" t="n">
        <v>45910</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45910</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45910</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45910</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45910</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23923-2025</t>
        </is>
      </c>
      <c r="B76" s="1" t="n">
        <v>45795.39648148148</v>
      </c>
      <c r="C76" s="1" t="n">
        <v>45910</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15300-2023</t>
        </is>
      </c>
      <c r="B77" s="1" t="n">
        <v>45019</v>
      </c>
      <c r="C77" s="1" t="n">
        <v>45910</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21765-2023</t>
        </is>
      </c>
      <c r="B78" s="1" t="n">
        <v>45064</v>
      </c>
      <c r="C78" s="1" t="n">
        <v>45910</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21614-2022</t>
        </is>
      </c>
      <c r="B79" s="1" t="n">
        <v>44706</v>
      </c>
      <c r="C79" s="1" t="n">
        <v>45910</v>
      </c>
      <c r="D79" t="inlineStr">
        <is>
          <t>STOCKHOLMS LÄN</t>
        </is>
      </c>
      <c r="E79" t="inlineStr">
        <is>
          <t>VALLENTUNA</t>
        </is>
      </c>
      <c r="G79" t="n">
        <v>4</v>
      </c>
      <c r="H79" t="n">
        <v>0</v>
      </c>
      <c r="I79" t="n">
        <v>0</v>
      </c>
      <c r="J79" t="n">
        <v>0</v>
      </c>
      <c r="K79" t="n">
        <v>0</v>
      </c>
      <c r="L79" t="n">
        <v>0</v>
      </c>
      <c r="M79" t="n">
        <v>0</v>
      </c>
      <c r="N79" t="n">
        <v>0</v>
      </c>
      <c r="O79" t="n">
        <v>0</v>
      </c>
      <c r="P79" t="n">
        <v>0</v>
      </c>
      <c r="Q79" t="n">
        <v>0</v>
      </c>
      <c r="R79" s="2" t="inlineStr"/>
    </row>
    <row r="80" ht="15" customHeight="1">
      <c r="A80" t="inlineStr">
        <is>
          <t>A 25984-2025</t>
        </is>
      </c>
      <c r="B80" s="1" t="n">
        <v>45804.64016203704</v>
      </c>
      <c r="C80" s="1" t="n">
        <v>45910</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23986-2023</t>
        </is>
      </c>
      <c r="B81" s="1" t="n">
        <v>45078</v>
      </c>
      <c r="C81" s="1" t="n">
        <v>45910</v>
      </c>
      <c r="D81" t="inlineStr">
        <is>
          <t>STOCKHOLMS LÄN</t>
        </is>
      </c>
      <c r="E81" t="inlineStr">
        <is>
          <t>VALLENTUNA</t>
        </is>
      </c>
      <c r="F81" t="inlineStr">
        <is>
          <t>Kyrkan</t>
        </is>
      </c>
      <c r="G81" t="n">
        <v>5.7</v>
      </c>
      <c r="H81" t="n">
        <v>0</v>
      </c>
      <c r="I81" t="n">
        <v>0</v>
      </c>
      <c r="J81" t="n">
        <v>0</v>
      </c>
      <c r="K81" t="n">
        <v>0</v>
      </c>
      <c r="L81" t="n">
        <v>0</v>
      </c>
      <c r="M81" t="n">
        <v>0</v>
      </c>
      <c r="N81" t="n">
        <v>0</v>
      </c>
      <c r="O81" t="n">
        <v>0</v>
      </c>
      <c r="P81" t="n">
        <v>0</v>
      </c>
      <c r="Q81" t="n">
        <v>0</v>
      </c>
      <c r="R81" s="2" t="inlineStr"/>
    </row>
    <row r="82" ht="15" customHeight="1">
      <c r="A82" t="inlineStr">
        <is>
          <t>A 61742-2022</t>
        </is>
      </c>
      <c r="B82" s="1" t="n">
        <v>44917</v>
      </c>
      <c r="C82" s="1" t="n">
        <v>45910</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45910</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56152-2024</t>
        </is>
      </c>
      <c r="B84" s="1" t="n">
        <v>45624.52403935185</v>
      </c>
      <c r="C84" s="1" t="n">
        <v>45910</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34458-2023</t>
        </is>
      </c>
      <c r="B85" s="1" t="n">
        <v>45139</v>
      </c>
      <c r="C85" s="1" t="n">
        <v>45910</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45910</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24068-2024</t>
        </is>
      </c>
      <c r="B87" s="1" t="n">
        <v>45456</v>
      </c>
      <c r="C87" s="1" t="n">
        <v>45910</v>
      </c>
      <c r="D87" t="inlineStr">
        <is>
          <t>STOCKHOLMS LÄN</t>
        </is>
      </c>
      <c r="E87" t="inlineStr">
        <is>
          <t>VALLENTUNA</t>
        </is>
      </c>
      <c r="G87" t="n">
        <v>7.4</v>
      </c>
      <c r="H87" t="n">
        <v>0</v>
      </c>
      <c r="I87" t="n">
        <v>0</v>
      </c>
      <c r="J87" t="n">
        <v>0</v>
      </c>
      <c r="K87" t="n">
        <v>0</v>
      </c>
      <c r="L87" t="n">
        <v>0</v>
      </c>
      <c r="M87" t="n">
        <v>0</v>
      </c>
      <c r="N87" t="n">
        <v>0</v>
      </c>
      <c r="O87" t="n">
        <v>0</v>
      </c>
      <c r="P87" t="n">
        <v>0</v>
      </c>
      <c r="Q87" t="n">
        <v>0</v>
      </c>
      <c r="R87" s="2" t="inlineStr"/>
    </row>
    <row r="88" ht="15" customHeight="1">
      <c r="A88" t="inlineStr">
        <is>
          <t>A 17342-2025</t>
        </is>
      </c>
      <c r="B88" s="1" t="n">
        <v>45756</v>
      </c>
      <c r="C88" s="1" t="n">
        <v>45910</v>
      </c>
      <c r="D88" t="inlineStr">
        <is>
          <t>STOCKHOLMS LÄN</t>
        </is>
      </c>
      <c r="E88" t="inlineStr">
        <is>
          <t>VALLENTUNA</t>
        </is>
      </c>
      <c r="F88" t="inlineStr">
        <is>
          <t>Övriga Aktiebolag</t>
        </is>
      </c>
      <c r="G88" t="n">
        <v>3.9</v>
      </c>
      <c r="H88" t="n">
        <v>0</v>
      </c>
      <c r="I88" t="n">
        <v>0</v>
      </c>
      <c r="J88" t="n">
        <v>0</v>
      </c>
      <c r="K88" t="n">
        <v>0</v>
      </c>
      <c r="L88" t="n">
        <v>0</v>
      </c>
      <c r="M88" t="n">
        <v>0</v>
      </c>
      <c r="N88" t="n">
        <v>0</v>
      </c>
      <c r="O88" t="n">
        <v>0</v>
      </c>
      <c r="P88" t="n">
        <v>0</v>
      </c>
      <c r="Q88" t="n">
        <v>0</v>
      </c>
      <c r="R88" s="2" t="inlineStr"/>
    </row>
    <row r="89" ht="15" customHeight="1">
      <c r="A89" t="inlineStr">
        <is>
          <t>A 12562-2023</t>
        </is>
      </c>
      <c r="B89" s="1" t="n">
        <v>45000</v>
      </c>
      <c r="C89" s="1" t="n">
        <v>45910</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14480-2024</t>
        </is>
      </c>
      <c r="B90" s="1" t="n">
        <v>45394.56777777777</v>
      </c>
      <c r="C90" s="1" t="n">
        <v>45910</v>
      </c>
      <c r="D90" t="inlineStr">
        <is>
          <t>STOCKHOLMS LÄN</t>
        </is>
      </c>
      <c r="E90" t="inlineStr">
        <is>
          <t>VALLENTUNA</t>
        </is>
      </c>
      <c r="G90" t="n">
        <v>1.8</v>
      </c>
      <c r="H90" t="n">
        <v>0</v>
      </c>
      <c r="I90" t="n">
        <v>0</v>
      </c>
      <c r="J90" t="n">
        <v>0</v>
      </c>
      <c r="K90" t="n">
        <v>0</v>
      </c>
      <c r="L90" t="n">
        <v>0</v>
      </c>
      <c r="M90" t="n">
        <v>0</v>
      </c>
      <c r="N90" t="n">
        <v>0</v>
      </c>
      <c r="O90" t="n">
        <v>0</v>
      </c>
      <c r="P90" t="n">
        <v>0</v>
      </c>
      <c r="Q90" t="n">
        <v>0</v>
      </c>
      <c r="R90" s="2" t="inlineStr"/>
    </row>
    <row r="91" ht="15" customHeight="1">
      <c r="A91" t="inlineStr">
        <is>
          <t>A 3937-2022</t>
        </is>
      </c>
      <c r="B91" s="1" t="n">
        <v>44587</v>
      </c>
      <c r="C91" s="1" t="n">
        <v>45910</v>
      </c>
      <c r="D91" t="inlineStr">
        <is>
          <t>STOCKHOLMS LÄN</t>
        </is>
      </c>
      <c r="E91" t="inlineStr">
        <is>
          <t>VALLENTUNA</t>
        </is>
      </c>
      <c r="G91" t="n">
        <v>6.6</v>
      </c>
      <c r="H91" t="n">
        <v>0</v>
      </c>
      <c r="I91" t="n">
        <v>0</v>
      </c>
      <c r="J91" t="n">
        <v>0</v>
      </c>
      <c r="K91" t="n">
        <v>0</v>
      </c>
      <c r="L91" t="n">
        <v>0</v>
      </c>
      <c r="M91" t="n">
        <v>0</v>
      </c>
      <c r="N91" t="n">
        <v>0</v>
      </c>
      <c r="O91" t="n">
        <v>0</v>
      </c>
      <c r="P91" t="n">
        <v>0</v>
      </c>
      <c r="Q91" t="n">
        <v>0</v>
      </c>
      <c r="R91" s="2" t="inlineStr"/>
    </row>
    <row r="92" ht="15" customHeight="1">
      <c r="A92" t="inlineStr">
        <is>
          <t>A 17340-2025</t>
        </is>
      </c>
      <c r="B92" s="1" t="n">
        <v>45756</v>
      </c>
      <c r="C92" s="1" t="n">
        <v>45910</v>
      </c>
      <c r="D92" t="inlineStr">
        <is>
          <t>STOCKHOLMS LÄN</t>
        </is>
      </c>
      <c r="E92" t="inlineStr">
        <is>
          <t>VALLENTUNA</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23013-2024</t>
        </is>
      </c>
      <c r="B93" s="1" t="n">
        <v>45450.35116898148</v>
      </c>
      <c r="C93" s="1" t="n">
        <v>45910</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3078-2023</t>
        </is>
      </c>
      <c r="B94" s="1" t="n">
        <v>44946.41527777778</v>
      </c>
      <c r="C94" s="1" t="n">
        <v>45910</v>
      </c>
      <c r="D94" t="inlineStr">
        <is>
          <t>STOCKHOLMS LÄN</t>
        </is>
      </c>
      <c r="E94" t="inlineStr">
        <is>
          <t>VALLENTUNA</t>
        </is>
      </c>
      <c r="G94" t="n">
        <v>3.9</v>
      </c>
      <c r="H94" t="n">
        <v>0</v>
      </c>
      <c r="I94" t="n">
        <v>0</v>
      </c>
      <c r="J94" t="n">
        <v>0</v>
      </c>
      <c r="K94" t="n">
        <v>0</v>
      </c>
      <c r="L94" t="n">
        <v>0</v>
      </c>
      <c r="M94" t="n">
        <v>0</v>
      </c>
      <c r="N94" t="n">
        <v>0</v>
      </c>
      <c r="O94" t="n">
        <v>0</v>
      </c>
      <c r="P94" t="n">
        <v>0</v>
      </c>
      <c r="Q94" t="n">
        <v>0</v>
      </c>
      <c r="R94" s="2" t="inlineStr"/>
    </row>
    <row r="95" ht="15" customHeight="1">
      <c r="A95" t="inlineStr">
        <is>
          <t>A 6593-2021</t>
        </is>
      </c>
      <c r="B95" s="1" t="n">
        <v>44236</v>
      </c>
      <c r="C95" s="1" t="n">
        <v>45910</v>
      </c>
      <c r="D95" t="inlineStr">
        <is>
          <t>STOCKHOLMS LÄN</t>
        </is>
      </c>
      <c r="E95" t="inlineStr">
        <is>
          <t>VALLENTUNA</t>
        </is>
      </c>
      <c r="G95" t="n">
        <v>2.3</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45910</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45496-2023</t>
        </is>
      </c>
      <c r="B97" s="1" t="n">
        <v>45194</v>
      </c>
      <c r="C97" s="1" t="n">
        <v>45910</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29704-2023</t>
        </is>
      </c>
      <c r="B98" s="1" t="n">
        <v>45107</v>
      </c>
      <c r="C98" s="1" t="n">
        <v>45910</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30902-2025</t>
        </is>
      </c>
      <c r="B99" s="1" t="n">
        <v>45832.36104166666</v>
      </c>
      <c r="C99" s="1" t="n">
        <v>45910</v>
      </c>
      <c r="D99" t="inlineStr">
        <is>
          <t>STOCKHOLMS LÄN</t>
        </is>
      </c>
      <c r="E99" t="inlineStr">
        <is>
          <t>VALLENTUNA</t>
        </is>
      </c>
      <c r="G99" t="n">
        <v>8.199999999999999</v>
      </c>
      <c r="H99" t="n">
        <v>0</v>
      </c>
      <c r="I99" t="n">
        <v>0</v>
      </c>
      <c r="J99" t="n">
        <v>0</v>
      </c>
      <c r="K99" t="n">
        <v>0</v>
      </c>
      <c r="L99" t="n">
        <v>0</v>
      </c>
      <c r="M99" t="n">
        <v>0</v>
      </c>
      <c r="N99" t="n">
        <v>0</v>
      </c>
      <c r="O99" t="n">
        <v>0</v>
      </c>
      <c r="P99" t="n">
        <v>0</v>
      </c>
      <c r="Q99" t="n">
        <v>0</v>
      </c>
      <c r="R99" s="2" t="inlineStr"/>
    </row>
    <row r="100" ht="15" customHeight="1">
      <c r="A100" t="inlineStr">
        <is>
          <t>A 19503-2023</t>
        </is>
      </c>
      <c r="B100" s="1" t="n">
        <v>45050.47333333334</v>
      </c>
      <c r="C100" s="1" t="n">
        <v>45910</v>
      </c>
      <c r="D100" t="inlineStr">
        <is>
          <t>STOCKHOLMS LÄN</t>
        </is>
      </c>
      <c r="E100" t="inlineStr">
        <is>
          <t>VALLENTUNA</t>
        </is>
      </c>
      <c r="G100" t="n">
        <v>0.7</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45910</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21612-2021</t>
        </is>
      </c>
      <c r="B102" s="1" t="n">
        <v>44321</v>
      </c>
      <c r="C102" s="1" t="n">
        <v>45910</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13836-2022</t>
        </is>
      </c>
      <c r="B103" s="1" t="n">
        <v>44649</v>
      </c>
      <c r="C103" s="1" t="n">
        <v>45910</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4803-2024</t>
        </is>
      </c>
      <c r="B104" s="1" t="n">
        <v>45328</v>
      </c>
      <c r="C104" s="1" t="n">
        <v>45910</v>
      </c>
      <c r="D104" t="inlineStr">
        <is>
          <t>STOCKHOLMS LÄN</t>
        </is>
      </c>
      <c r="E104" t="inlineStr">
        <is>
          <t>VALLENTUNA</t>
        </is>
      </c>
      <c r="G104" t="n">
        <v>4.6</v>
      </c>
      <c r="H104" t="n">
        <v>0</v>
      </c>
      <c r="I104" t="n">
        <v>0</v>
      </c>
      <c r="J104" t="n">
        <v>0</v>
      </c>
      <c r="K104" t="n">
        <v>0</v>
      </c>
      <c r="L104" t="n">
        <v>0</v>
      </c>
      <c r="M104" t="n">
        <v>0</v>
      </c>
      <c r="N104" t="n">
        <v>0</v>
      </c>
      <c r="O104" t="n">
        <v>0</v>
      </c>
      <c r="P104" t="n">
        <v>0</v>
      </c>
      <c r="Q104" t="n">
        <v>0</v>
      </c>
      <c r="R104" s="2" t="inlineStr"/>
    </row>
    <row r="105" ht="15" customHeight="1">
      <c r="A105" t="inlineStr">
        <is>
          <t>A 28431-2025</t>
        </is>
      </c>
      <c r="B105" s="1" t="n">
        <v>45819.38072916667</v>
      </c>
      <c r="C105" s="1" t="n">
        <v>45910</v>
      </c>
      <c r="D105" t="inlineStr">
        <is>
          <t>STOCKHOLMS LÄN</t>
        </is>
      </c>
      <c r="E105" t="inlineStr">
        <is>
          <t>VALLENTUNA</t>
        </is>
      </c>
      <c r="G105" t="n">
        <v>1.5</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45910</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38102-2024</t>
        </is>
      </c>
      <c r="B107" s="1" t="n">
        <v>45545.36349537037</v>
      </c>
      <c r="C107" s="1" t="n">
        <v>45910</v>
      </c>
      <c r="D107" t="inlineStr">
        <is>
          <t>STOCKHOLMS LÄN</t>
        </is>
      </c>
      <c r="E107" t="inlineStr">
        <is>
          <t>VALLENTUNA</t>
        </is>
      </c>
      <c r="G107" t="n">
        <v>3.2</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45910</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45910</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24943-2024</t>
        </is>
      </c>
      <c r="B110" s="1" t="n">
        <v>45461.62585648148</v>
      </c>
      <c r="C110" s="1" t="n">
        <v>45910</v>
      </c>
      <c r="D110" t="inlineStr">
        <is>
          <t>STOCKHOLMS LÄN</t>
        </is>
      </c>
      <c r="E110" t="inlineStr">
        <is>
          <t>VALLENTUNA</t>
        </is>
      </c>
      <c r="G110" t="n">
        <v>2</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45910</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41206-2025</t>
        </is>
      </c>
      <c r="B112" s="1" t="n">
        <v>45898</v>
      </c>
      <c r="C112" s="1" t="n">
        <v>45910</v>
      </c>
      <c r="D112" t="inlineStr">
        <is>
          <t>STOCKHOLMS LÄN</t>
        </is>
      </c>
      <c r="E112" t="inlineStr">
        <is>
          <t>VALLENTUNA</t>
        </is>
      </c>
      <c r="G112" t="n">
        <v>10</v>
      </c>
      <c r="H112" t="n">
        <v>0</v>
      </c>
      <c r="I112" t="n">
        <v>0</v>
      </c>
      <c r="J112" t="n">
        <v>0</v>
      </c>
      <c r="K112" t="n">
        <v>0</v>
      </c>
      <c r="L112" t="n">
        <v>0</v>
      </c>
      <c r="M112" t="n">
        <v>0</v>
      </c>
      <c r="N112" t="n">
        <v>0</v>
      </c>
      <c r="O112" t="n">
        <v>0</v>
      </c>
      <c r="P112" t="n">
        <v>0</v>
      </c>
      <c r="Q112" t="n">
        <v>0</v>
      </c>
      <c r="R112" s="2" t="inlineStr"/>
    </row>
    <row r="113" ht="15" customHeight="1">
      <c r="A113" t="inlineStr">
        <is>
          <t>A 42613-2025</t>
        </is>
      </c>
      <c r="B113" s="1" t="n">
        <v>45905.70616898148</v>
      </c>
      <c r="C113" s="1" t="n">
        <v>45910</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27868-2025</t>
        </is>
      </c>
      <c r="B114" s="1" t="n">
        <v>45817</v>
      </c>
      <c r="C114" s="1" t="n">
        <v>45910</v>
      </c>
      <c r="D114" t="inlineStr">
        <is>
          <t>STOCKHOLMS LÄN</t>
        </is>
      </c>
      <c r="E114" t="inlineStr">
        <is>
          <t>VALLENTUNA</t>
        </is>
      </c>
      <c r="G114" t="n">
        <v>2.2</v>
      </c>
      <c r="H114" t="n">
        <v>0</v>
      </c>
      <c r="I114" t="n">
        <v>0</v>
      </c>
      <c r="J114" t="n">
        <v>0</v>
      </c>
      <c r="K114" t="n">
        <v>0</v>
      </c>
      <c r="L114" t="n">
        <v>0</v>
      </c>
      <c r="M114" t="n">
        <v>0</v>
      </c>
      <c r="N114" t="n">
        <v>0</v>
      </c>
      <c r="O114" t="n">
        <v>0</v>
      </c>
      <c r="P114" t="n">
        <v>0</v>
      </c>
      <c r="Q114" t="n">
        <v>0</v>
      </c>
      <c r="R114" s="2" t="inlineStr"/>
    </row>
    <row r="115" ht="15" customHeight="1">
      <c r="A115" t="inlineStr">
        <is>
          <t>A 62402-2022</t>
        </is>
      </c>
      <c r="B115" s="1" t="n">
        <v>44923</v>
      </c>
      <c r="C115" s="1" t="n">
        <v>45910</v>
      </c>
      <c r="D115" t="inlineStr">
        <is>
          <t>STOCKHOLMS LÄN</t>
        </is>
      </c>
      <c r="E115" t="inlineStr">
        <is>
          <t>VALLENTUNA</t>
        </is>
      </c>
      <c r="G115" t="n">
        <v>3.8</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45910</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48717-2024</t>
        </is>
      </c>
      <c r="B117" s="1" t="n">
        <v>45593</v>
      </c>
      <c r="C117" s="1" t="n">
        <v>45910</v>
      </c>
      <c r="D117" t="inlineStr">
        <is>
          <t>STOCKHOLMS LÄN</t>
        </is>
      </c>
      <c r="E117" t="inlineStr">
        <is>
          <t>VALLENTUNA</t>
        </is>
      </c>
      <c r="G117" t="n">
        <v>6.2</v>
      </c>
      <c r="H117" t="n">
        <v>0</v>
      </c>
      <c r="I117" t="n">
        <v>0</v>
      </c>
      <c r="J117" t="n">
        <v>0</v>
      </c>
      <c r="K117" t="n">
        <v>0</v>
      </c>
      <c r="L117" t="n">
        <v>0</v>
      </c>
      <c r="M117" t="n">
        <v>0</v>
      </c>
      <c r="N117" t="n">
        <v>0</v>
      </c>
      <c r="O117" t="n">
        <v>0</v>
      </c>
      <c r="P117" t="n">
        <v>0</v>
      </c>
      <c r="Q117" t="n">
        <v>0</v>
      </c>
      <c r="R117" s="2" t="inlineStr"/>
    </row>
    <row r="118" ht="15" customHeight="1">
      <c r="A118" t="inlineStr">
        <is>
          <t>A 22683-2023</t>
        </is>
      </c>
      <c r="B118" s="1" t="n">
        <v>45071</v>
      </c>
      <c r="C118" s="1" t="n">
        <v>45910</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24994-2021</t>
        </is>
      </c>
      <c r="B119" s="1" t="n">
        <v>44341</v>
      </c>
      <c r="C119" s="1" t="n">
        <v>45910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60795-2023</t>
        </is>
      </c>
      <c r="B120" s="1" t="n">
        <v>45260</v>
      </c>
      <c r="C120" s="1" t="n">
        <v>45910</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45910</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17411-2023</t>
        </is>
      </c>
      <c r="B122" s="1" t="n">
        <v>45035.82512731481</v>
      </c>
      <c r="C122" s="1" t="n">
        <v>45910</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1385-2024</t>
        </is>
      </c>
      <c r="B123" s="1" t="n">
        <v>45303</v>
      </c>
      <c r="C123" s="1" t="n">
        <v>45910</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14775-2024</t>
        </is>
      </c>
      <c r="B124" s="1" t="n">
        <v>45397.73675925926</v>
      </c>
      <c r="C124" s="1" t="n">
        <v>45910</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8565-2025</t>
        </is>
      </c>
      <c r="B125" s="1" t="n">
        <v>45709</v>
      </c>
      <c r="C125" s="1" t="n">
        <v>45910</v>
      </c>
      <c r="D125" t="inlineStr">
        <is>
          <t>STOCKHOLMS LÄN</t>
        </is>
      </c>
      <c r="E125" t="inlineStr">
        <is>
          <t>VALLENTUNA</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8787-2024</t>
        </is>
      </c>
      <c r="B126" s="1" t="n">
        <v>45356</v>
      </c>
      <c r="C126" s="1" t="n">
        <v>45910</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45910</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45910</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52562-2023</t>
        </is>
      </c>
      <c r="B129" s="1" t="n">
        <v>45225</v>
      </c>
      <c r="C129" s="1" t="n">
        <v>45910</v>
      </c>
      <c r="D129" t="inlineStr">
        <is>
          <t>STOCKHOLMS LÄN</t>
        </is>
      </c>
      <c r="E129" t="inlineStr">
        <is>
          <t>VALLENTUNA</t>
        </is>
      </c>
      <c r="G129" t="n">
        <v>3.4</v>
      </c>
      <c r="H129" t="n">
        <v>0</v>
      </c>
      <c r="I129" t="n">
        <v>0</v>
      </c>
      <c r="J129" t="n">
        <v>0</v>
      </c>
      <c r="K129" t="n">
        <v>0</v>
      </c>
      <c r="L129" t="n">
        <v>0</v>
      </c>
      <c r="M129" t="n">
        <v>0</v>
      </c>
      <c r="N129" t="n">
        <v>0</v>
      </c>
      <c r="O129" t="n">
        <v>0</v>
      </c>
      <c r="P129" t="n">
        <v>0</v>
      </c>
      <c r="Q129" t="n">
        <v>0</v>
      </c>
      <c r="R129" s="2" t="inlineStr"/>
    </row>
    <row r="130" ht="15" customHeight="1">
      <c r="A130" t="inlineStr">
        <is>
          <t>A 49530-2023</t>
        </is>
      </c>
      <c r="B130" s="1" t="n">
        <v>45205</v>
      </c>
      <c r="C130" s="1" t="n">
        <v>45910</v>
      </c>
      <c r="D130" t="inlineStr">
        <is>
          <t>STOCKHOLMS LÄN</t>
        </is>
      </c>
      <c r="E130" t="inlineStr">
        <is>
          <t>VALLENTUNA</t>
        </is>
      </c>
      <c r="G130" t="n">
        <v>1.2</v>
      </c>
      <c r="H130" t="n">
        <v>0</v>
      </c>
      <c r="I130" t="n">
        <v>0</v>
      </c>
      <c r="J130" t="n">
        <v>0</v>
      </c>
      <c r="K130" t="n">
        <v>0</v>
      </c>
      <c r="L130" t="n">
        <v>0</v>
      </c>
      <c r="M130" t="n">
        <v>0</v>
      </c>
      <c r="N130" t="n">
        <v>0</v>
      </c>
      <c r="O130" t="n">
        <v>0</v>
      </c>
      <c r="P130" t="n">
        <v>0</v>
      </c>
      <c r="Q130" t="n">
        <v>0</v>
      </c>
      <c r="R130" s="2" t="inlineStr"/>
    </row>
    <row r="131" ht="15" customHeight="1">
      <c r="A131" t="inlineStr">
        <is>
          <t>A 52542-2023</t>
        </is>
      </c>
      <c r="B131" s="1" t="n">
        <v>45225</v>
      </c>
      <c r="C131" s="1" t="n">
        <v>45910</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2318-2024</t>
        </is>
      </c>
      <c r="B132" s="1" t="n">
        <v>45310</v>
      </c>
      <c r="C132" s="1" t="n">
        <v>45910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9063-2024</t>
        </is>
      </c>
      <c r="B133" s="1" t="n">
        <v>45357.72652777778</v>
      </c>
      <c r="C133" s="1" t="n">
        <v>45910</v>
      </c>
      <c r="D133" t="inlineStr">
        <is>
          <t>STOCKHOLMS LÄN</t>
        </is>
      </c>
      <c r="E133" t="inlineStr">
        <is>
          <t>VALLENTUNA</t>
        </is>
      </c>
      <c r="G133" t="n">
        <v>4.1</v>
      </c>
      <c r="H133" t="n">
        <v>0</v>
      </c>
      <c r="I133" t="n">
        <v>0</v>
      </c>
      <c r="J133" t="n">
        <v>0</v>
      </c>
      <c r="K133" t="n">
        <v>0</v>
      </c>
      <c r="L133" t="n">
        <v>0</v>
      </c>
      <c r="M133" t="n">
        <v>0</v>
      </c>
      <c r="N133" t="n">
        <v>0</v>
      </c>
      <c r="O133" t="n">
        <v>0</v>
      </c>
      <c r="P133" t="n">
        <v>0</v>
      </c>
      <c r="Q133" t="n">
        <v>0</v>
      </c>
      <c r="R133" s="2" t="inlineStr"/>
    </row>
    <row r="134" ht="15" customHeight="1">
      <c r="A134" t="inlineStr">
        <is>
          <t>A 7264-2022</t>
        </is>
      </c>
      <c r="B134" s="1" t="n">
        <v>44606</v>
      </c>
      <c r="C134" s="1" t="n">
        <v>45910</v>
      </c>
      <c r="D134" t="inlineStr">
        <is>
          <t>STOCKHOLMS LÄN</t>
        </is>
      </c>
      <c r="E134" t="inlineStr">
        <is>
          <t>VALLENTUNA</t>
        </is>
      </c>
      <c r="G134" t="n">
        <v>2.4</v>
      </c>
      <c r="H134" t="n">
        <v>0</v>
      </c>
      <c r="I134" t="n">
        <v>0</v>
      </c>
      <c r="J134" t="n">
        <v>0</v>
      </c>
      <c r="K134" t="n">
        <v>0</v>
      </c>
      <c r="L134" t="n">
        <v>0</v>
      </c>
      <c r="M134" t="n">
        <v>0</v>
      </c>
      <c r="N134" t="n">
        <v>0</v>
      </c>
      <c r="O134" t="n">
        <v>0</v>
      </c>
      <c r="P134" t="n">
        <v>0</v>
      </c>
      <c r="Q134" t="n">
        <v>0</v>
      </c>
      <c r="R134" s="2" t="inlineStr"/>
    </row>
    <row r="135" ht="15" customHeight="1">
      <c r="A135" t="inlineStr">
        <is>
          <t>A 21445-2023</t>
        </is>
      </c>
      <c r="B135" s="1" t="n">
        <v>45063</v>
      </c>
      <c r="C135" s="1" t="n">
        <v>45910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34441-2023</t>
        </is>
      </c>
      <c r="B136" s="1" t="n">
        <v>45139</v>
      </c>
      <c r="C136" s="1" t="n">
        <v>45910</v>
      </c>
      <c r="D136" t="inlineStr">
        <is>
          <t>STOCKHOLMS LÄN</t>
        </is>
      </c>
      <c r="E136" t="inlineStr">
        <is>
          <t>VALLENTUNA</t>
        </is>
      </c>
      <c r="G136" t="n">
        <v>1.6</v>
      </c>
      <c r="H136" t="n">
        <v>0</v>
      </c>
      <c r="I136" t="n">
        <v>0</v>
      </c>
      <c r="J136" t="n">
        <v>0</v>
      </c>
      <c r="K136" t="n">
        <v>0</v>
      </c>
      <c r="L136" t="n">
        <v>0</v>
      </c>
      <c r="M136" t="n">
        <v>0</v>
      </c>
      <c r="N136" t="n">
        <v>0</v>
      </c>
      <c r="O136" t="n">
        <v>0</v>
      </c>
      <c r="P136" t="n">
        <v>0</v>
      </c>
      <c r="Q136" t="n">
        <v>0</v>
      </c>
      <c r="R136" s="2" t="inlineStr"/>
    </row>
    <row r="137" ht="15" customHeight="1">
      <c r="A137" t="inlineStr">
        <is>
          <t>A 34445-2023</t>
        </is>
      </c>
      <c r="B137" s="1" t="n">
        <v>45139</v>
      </c>
      <c r="C137" s="1" t="n">
        <v>45910</v>
      </c>
      <c r="D137" t="inlineStr">
        <is>
          <t>STOCKHOLMS LÄN</t>
        </is>
      </c>
      <c r="E137" t="inlineStr">
        <is>
          <t>VALLENTUNA</t>
        </is>
      </c>
      <c r="G137" t="n">
        <v>0.9</v>
      </c>
      <c r="H137" t="n">
        <v>0</v>
      </c>
      <c r="I137" t="n">
        <v>0</v>
      </c>
      <c r="J137" t="n">
        <v>0</v>
      </c>
      <c r="K137" t="n">
        <v>0</v>
      </c>
      <c r="L137" t="n">
        <v>0</v>
      </c>
      <c r="M137" t="n">
        <v>0</v>
      </c>
      <c r="N137" t="n">
        <v>0</v>
      </c>
      <c r="O137" t="n">
        <v>0</v>
      </c>
      <c r="P137" t="n">
        <v>0</v>
      </c>
      <c r="Q137" t="n">
        <v>0</v>
      </c>
      <c r="R137" s="2" t="inlineStr"/>
    </row>
    <row r="138" ht="15" customHeight="1">
      <c r="A138" t="inlineStr">
        <is>
          <t>A 34460-2023</t>
        </is>
      </c>
      <c r="B138" s="1" t="n">
        <v>45139</v>
      </c>
      <c r="C138" s="1" t="n">
        <v>45910</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19356-2025</t>
        </is>
      </c>
      <c r="B139" s="1" t="n">
        <v>45769.62061342593</v>
      </c>
      <c r="C139" s="1" t="n">
        <v>45910</v>
      </c>
      <c r="D139" t="inlineStr">
        <is>
          <t>STOCKHOLMS LÄN</t>
        </is>
      </c>
      <c r="E139" t="inlineStr">
        <is>
          <t>VALLENTUNA</t>
        </is>
      </c>
      <c r="F139" t="inlineStr">
        <is>
          <t>Övriga Aktiebolag</t>
        </is>
      </c>
      <c r="G139" t="n">
        <v>1.6</v>
      </c>
      <c r="H139" t="n">
        <v>0</v>
      </c>
      <c r="I139" t="n">
        <v>0</v>
      </c>
      <c r="J139" t="n">
        <v>0</v>
      </c>
      <c r="K139" t="n">
        <v>0</v>
      </c>
      <c r="L139" t="n">
        <v>0</v>
      </c>
      <c r="M139" t="n">
        <v>0</v>
      </c>
      <c r="N139" t="n">
        <v>0</v>
      </c>
      <c r="O139" t="n">
        <v>0</v>
      </c>
      <c r="P139" t="n">
        <v>0</v>
      </c>
      <c r="Q139" t="n">
        <v>0</v>
      </c>
      <c r="R139" s="2" t="inlineStr"/>
    </row>
    <row r="140">
      <c r="A140" t="inlineStr">
        <is>
          <t>A 11950-2025</t>
        </is>
      </c>
      <c r="B140" s="1" t="n">
        <v>45728.55622685186</v>
      </c>
      <c r="C140" s="1" t="n">
        <v>45910</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2025-09-10T18:17:07Z</dcterms:created>
  <dcterms:modified xmlns:dcterms="http://purl.org/dc/terms/" xmlns:xsi="http://www.w3.org/2001/XMLSchema-instance" xsi:type="dcterms:W3CDTF">2025-09-10T18:17:07Z</dcterms:modified>
</cp:coreProperties>
</file>