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45796</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45796</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45796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45796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45796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45796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45796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45796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45796</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45796</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45796</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45796</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45796</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45796</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45796</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45796</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45796</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45796</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45796</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45796</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45796</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36119-2023</t>
        </is>
      </c>
      <c r="B23" s="1" t="n">
        <v>45148</v>
      </c>
      <c r="C23" s="1" t="n">
        <v>45796</v>
      </c>
      <c r="D23" t="inlineStr">
        <is>
          <t>STOCKHOLMS LÄN</t>
        </is>
      </c>
      <c r="E23" t="inlineStr">
        <is>
          <t>VALLENTUNA</t>
        </is>
      </c>
      <c r="G23" t="n">
        <v>16.3</v>
      </c>
      <c r="H23" t="n">
        <v>1</v>
      </c>
      <c r="I23" t="n">
        <v>1</v>
      </c>
      <c r="J23" t="n">
        <v>3</v>
      </c>
      <c r="K23" t="n">
        <v>0</v>
      </c>
      <c r="L23" t="n">
        <v>0</v>
      </c>
      <c r="M23" t="n">
        <v>0</v>
      </c>
      <c r="N23" t="n">
        <v>0</v>
      </c>
      <c r="O23" t="n">
        <v>3</v>
      </c>
      <c r="P23" t="n">
        <v>0</v>
      </c>
      <c r="Q23" t="n">
        <v>5</v>
      </c>
      <c r="R23" s="2" t="inlineStr">
        <is>
          <t>Backtimjan
Orange taggsvamp
Solvända
Fjällig taggsvamp s.str.
Blåsippa</t>
        </is>
      </c>
      <c r="S23">
        <f>HYPERLINK("https://klasma.github.io/Logging_0115/artfynd/A 36119-2023 artfynd.xlsx", "A 36119-2023")</f>
        <v/>
      </c>
      <c r="T23">
        <f>HYPERLINK("https://klasma.github.io/Logging_0115/kartor/A 36119-2023 karta.png", "A 36119-2023")</f>
        <v/>
      </c>
      <c r="V23">
        <f>HYPERLINK("https://klasma.github.io/Logging_0115/klagomål/A 36119-2023 FSC-klagomål.docx", "A 36119-2023")</f>
        <v/>
      </c>
      <c r="W23">
        <f>HYPERLINK("https://klasma.github.io/Logging_0115/klagomålsmail/A 36119-2023 FSC-klagomål mail.docx", "A 36119-2023")</f>
        <v/>
      </c>
      <c r="X23">
        <f>HYPERLINK("https://klasma.github.io/Logging_0115/tillsyn/A 36119-2023 tillsynsbegäran.docx", "A 36119-2023")</f>
        <v/>
      </c>
      <c r="Y23">
        <f>HYPERLINK("https://klasma.github.io/Logging_0115/tillsynsmail/A 36119-2023 tillsynsbegäran mail.docx", "A 36119-2023")</f>
        <v/>
      </c>
    </row>
    <row r="24" ht="15" customHeight="1">
      <c r="A24" t="inlineStr">
        <is>
          <t>A 39283-2023</t>
        </is>
      </c>
      <c r="B24" s="1" t="n">
        <v>45166</v>
      </c>
      <c r="C24" s="1" t="n">
        <v>45796</v>
      </c>
      <c r="D24" t="inlineStr">
        <is>
          <t>STOCKHOLMS LÄN</t>
        </is>
      </c>
      <c r="E24" t="inlineStr">
        <is>
          <t>VALLENTUNA</t>
        </is>
      </c>
      <c r="G24" t="n">
        <v>3.1</v>
      </c>
      <c r="H24" t="n">
        <v>1</v>
      </c>
      <c r="I24" t="n">
        <v>3</v>
      </c>
      <c r="J24" t="n">
        <v>1</v>
      </c>
      <c r="K24" t="n">
        <v>0</v>
      </c>
      <c r="L24" t="n">
        <v>0</v>
      </c>
      <c r="M24" t="n">
        <v>0</v>
      </c>
      <c r="N24" t="n">
        <v>0</v>
      </c>
      <c r="O24" t="n">
        <v>1</v>
      </c>
      <c r="P24" t="n">
        <v>0</v>
      </c>
      <c r="Q24" t="n">
        <v>5</v>
      </c>
      <c r="R24" s="2" t="inlineStr">
        <is>
          <t>Tallticka
Anisspindling
Granbarkgnagare
Rödgul trumpetsvamp
Blåsippa</t>
        </is>
      </c>
      <c r="S24">
        <f>HYPERLINK("https://klasma.github.io/Logging_0115/artfynd/A 39283-2023 artfynd.xlsx", "A 39283-2023")</f>
        <v/>
      </c>
      <c r="T24">
        <f>HYPERLINK("https://klasma.github.io/Logging_0115/kartor/A 39283-2023 karta.png", "A 39283-2023")</f>
        <v/>
      </c>
      <c r="V24">
        <f>HYPERLINK("https://klasma.github.io/Logging_0115/klagomål/A 39283-2023 FSC-klagomål.docx", "A 39283-2023")</f>
        <v/>
      </c>
      <c r="W24">
        <f>HYPERLINK("https://klasma.github.io/Logging_0115/klagomålsmail/A 39283-2023 FSC-klagomål mail.docx", "A 39283-2023")</f>
        <v/>
      </c>
      <c r="X24">
        <f>HYPERLINK("https://klasma.github.io/Logging_0115/tillsyn/A 39283-2023 tillsynsbegäran.docx", "A 39283-2023")</f>
        <v/>
      </c>
      <c r="Y24">
        <f>HYPERLINK("https://klasma.github.io/Logging_0115/tillsynsmail/A 39283-2023 tillsynsbegäran mail.docx", "A 39283-2023")</f>
        <v/>
      </c>
    </row>
    <row r="25" ht="15" customHeight="1">
      <c r="A25" t="inlineStr">
        <is>
          <t>A 45221-2024</t>
        </is>
      </c>
      <c r="B25" s="1" t="n">
        <v>45575</v>
      </c>
      <c r="C25" s="1" t="n">
        <v>45796</v>
      </c>
      <c r="D25" t="inlineStr">
        <is>
          <t>STOCKHOLMS LÄN</t>
        </is>
      </c>
      <c r="E25" t="inlineStr">
        <is>
          <t>VALLENTUNA</t>
        </is>
      </c>
      <c r="G25" t="n">
        <v>4.9</v>
      </c>
      <c r="H25" t="n">
        <v>1</v>
      </c>
      <c r="I25" t="n">
        <v>2</v>
      </c>
      <c r="J25" t="n">
        <v>3</v>
      </c>
      <c r="K25" t="n">
        <v>0</v>
      </c>
      <c r="L25" t="n">
        <v>0</v>
      </c>
      <c r="M25" t="n">
        <v>0</v>
      </c>
      <c r="N25" t="n">
        <v>0</v>
      </c>
      <c r="O25" t="n">
        <v>3</v>
      </c>
      <c r="P25" t="n">
        <v>0</v>
      </c>
      <c r="Q25" t="n">
        <v>5</v>
      </c>
      <c r="R25" s="2" t="inlineStr">
        <is>
          <t>Motaggsvamp
Spillkråka
Vedskivlav
Grönpyrola
Mindre märgborre</t>
        </is>
      </c>
      <c r="S25">
        <f>HYPERLINK("https://klasma.github.io/Logging_0115/artfynd/A 45221-2024 artfynd.xlsx", "A 45221-2024")</f>
        <v/>
      </c>
      <c r="T25">
        <f>HYPERLINK("https://klasma.github.io/Logging_0115/kartor/A 45221-2024 karta.png", "A 45221-2024")</f>
        <v/>
      </c>
      <c r="V25">
        <f>HYPERLINK("https://klasma.github.io/Logging_0115/klagomål/A 45221-2024 FSC-klagomål.docx", "A 45221-2024")</f>
        <v/>
      </c>
      <c r="W25">
        <f>HYPERLINK("https://klasma.github.io/Logging_0115/klagomålsmail/A 45221-2024 FSC-klagomål mail.docx", "A 45221-2024")</f>
        <v/>
      </c>
      <c r="X25">
        <f>HYPERLINK("https://klasma.github.io/Logging_0115/tillsyn/A 45221-2024 tillsynsbegäran.docx", "A 45221-2024")</f>
        <v/>
      </c>
      <c r="Y25">
        <f>HYPERLINK("https://klasma.github.io/Logging_0115/tillsynsmail/A 45221-2024 tillsynsbegäran mail.docx", "A 45221-2024")</f>
        <v/>
      </c>
      <c r="Z25">
        <f>HYPERLINK("https://klasma.github.io/Logging_0115/fåglar/A 45221-2024 prioriterade fågelarter.docx", "A 45221-2024")</f>
        <v/>
      </c>
    </row>
    <row r="26" ht="15" customHeight="1">
      <c r="A26" t="inlineStr">
        <is>
          <t>A 68127-2019</t>
        </is>
      </c>
      <c r="B26" s="1" t="n">
        <v>43817</v>
      </c>
      <c r="C26" s="1" t="n">
        <v>45796</v>
      </c>
      <c r="D26" t="inlineStr">
        <is>
          <t>STOCKHOLMS LÄN</t>
        </is>
      </c>
      <c r="E26" t="inlineStr">
        <is>
          <t>VALLENTUNA</t>
        </is>
      </c>
      <c r="G26" t="n">
        <v>2.9</v>
      </c>
      <c r="H26" t="n">
        <v>1</v>
      </c>
      <c r="I26" t="n">
        <v>1</v>
      </c>
      <c r="J26" t="n">
        <v>1</v>
      </c>
      <c r="K26" t="n">
        <v>0</v>
      </c>
      <c r="L26" t="n">
        <v>0</v>
      </c>
      <c r="M26" t="n">
        <v>1</v>
      </c>
      <c r="N26" t="n">
        <v>0</v>
      </c>
      <c r="O26" t="n">
        <v>2</v>
      </c>
      <c r="P26" t="n">
        <v>1</v>
      </c>
      <c r="Q26" t="n">
        <v>4</v>
      </c>
      <c r="R26" s="2" t="inlineStr">
        <is>
          <t>Skogsalm
Bronspraktbagge
Mörk husmossa
Bred kärrtrollslända</t>
        </is>
      </c>
      <c r="S26">
        <f>HYPERLINK("https://klasma.github.io/Logging_0115/artfynd/A 68127-2019 artfynd.xlsx", "A 68127-2019")</f>
        <v/>
      </c>
      <c r="T26">
        <f>HYPERLINK("https://klasma.github.io/Logging_0115/kartor/A 68127-2019 karta.png", "A 68127-2019")</f>
        <v/>
      </c>
      <c r="V26">
        <f>HYPERLINK("https://klasma.github.io/Logging_0115/klagomål/A 68127-2019 FSC-klagomål.docx", "A 68127-2019")</f>
        <v/>
      </c>
      <c r="W26">
        <f>HYPERLINK("https://klasma.github.io/Logging_0115/klagomålsmail/A 68127-2019 FSC-klagomål mail.docx", "A 68127-2019")</f>
        <v/>
      </c>
      <c r="X26">
        <f>HYPERLINK("https://klasma.github.io/Logging_0115/tillsyn/A 68127-2019 tillsynsbegäran.docx", "A 68127-2019")</f>
        <v/>
      </c>
      <c r="Y26">
        <f>HYPERLINK("https://klasma.github.io/Logging_0115/tillsynsmail/A 68127-2019 tillsynsbegäran mail.docx", "A 68127-2019")</f>
        <v/>
      </c>
    </row>
    <row r="27" ht="15" customHeight="1">
      <c r="A27" t="inlineStr">
        <is>
          <t>A 8500-2022</t>
        </is>
      </c>
      <c r="B27" s="1" t="n">
        <v>44613</v>
      </c>
      <c r="C27" s="1" t="n">
        <v>45796</v>
      </c>
      <c r="D27" t="inlineStr">
        <is>
          <t>STOCKHOLMS LÄN</t>
        </is>
      </c>
      <c r="E27" t="inlineStr">
        <is>
          <t>VALLENTUNA</t>
        </is>
      </c>
      <c r="G27" t="n">
        <v>5</v>
      </c>
      <c r="H27" t="n">
        <v>1</v>
      </c>
      <c r="I27" t="n">
        <v>3</v>
      </c>
      <c r="J27" t="n">
        <v>1</v>
      </c>
      <c r="K27" t="n">
        <v>0</v>
      </c>
      <c r="L27" t="n">
        <v>0</v>
      </c>
      <c r="M27" t="n">
        <v>0</v>
      </c>
      <c r="N27" t="n">
        <v>0</v>
      </c>
      <c r="O27" t="n">
        <v>1</v>
      </c>
      <c r="P27" t="n">
        <v>0</v>
      </c>
      <c r="Q27" t="n">
        <v>4</v>
      </c>
      <c r="R27" s="2" t="inlineStr">
        <is>
          <t>Spillkråka
Blåmossa
Bronshjon
Vedticka</t>
        </is>
      </c>
      <c r="S27">
        <f>HYPERLINK("https://klasma.github.io/Logging_0115/artfynd/A 8500-2022 artfynd.xlsx", "A 8500-2022")</f>
        <v/>
      </c>
      <c r="T27">
        <f>HYPERLINK("https://klasma.github.io/Logging_0115/kartor/A 8500-2022 karta.png", "A 8500-2022")</f>
        <v/>
      </c>
      <c r="U27">
        <f>HYPERLINK("https://klasma.github.io/Logging_0115/knärot/A 8500-2022 karta knärot.png", "A 8500-2022")</f>
        <v/>
      </c>
      <c r="V27">
        <f>HYPERLINK("https://klasma.github.io/Logging_0115/klagomål/A 8500-2022 FSC-klagomål.docx", "A 8500-2022")</f>
        <v/>
      </c>
      <c r="W27">
        <f>HYPERLINK("https://klasma.github.io/Logging_0115/klagomålsmail/A 8500-2022 FSC-klagomål mail.docx", "A 8500-2022")</f>
        <v/>
      </c>
      <c r="X27">
        <f>HYPERLINK("https://klasma.github.io/Logging_0115/tillsyn/A 8500-2022 tillsynsbegäran.docx", "A 8500-2022")</f>
        <v/>
      </c>
      <c r="Y27">
        <f>HYPERLINK("https://klasma.github.io/Logging_0115/tillsynsmail/A 8500-2022 tillsynsbegäran mail.docx", "A 8500-2022")</f>
        <v/>
      </c>
      <c r="Z27">
        <f>HYPERLINK("https://klasma.github.io/Logging_0115/fåglar/A 8500-2022 prioriterade fågelarter.docx", "A 8500-2022")</f>
        <v/>
      </c>
    </row>
    <row r="28" ht="15" customHeight="1">
      <c r="A28" t="inlineStr">
        <is>
          <t>A 12577-2023</t>
        </is>
      </c>
      <c r="B28" s="1" t="n">
        <v>45000</v>
      </c>
      <c r="C28" s="1" t="n">
        <v>45796</v>
      </c>
      <c r="D28" t="inlineStr">
        <is>
          <t>STOCKHOLMS LÄN</t>
        </is>
      </c>
      <c r="E28" t="inlineStr">
        <is>
          <t>VALLENTUNA</t>
        </is>
      </c>
      <c r="G28" t="n">
        <v>3</v>
      </c>
      <c r="H28" t="n">
        <v>2</v>
      </c>
      <c r="I28" t="n">
        <v>3</v>
      </c>
      <c r="J28" t="n">
        <v>0</v>
      </c>
      <c r="K28" t="n">
        <v>0</v>
      </c>
      <c r="L28" t="n">
        <v>0</v>
      </c>
      <c r="M28" t="n">
        <v>0</v>
      </c>
      <c r="N28" t="n">
        <v>0</v>
      </c>
      <c r="O28" t="n">
        <v>0</v>
      </c>
      <c r="P28" t="n">
        <v>0</v>
      </c>
      <c r="Q28" t="n">
        <v>4</v>
      </c>
      <c r="R28" s="2" t="inlineStr">
        <is>
          <t>Grön sköldmossa
Jättesvampmal
Rävticka
Blåsippa</t>
        </is>
      </c>
      <c r="S28">
        <f>HYPERLINK("https://klasma.github.io/Logging_0115/artfynd/A 12577-2023 artfynd.xlsx", "A 12577-2023")</f>
        <v/>
      </c>
      <c r="T28">
        <f>HYPERLINK("https://klasma.github.io/Logging_0115/kartor/A 12577-2023 karta.png", "A 12577-2023")</f>
        <v/>
      </c>
      <c r="V28">
        <f>HYPERLINK("https://klasma.github.io/Logging_0115/klagomål/A 12577-2023 FSC-klagomål.docx", "A 12577-2023")</f>
        <v/>
      </c>
      <c r="W28">
        <f>HYPERLINK("https://klasma.github.io/Logging_0115/klagomålsmail/A 12577-2023 FSC-klagomål mail.docx", "A 12577-2023")</f>
        <v/>
      </c>
      <c r="X28">
        <f>HYPERLINK("https://klasma.github.io/Logging_0115/tillsyn/A 12577-2023 tillsynsbegäran.docx", "A 12577-2023")</f>
        <v/>
      </c>
      <c r="Y28">
        <f>HYPERLINK("https://klasma.github.io/Logging_0115/tillsynsmail/A 12577-2023 tillsynsbegäran mail.docx", "A 12577-2023")</f>
        <v/>
      </c>
    </row>
    <row r="29" ht="15" customHeight="1">
      <c r="A29" t="inlineStr">
        <is>
          <t>A 50435-2024</t>
        </is>
      </c>
      <c r="B29" s="1" t="n">
        <v>45601</v>
      </c>
      <c r="C29" s="1" t="n">
        <v>45796</v>
      </c>
      <c r="D29" t="inlineStr">
        <is>
          <t>STOCKHOLMS LÄN</t>
        </is>
      </c>
      <c r="E29" t="inlineStr">
        <is>
          <t>VALLENTUNA</t>
        </is>
      </c>
      <c r="F29" t="inlineStr">
        <is>
          <t>Allmännings- och besparingsskogar</t>
        </is>
      </c>
      <c r="G29" t="n">
        <v>2.3</v>
      </c>
      <c r="H29" t="n">
        <v>3</v>
      </c>
      <c r="I29" t="n">
        <v>1</v>
      </c>
      <c r="J29" t="n">
        <v>2</v>
      </c>
      <c r="K29" t="n">
        <v>0</v>
      </c>
      <c r="L29" t="n">
        <v>0</v>
      </c>
      <c r="M29" t="n">
        <v>0</v>
      </c>
      <c r="N29" t="n">
        <v>0</v>
      </c>
      <c r="O29" t="n">
        <v>2</v>
      </c>
      <c r="P29" t="n">
        <v>0</v>
      </c>
      <c r="Q29" t="n">
        <v>4</v>
      </c>
      <c r="R29" s="2" t="inlineStr">
        <is>
          <t>Grönsångare
Talltita
Tibast
Tjäder</t>
        </is>
      </c>
      <c r="S29">
        <f>HYPERLINK("https://klasma.github.io/Logging_0115/artfynd/A 50435-2024 artfynd.xlsx", "A 50435-2024")</f>
        <v/>
      </c>
      <c r="T29">
        <f>HYPERLINK("https://klasma.github.io/Logging_0115/kartor/A 50435-2024 karta.png", "A 50435-2024")</f>
        <v/>
      </c>
      <c r="V29">
        <f>HYPERLINK("https://klasma.github.io/Logging_0115/klagomål/A 50435-2024 FSC-klagomål.docx", "A 50435-2024")</f>
        <v/>
      </c>
      <c r="W29">
        <f>HYPERLINK("https://klasma.github.io/Logging_0115/klagomålsmail/A 50435-2024 FSC-klagomål mail.docx", "A 50435-2024")</f>
        <v/>
      </c>
      <c r="X29">
        <f>HYPERLINK("https://klasma.github.io/Logging_0115/tillsyn/A 50435-2024 tillsynsbegäran.docx", "A 50435-2024")</f>
        <v/>
      </c>
      <c r="Y29">
        <f>HYPERLINK("https://klasma.github.io/Logging_0115/tillsynsmail/A 50435-2024 tillsynsbegäran mail.docx", "A 50435-2024")</f>
        <v/>
      </c>
      <c r="Z29">
        <f>HYPERLINK("https://klasma.github.io/Logging_0115/fåglar/A 50435-2024 prioriterade fågelarter.docx", "A 50435-2024")</f>
        <v/>
      </c>
    </row>
    <row r="30" ht="15" customHeight="1">
      <c r="A30" t="inlineStr">
        <is>
          <t>A 18446-2025</t>
        </is>
      </c>
      <c r="B30" s="1" t="n">
        <v>45762</v>
      </c>
      <c r="C30" s="1" t="n">
        <v>45796</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45796</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45796</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45796</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45796</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45796</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45796</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45796</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45796</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45796</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45796</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45796</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45796</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45796</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45796</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45796</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45796</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45796</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45796</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45796</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45796</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45796</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45796</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45796</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45796</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45796</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45796</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45796</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45796</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45796</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45796</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45796</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45796</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45796</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45796</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45796</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45796</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45796</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45796</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45796</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45796</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45796</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45796</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45796</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45796</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45796</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45796</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45796</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45796</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45796</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45796</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45796</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45796</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45796</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45796</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45796</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45796</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45796</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45796</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45796</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45796</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45796</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45796</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45796</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45796</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45796</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45796</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45796</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45796</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45796</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45796</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45796</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45796</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45796</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45796</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45796</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45796</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45796</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45796</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45796</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45796</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45796</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45796</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45796</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45796</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45796</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45796</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45796</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45796</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45796</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45796</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45796</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45796</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45796</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45796</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45796</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45796</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45796</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45796</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45796</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45796</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45796</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45796</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45796</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45796</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45796</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45796</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45796</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45796</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45796</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45796</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45796</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45796</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45796</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45796</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45796</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45796</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45796</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45796</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45796</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45796</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45796</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45796</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45796</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45796</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45796</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45796</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45796</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45796</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45796</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45796</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45796</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45796</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45796</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45796</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45796</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45796</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45796</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45796</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45796</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45796</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45796</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45796</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45796</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45796</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45796</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45796</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45796</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45796</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45796</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45796</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45796</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45796</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45796</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45796</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45796</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45796</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45796</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45796</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45796</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45796</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45796</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45796</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45796</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45796</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45796</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45796</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45796</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45796</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45796</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45796</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45796</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45796</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45796</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45796</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45796</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45796</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45796</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45796</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45796</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45796</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45796</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45796</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45796</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45796</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45796</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45796</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45796</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45796</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45796</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45796</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45796</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45796</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45796</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45796</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45796</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45796</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45796</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45796</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45796</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45796</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45796</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45796</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45796</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45796</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45796</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45796</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45796</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45796</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45796</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45796</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45796</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45796</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45796</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45796</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45796</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45796</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45796</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45796</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45796</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45796</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45796</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45796</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45796</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45796</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45796</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45796</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45796</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45796</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45796</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45796</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45796</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45796</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45796</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45796</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45796</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45796</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45796</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45796</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45796</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45796</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45796</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45796</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45796</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45796</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45796</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45796</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45796</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45796</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45796</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45796</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45796</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45796</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45796</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45796</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45796</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45796</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45796</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45796</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45796</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45796</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45796</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45796</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45796</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45796</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45796</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45796</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45796</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45796</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45796</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45796</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45796</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45796</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45796</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45796</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45796</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45796</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20786-2025</t>
        </is>
      </c>
      <c r="B307" s="1" t="n">
        <v>45776</v>
      </c>
      <c r="C307" s="1" t="n">
        <v>45796</v>
      </c>
      <c r="D307" t="inlineStr">
        <is>
          <t>STOCKHOLMS LÄN</t>
        </is>
      </c>
      <c r="E307" t="inlineStr">
        <is>
          <t>VALLENTUNA</t>
        </is>
      </c>
      <c r="G307" t="n">
        <v>7.6</v>
      </c>
      <c r="H307" t="n">
        <v>0</v>
      </c>
      <c r="I307" t="n">
        <v>0</v>
      </c>
      <c r="J307" t="n">
        <v>0</v>
      </c>
      <c r="K307" t="n">
        <v>0</v>
      </c>
      <c r="L307" t="n">
        <v>0</v>
      </c>
      <c r="M307" t="n">
        <v>0</v>
      </c>
      <c r="N307" t="n">
        <v>0</v>
      </c>
      <c r="O307" t="n">
        <v>0</v>
      </c>
      <c r="P307" t="n">
        <v>0</v>
      </c>
      <c r="Q307" t="n">
        <v>0</v>
      </c>
      <c r="R307" s="2" t="inlineStr"/>
    </row>
    <row r="308">
      <c r="A308" t="inlineStr">
        <is>
          <t>A 23923-2025</t>
        </is>
      </c>
      <c r="B308" s="1" t="n">
        <v>45795</v>
      </c>
      <c r="C308" s="1" t="n">
        <v>45796</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2025-05-19T18:30:49Z</dcterms:created>
  <dcterms:modified xmlns:dcterms="http://purl.org/dc/terms/" xmlns:xsi="http://www.w3.org/2001/XMLSchema-instance" xsi:type="dcterms:W3CDTF">2025-05-19T18:30:49Z</dcterms:modified>
</cp:coreProperties>
</file>