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46059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46059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46059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46059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46059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46059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46059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46059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46059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46059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46059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46059</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46059</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46059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46059</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46059</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46059</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46059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46059</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46059</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46059</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41021-2023</t>
        </is>
      </c>
      <c r="B23" s="1" t="n">
        <v>45173</v>
      </c>
      <c r="C23" s="1" t="n">
        <v>46059</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46059</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46059</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46059</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46059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46059</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46059</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46059</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63543-2025</t>
        </is>
      </c>
      <c r="B31" s="1" t="n">
        <v>46013.59207175926</v>
      </c>
      <c r="C31" s="1" t="n">
        <v>46059</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63539-2025</t>
        </is>
      </c>
      <c r="B32" s="1" t="n">
        <v>46013.58824074074</v>
      </c>
      <c r="C32" s="1" t="n">
        <v>46059</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54481-2025</t>
        </is>
      </c>
      <c r="B33" s="1" t="n">
        <v>45965.58837962963</v>
      </c>
      <c r="C33" s="1" t="n">
        <v>46059</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7890-2023</t>
        </is>
      </c>
      <c r="B34" s="1" t="n">
        <v>44973</v>
      </c>
      <c r="C34" s="1" t="n">
        <v>46059</v>
      </c>
      <c r="D34" t="inlineStr">
        <is>
          <t>STOCKHOLMS LÄN</t>
        </is>
      </c>
      <c r="E34" t="inlineStr">
        <is>
          <t>VALLENTUNA</t>
        </is>
      </c>
      <c r="G34" t="n">
        <v>0.5</v>
      </c>
      <c r="H34" t="n">
        <v>0</v>
      </c>
      <c r="I34" t="n">
        <v>0</v>
      </c>
      <c r="J34" t="n">
        <v>1</v>
      </c>
      <c r="K34" t="n">
        <v>0</v>
      </c>
      <c r="L34" t="n">
        <v>0</v>
      </c>
      <c r="M34" t="n">
        <v>0</v>
      </c>
      <c r="N34" t="n">
        <v>0</v>
      </c>
      <c r="O34" t="n">
        <v>1</v>
      </c>
      <c r="P34" t="n">
        <v>0</v>
      </c>
      <c r="Q34" t="n">
        <v>1</v>
      </c>
      <c r="R34" s="2" t="inlineStr">
        <is>
          <t>Ullticka</t>
        </is>
      </c>
      <c r="S34">
        <f>HYPERLINK("https://klasma.github.io/Logging_0115/artfynd/A 7890-2023 artfynd.xlsx", "A 7890-2023")</f>
        <v/>
      </c>
      <c r="T34">
        <f>HYPERLINK("https://klasma.github.io/Logging_0115/kartor/A 7890-2023 karta.png", "A 7890-2023")</f>
        <v/>
      </c>
      <c r="V34">
        <f>HYPERLINK("https://klasma.github.io/Logging_0115/klagomål/A 7890-2023 FSC-klagomål.docx", "A 7890-2023")</f>
        <v/>
      </c>
      <c r="W34">
        <f>HYPERLINK("https://klasma.github.io/Logging_0115/klagomålsmail/A 7890-2023 FSC-klagomål mail.docx", "A 7890-2023")</f>
        <v/>
      </c>
      <c r="X34">
        <f>HYPERLINK("https://klasma.github.io/Logging_0115/tillsyn/A 7890-2023 tillsynsbegäran.docx", "A 7890-2023")</f>
        <v/>
      </c>
      <c r="Y34">
        <f>HYPERLINK("https://klasma.github.io/Logging_0115/tillsynsmail/A 7890-2023 tillsynsbegäran mail.docx", "A 7890-2023")</f>
        <v/>
      </c>
    </row>
    <row r="35" ht="15" customHeight="1">
      <c r="A35" t="inlineStr">
        <is>
          <t>A 21-2022</t>
        </is>
      </c>
      <c r="B35" s="1" t="n">
        <v>44560</v>
      </c>
      <c r="C35" s="1" t="n">
        <v>46059</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17341-2025</t>
        </is>
      </c>
      <c r="B36" s="1" t="n">
        <v>45756</v>
      </c>
      <c r="C36" s="1" t="n">
        <v>46059</v>
      </c>
      <c r="D36" t="inlineStr">
        <is>
          <t>STOCKHOLMS LÄN</t>
        </is>
      </c>
      <c r="E36" t="inlineStr">
        <is>
          <t>VALLENTUNA</t>
        </is>
      </c>
      <c r="F36" t="inlineStr">
        <is>
          <t>Övriga Aktiebolag</t>
        </is>
      </c>
      <c r="G36" t="n">
        <v>5.2</v>
      </c>
      <c r="H36" t="n">
        <v>0</v>
      </c>
      <c r="I36" t="n">
        <v>1</v>
      </c>
      <c r="J36" t="n">
        <v>0</v>
      </c>
      <c r="K36" t="n">
        <v>0</v>
      </c>
      <c r="L36" t="n">
        <v>0</v>
      </c>
      <c r="M36" t="n">
        <v>0</v>
      </c>
      <c r="N36" t="n">
        <v>0</v>
      </c>
      <c r="O36" t="n">
        <v>0</v>
      </c>
      <c r="P36" t="n">
        <v>0</v>
      </c>
      <c r="Q36" t="n">
        <v>1</v>
      </c>
      <c r="R36" s="2" t="inlineStr">
        <is>
          <t>Björksplintborre</t>
        </is>
      </c>
      <c r="S36">
        <f>HYPERLINK("https://klasma.github.io/Logging_0115/artfynd/A 17341-2025 artfynd.xlsx", "A 17341-2025")</f>
        <v/>
      </c>
      <c r="T36">
        <f>HYPERLINK("https://klasma.github.io/Logging_0115/kartor/A 17341-2025 karta.png", "A 17341-2025")</f>
        <v/>
      </c>
      <c r="V36">
        <f>HYPERLINK("https://klasma.github.io/Logging_0115/klagomål/A 17341-2025 FSC-klagomål.docx", "A 17341-2025")</f>
        <v/>
      </c>
      <c r="W36">
        <f>HYPERLINK("https://klasma.github.io/Logging_0115/klagomålsmail/A 17341-2025 FSC-klagomål mail.docx", "A 17341-2025")</f>
        <v/>
      </c>
      <c r="X36">
        <f>HYPERLINK("https://klasma.github.io/Logging_0115/tillsyn/A 17341-2025 tillsynsbegäran.docx", "A 17341-2025")</f>
        <v/>
      </c>
      <c r="Y36">
        <f>HYPERLINK("https://klasma.github.io/Logging_0115/tillsynsmail/A 17341-2025 tillsynsbegäran mail.docx", "A 17341-2025")</f>
        <v/>
      </c>
    </row>
    <row r="37" ht="15" customHeight="1">
      <c r="A37" t="inlineStr">
        <is>
          <t>A 34458-2023</t>
        </is>
      </c>
      <c r="B37" s="1" t="n">
        <v>45139</v>
      </c>
      <c r="C37" s="1" t="n">
        <v>46059</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34460-2023</t>
        </is>
      </c>
      <c r="B38" s="1" t="n">
        <v>45139</v>
      </c>
      <c r="C38" s="1" t="n">
        <v>46059</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21439-2025</t>
        </is>
      </c>
      <c r="B39" s="1" t="n">
        <v>45782.52939814814</v>
      </c>
      <c r="C39" s="1" t="n">
        <v>46059</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46059</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46059</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46059</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46059</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46059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46059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46059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46059</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46059</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46059</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46059</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46059</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46059</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46059</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46059</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46059</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46059</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46059</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46059</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46059</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46059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21445-2023</t>
        </is>
      </c>
      <c r="B61" s="1" t="n">
        <v>45063</v>
      </c>
      <c r="C61" s="1" t="n">
        <v>46059</v>
      </c>
      <c r="D61" t="inlineStr">
        <is>
          <t>STOCKHOLMS LÄN</t>
        </is>
      </c>
      <c r="E61" t="inlineStr">
        <is>
          <t>VALLENTUNA</t>
        </is>
      </c>
      <c r="G61" t="n">
        <v>3.1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46059</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24943-2024</t>
        </is>
      </c>
      <c r="B63" s="1" t="n">
        <v>45461.62585648148</v>
      </c>
      <c r="C63" s="1" t="n">
        <v>46059</v>
      </c>
      <c r="D63" t="inlineStr">
        <is>
          <t>STOCKHOLMS LÄN</t>
        </is>
      </c>
      <c r="E63" t="inlineStr">
        <is>
          <t>VALLENTUNA</t>
        </is>
      </c>
      <c r="G63" t="n">
        <v>2</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46059</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44346-2021</t>
        </is>
      </c>
      <c r="B65" s="1" t="n">
        <v>44434</v>
      </c>
      <c r="C65" s="1" t="n">
        <v>46059</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49530-2023</t>
        </is>
      </c>
      <c r="B66" s="1" t="n">
        <v>45205</v>
      </c>
      <c r="C66" s="1" t="n">
        <v>46059</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26390-2023</t>
        </is>
      </c>
      <c r="B67" s="1" t="n">
        <v>45086</v>
      </c>
      <c r="C67" s="1" t="n">
        <v>46059</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24994-2021</t>
        </is>
      </c>
      <c r="B68" s="1" t="n">
        <v>44341</v>
      </c>
      <c r="C68" s="1" t="n">
        <v>46059</v>
      </c>
      <c r="D68" t="inlineStr">
        <is>
          <t>STOCKHOLMS LÄN</t>
        </is>
      </c>
      <c r="E68" t="inlineStr">
        <is>
          <t>VALLENTUNA</t>
        </is>
      </c>
      <c r="G68" t="n">
        <v>2.6</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46059</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46059</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3078-2023</t>
        </is>
      </c>
      <c r="B71" s="1" t="n">
        <v>44946.41527777778</v>
      </c>
      <c r="C71" s="1" t="n">
        <v>46059</v>
      </c>
      <c r="D71" t="inlineStr">
        <is>
          <t>STOCKHOLMS LÄN</t>
        </is>
      </c>
      <c r="E71" t="inlineStr">
        <is>
          <t>VALLENTUNA</t>
        </is>
      </c>
      <c r="G71" t="n">
        <v>3.9</v>
      </c>
      <c r="H71" t="n">
        <v>0</v>
      </c>
      <c r="I71" t="n">
        <v>0</v>
      </c>
      <c r="J71" t="n">
        <v>0</v>
      </c>
      <c r="K71" t="n">
        <v>0</v>
      </c>
      <c r="L71" t="n">
        <v>0</v>
      </c>
      <c r="M71" t="n">
        <v>0</v>
      </c>
      <c r="N71" t="n">
        <v>0</v>
      </c>
      <c r="O71" t="n">
        <v>0</v>
      </c>
      <c r="P71" t="n">
        <v>0</v>
      </c>
      <c r="Q71" t="n">
        <v>0</v>
      </c>
      <c r="R71" s="2" t="inlineStr"/>
    </row>
    <row r="72" ht="15" customHeight="1">
      <c r="A72" t="inlineStr">
        <is>
          <t>A 414-2026</t>
        </is>
      </c>
      <c r="B72" s="1" t="n">
        <v>46028.76050925926</v>
      </c>
      <c r="C72" s="1" t="n">
        <v>46059</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46059</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46059</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27870-2025</t>
        </is>
      </c>
      <c r="B75" s="1" t="n">
        <v>45817</v>
      </c>
      <c r="C75" s="1" t="n">
        <v>46059</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46059</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46059</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46059</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46059</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48068-2021</t>
        </is>
      </c>
      <c r="B80" s="1" t="n">
        <v>44449.42270833333</v>
      </c>
      <c r="C80" s="1" t="n">
        <v>46059</v>
      </c>
      <c r="D80" t="inlineStr">
        <is>
          <t>STOCKHOLMS LÄN</t>
        </is>
      </c>
      <c r="E80" t="inlineStr">
        <is>
          <t>VALLENTUNA</t>
        </is>
      </c>
      <c r="G80" t="n">
        <v>1.3</v>
      </c>
      <c r="H80" t="n">
        <v>0</v>
      </c>
      <c r="I80" t="n">
        <v>0</v>
      </c>
      <c r="J80" t="n">
        <v>0</v>
      </c>
      <c r="K80" t="n">
        <v>0</v>
      </c>
      <c r="L80" t="n">
        <v>0</v>
      </c>
      <c r="M80" t="n">
        <v>0</v>
      </c>
      <c r="N80" t="n">
        <v>0</v>
      </c>
      <c r="O80" t="n">
        <v>0</v>
      </c>
      <c r="P80" t="n">
        <v>0</v>
      </c>
      <c r="Q80" t="n">
        <v>0</v>
      </c>
      <c r="R80" s="2" t="inlineStr"/>
    </row>
    <row r="81" ht="15" customHeight="1">
      <c r="A81" t="inlineStr">
        <is>
          <t>A 61646-2025</t>
        </is>
      </c>
      <c r="B81" s="1" t="n">
        <v>46002</v>
      </c>
      <c r="C81" s="1" t="n">
        <v>46059</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3937-2022</t>
        </is>
      </c>
      <c r="B82" s="1" t="n">
        <v>44587</v>
      </c>
      <c r="C82" s="1" t="n">
        <v>46059</v>
      </c>
      <c r="D82" t="inlineStr">
        <is>
          <t>STOCKHOLMS LÄN</t>
        </is>
      </c>
      <c r="E82" t="inlineStr">
        <is>
          <t>VALLENTUNA</t>
        </is>
      </c>
      <c r="G82" t="n">
        <v>6.6</v>
      </c>
      <c r="H82" t="n">
        <v>0</v>
      </c>
      <c r="I82" t="n">
        <v>0</v>
      </c>
      <c r="J82" t="n">
        <v>0</v>
      </c>
      <c r="K82" t="n">
        <v>0</v>
      </c>
      <c r="L82" t="n">
        <v>0</v>
      </c>
      <c r="M82" t="n">
        <v>0</v>
      </c>
      <c r="N82" t="n">
        <v>0</v>
      </c>
      <c r="O82" t="n">
        <v>0</v>
      </c>
      <c r="P82" t="n">
        <v>0</v>
      </c>
      <c r="Q82" t="n">
        <v>0</v>
      </c>
      <c r="R82" s="2" t="inlineStr"/>
    </row>
    <row r="83" ht="15" customHeight="1">
      <c r="A83" t="inlineStr">
        <is>
          <t>A 60818-2023</t>
        </is>
      </c>
      <c r="B83" s="1" t="n">
        <v>45259</v>
      </c>
      <c r="C83" s="1" t="n">
        <v>46059</v>
      </c>
      <c r="D83" t="inlineStr">
        <is>
          <t>STOCKHOLMS LÄN</t>
        </is>
      </c>
      <c r="E83" t="inlineStr">
        <is>
          <t>VALLENTUNA</t>
        </is>
      </c>
      <c r="G83" t="n">
        <v>9.4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46059</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7264-2022</t>
        </is>
      </c>
      <c r="B85" s="1" t="n">
        <v>44606</v>
      </c>
      <c r="C85" s="1" t="n">
        <v>46059</v>
      </c>
      <c r="D85" t="inlineStr">
        <is>
          <t>STOCKHOLMS LÄN</t>
        </is>
      </c>
      <c r="E85" t="inlineStr">
        <is>
          <t>VALLENTUNA</t>
        </is>
      </c>
      <c r="G85" t="n">
        <v>2.4</v>
      </c>
      <c r="H85" t="n">
        <v>0</v>
      </c>
      <c r="I85" t="n">
        <v>0</v>
      </c>
      <c r="J85" t="n">
        <v>0</v>
      </c>
      <c r="K85" t="n">
        <v>0</v>
      </c>
      <c r="L85" t="n">
        <v>0</v>
      </c>
      <c r="M85" t="n">
        <v>0</v>
      </c>
      <c r="N85" t="n">
        <v>0</v>
      </c>
      <c r="O85" t="n">
        <v>0</v>
      </c>
      <c r="P85" t="n">
        <v>0</v>
      </c>
      <c r="Q85" t="n">
        <v>0</v>
      </c>
      <c r="R85" s="2" t="inlineStr"/>
    </row>
    <row r="86" ht="15" customHeight="1">
      <c r="A86" t="inlineStr">
        <is>
          <t>A 19356-2025</t>
        </is>
      </c>
      <c r="B86" s="1" t="n">
        <v>45769.62061342593</v>
      </c>
      <c r="C86" s="1" t="n">
        <v>46059</v>
      </c>
      <c r="D86" t="inlineStr">
        <is>
          <t>STOCKHOLMS LÄN</t>
        </is>
      </c>
      <c r="E86" t="inlineStr">
        <is>
          <t>VALLENTUNA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12562-2023</t>
        </is>
      </c>
      <c r="B87" s="1" t="n">
        <v>45000</v>
      </c>
      <c r="C87" s="1" t="n">
        <v>46059</v>
      </c>
      <c r="D87" t="inlineStr">
        <is>
          <t>STOCKHOLMS LÄN</t>
        </is>
      </c>
      <c r="E87" t="inlineStr">
        <is>
          <t>VALLENTUNA</t>
        </is>
      </c>
      <c r="G87" t="n">
        <v>2.1</v>
      </c>
      <c r="H87" t="n">
        <v>0</v>
      </c>
      <c r="I87" t="n">
        <v>0</v>
      </c>
      <c r="J87" t="n">
        <v>0</v>
      </c>
      <c r="K87" t="n">
        <v>0</v>
      </c>
      <c r="L87" t="n">
        <v>0</v>
      </c>
      <c r="M87" t="n">
        <v>0</v>
      </c>
      <c r="N87" t="n">
        <v>0</v>
      </c>
      <c r="O87" t="n">
        <v>0</v>
      </c>
      <c r="P87" t="n">
        <v>0</v>
      </c>
      <c r="Q87" t="n">
        <v>0</v>
      </c>
      <c r="R87" s="2" t="inlineStr"/>
    </row>
    <row r="88" ht="15" customHeight="1">
      <c r="A88" t="inlineStr">
        <is>
          <t>A 6298-2026</t>
        </is>
      </c>
      <c r="B88" s="1" t="n">
        <v>46055.5656712963</v>
      </c>
      <c r="C88" s="1" t="n">
        <v>46059</v>
      </c>
      <c r="D88" t="inlineStr">
        <is>
          <t>STOCKHOLMS LÄN</t>
        </is>
      </c>
      <c r="E88" t="inlineStr">
        <is>
          <t>VALLENTUNA</t>
        </is>
      </c>
      <c r="G88" t="n">
        <v>3.3</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46059</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46059</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46059</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46059</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24068-2024</t>
        </is>
      </c>
      <c r="B93" s="1" t="n">
        <v>45456</v>
      </c>
      <c r="C93" s="1" t="n">
        <v>46059</v>
      </c>
      <c r="D93" t="inlineStr">
        <is>
          <t>STOCKHOLMS LÄN</t>
        </is>
      </c>
      <c r="E93" t="inlineStr">
        <is>
          <t>VALLENTUNA</t>
        </is>
      </c>
      <c r="G93" t="n">
        <v>7.4</v>
      </c>
      <c r="H93" t="n">
        <v>0</v>
      </c>
      <c r="I93" t="n">
        <v>0</v>
      </c>
      <c r="J93" t="n">
        <v>0</v>
      </c>
      <c r="K93" t="n">
        <v>0</v>
      </c>
      <c r="L93" t="n">
        <v>0</v>
      </c>
      <c r="M93" t="n">
        <v>0</v>
      </c>
      <c r="N93" t="n">
        <v>0</v>
      </c>
      <c r="O93" t="n">
        <v>0</v>
      </c>
      <c r="P93" t="n">
        <v>0</v>
      </c>
      <c r="Q93" t="n">
        <v>0</v>
      </c>
      <c r="R93" s="2" t="inlineStr"/>
    </row>
    <row r="94" ht="15" customHeight="1">
      <c r="A94" t="inlineStr">
        <is>
          <t>A 24707-2023</t>
        </is>
      </c>
      <c r="B94" s="1" t="n">
        <v>45084</v>
      </c>
      <c r="C94" s="1" t="n">
        <v>46059</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12609-2024</t>
        </is>
      </c>
      <c r="B95" s="1" t="n">
        <v>45382.8109375</v>
      </c>
      <c r="C95" s="1" t="n">
        <v>46059</v>
      </c>
      <c r="D95" t="inlineStr">
        <is>
          <t>STOCKHOLMS LÄN</t>
        </is>
      </c>
      <c r="E95" t="inlineStr">
        <is>
          <t>VALLENTUNA</t>
        </is>
      </c>
      <c r="G95" t="n">
        <v>0.9</v>
      </c>
      <c r="H95" t="n">
        <v>0</v>
      </c>
      <c r="I95" t="n">
        <v>0</v>
      </c>
      <c r="J95" t="n">
        <v>0</v>
      </c>
      <c r="K95" t="n">
        <v>0</v>
      </c>
      <c r="L95" t="n">
        <v>0</v>
      </c>
      <c r="M95" t="n">
        <v>0</v>
      </c>
      <c r="N95" t="n">
        <v>0</v>
      </c>
      <c r="O95" t="n">
        <v>0</v>
      </c>
      <c r="P95" t="n">
        <v>0</v>
      </c>
      <c r="Q95" t="n">
        <v>0</v>
      </c>
      <c r="R95" s="2" t="inlineStr"/>
    </row>
    <row r="96" ht="15" customHeight="1">
      <c r="A96" t="inlineStr">
        <is>
          <t>A 61442-2024</t>
        </is>
      </c>
      <c r="B96" s="1" t="n">
        <v>45646.47003472222</v>
      </c>
      <c r="C96" s="1" t="n">
        <v>46059</v>
      </c>
      <c r="D96" t="inlineStr">
        <is>
          <t>STOCKHOLMS LÄN</t>
        </is>
      </c>
      <c r="E96" t="inlineStr">
        <is>
          <t>VALLENTUNA</t>
        </is>
      </c>
      <c r="G96" t="n">
        <v>4.6</v>
      </c>
      <c r="H96" t="n">
        <v>0</v>
      </c>
      <c r="I96" t="n">
        <v>0</v>
      </c>
      <c r="J96" t="n">
        <v>0</v>
      </c>
      <c r="K96" t="n">
        <v>0</v>
      </c>
      <c r="L96" t="n">
        <v>0</v>
      </c>
      <c r="M96" t="n">
        <v>0</v>
      </c>
      <c r="N96" t="n">
        <v>0</v>
      </c>
      <c r="O96" t="n">
        <v>0</v>
      </c>
      <c r="P96" t="n">
        <v>0</v>
      </c>
      <c r="Q96" t="n">
        <v>0</v>
      </c>
      <c r="R96" s="2" t="inlineStr"/>
    </row>
    <row r="97" ht="15" customHeight="1">
      <c r="A97" t="inlineStr">
        <is>
          <t>A 47140-2024</t>
        </is>
      </c>
      <c r="B97" s="1" t="n">
        <v>45586.58753472222</v>
      </c>
      <c r="C97" s="1" t="n">
        <v>46059</v>
      </c>
      <c r="D97" t="inlineStr">
        <is>
          <t>STOCKHOLMS LÄN</t>
        </is>
      </c>
      <c r="E97" t="inlineStr">
        <is>
          <t>VALLENTUNA</t>
        </is>
      </c>
      <c r="G97" t="n">
        <v>1</v>
      </c>
      <c r="H97" t="n">
        <v>0</v>
      </c>
      <c r="I97" t="n">
        <v>0</v>
      </c>
      <c r="J97" t="n">
        <v>0</v>
      </c>
      <c r="K97" t="n">
        <v>0</v>
      </c>
      <c r="L97" t="n">
        <v>0</v>
      </c>
      <c r="M97" t="n">
        <v>0</v>
      </c>
      <c r="N97" t="n">
        <v>0</v>
      </c>
      <c r="O97" t="n">
        <v>0</v>
      </c>
      <c r="P97" t="n">
        <v>0</v>
      </c>
      <c r="Q97" t="n">
        <v>0</v>
      </c>
      <c r="R97" s="2" t="inlineStr"/>
    </row>
    <row r="98" ht="15" customHeight="1">
      <c r="A98" t="inlineStr">
        <is>
          <t>A 8565-2025</t>
        </is>
      </c>
      <c r="B98" s="1" t="n">
        <v>45709</v>
      </c>
      <c r="C98" s="1" t="n">
        <v>46059</v>
      </c>
      <c r="D98" t="inlineStr">
        <is>
          <t>STOCKHOLMS LÄN</t>
        </is>
      </c>
      <c r="E98" t="inlineStr">
        <is>
          <t>VALLENTUNA</t>
        </is>
      </c>
      <c r="F98" t="inlineStr">
        <is>
          <t>Kommuner</t>
        </is>
      </c>
      <c r="G98" t="n">
        <v>4.2</v>
      </c>
      <c r="H98" t="n">
        <v>0</v>
      </c>
      <c r="I98" t="n">
        <v>0</v>
      </c>
      <c r="J98" t="n">
        <v>0</v>
      </c>
      <c r="K98" t="n">
        <v>0</v>
      </c>
      <c r="L98" t="n">
        <v>0</v>
      </c>
      <c r="M98" t="n">
        <v>0</v>
      </c>
      <c r="N98" t="n">
        <v>0</v>
      </c>
      <c r="O98" t="n">
        <v>0</v>
      </c>
      <c r="P98" t="n">
        <v>0</v>
      </c>
      <c r="Q98" t="n">
        <v>0</v>
      </c>
      <c r="R98" s="2" t="inlineStr"/>
    </row>
    <row r="99" ht="15" customHeight="1">
      <c r="A99" t="inlineStr">
        <is>
          <t>A 9063-2024</t>
        </is>
      </c>
      <c r="B99" s="1" t="n">
        <v>45357.72652777778</v>
      </c>
      <c r="C99" s="1" t="n">
        <v>46059</v>
      </c>
      <c r="D99" t="inlineStr">
        <is>
          <t>STOCKHOLMS LÄN</t>
        </is>
      </c>
      <c r="E99" t="inlineStr">
        <is>
          <t>VALLENTUNA</t>
        </is>
      </c>
      <c r="G99" t="n">
        <v>4.1</v>
      </c>
      <c r="H99" t="n">
        <v>0</v>
      </c>
      <c r="I99" t="n">
        <v>0</v>
      </c>
      <c r="J99" t="n">
        <v>0</v>
      </c>
      <c r="K99" t="n">
        <v>0</v>
      </c>
      <c r="L99" t="n">
        <v>0</v>
      </c>
      <c r="M99" t="n">
        <v>0</v>
      </c>
      <c r="N99" t="n">
        <v>0</v>
      </c>
      <c r="O99" t="n">
        <v>0</v>
      </c>
      <c r="P99" t="n">
        <v>0</v>
      </c>
      <c r="Q99" t="n">
        <v>0</v>
      </c>
      <c r="R99" s="2" t="inlineStr"/>
    </row>
    <row r="100" ht="15" customHeight="1">
      <c r="A100" t="inlineStr">
        <is>
          <t>A 4803-2024</t>
        </is>
      </c>
      <c r="B100" s="1" t="n">
        <v>45328</v>
      </c>
      <c r="C100" s="1" t="n">
        <v>46059</v>
      </c>
      <c r="D100" t="inlineStr">
        <is>
          <t>STOCKHOLMS LÄN</t>
        </is>
      </c>
      <c r="E100" t="inlineStr">
        <is>
          <t>VALLENTUNA</t>
        </is>
      </c>
      <c r="G100" t="n">
        <v>4.6</v>
      </c>
      <c r="H100" t="n">
        <v>0</v>
      </c>
      <c r="I100" t="n">
        <v>0</v>
      </c>
      <c r="J100" t="n">
        <v>0</v>
      </c>
      <c r="K100" t="n">
        <v>0</v>
      </c>
      <c r="L100" t="n">
        <v>0</v>
      </c>
      <c r="M100" t="n">
        <v>0</v>
      </c>
      <c r="N100" t="n">
        <v>0</v>
      </c>
      <c r="O100" t="n">
        <v>0</v>
      </c>
      <c r="P100" t="n">
        <v>0</v>
      </c>
      <c r="Q100" t="n">
        <v>0</v>
      </c>
      <c r="R100" s="2" t="inlineStr"/>
    </row>
    <row r="101" ht="15" customHeight="1">
      <c r="A101" t="inlineStr">
        <is>
          <t>A 19503-2023</t>
        </is>
      </c>
      <c r="B101" s="1" t="n">
        <v>45050.47333333334</v>
      </c>
      <c r="C101" s="1" t="n">
        <v>46059</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52542-2023</t>
        </is>
      </c>
      <c r="B102" s="1" t="n">
        <v>45225</v>
      </c>
      <c r="C102" s="1" t="n">
        <v>46059</v>
      </c>
      <c r="D102" t="inlineStr">
        <is>
          <t>STOCKHOLMS LÄN</t>
        </is>
      </c>
      <c r="E102" t="inlineStr">
        <is>
          <t>VALLENTUNA</t>
        </is>
      </c>
      <c r="G102" t="n">
        <v>3.8</v>
      </c>
      <c r="H102" t="n">
        <v>0</v>
      </c>
      <c r="I102" t="n">
        <v>0</v>
      </c>
      <c r="J102" t="n">
        <v>0</v>
      </c>
      <c r="K102" t="n">
        <v>0</v>
      </c>
      <c r="L102" t="n">
        <v>0</v>
      </c>
      <c r="M102" t="n">
        <v>0</v>
      </c>
      <c r="N102" t="n">
        <v>0</v>
      </c>
      <c r="O102" t="n">
        <v>0</v>
      </c>
      <c r="P102" t="n">
        <v>0</v>
      </c>
      <c r="Q102" t="n">
        <v>0</v>
      </c>
      <c r="R102" s="2" t="inlineStr"/>
    </row>
    <row r="103" ht="15" customHeight="1">
      <c r="A103" t="inlineStr">
        <is>
          <t>A 11950-2025</t>
        </is>
      </c>
      <c r="B103" s="1" t="n">
        <v>45728.55622685186</v>
      </c>
      <c r="C103" s="1" t="n">
        <v>46059</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14489-2024</t>
        </is>
      </c>
      <c r="B104" s="1" t="n">
        <v>45394.58053240741</v>
      </c>
      <c r="C104" s="1" t="n">
        <v>46059</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52562-2023</t>
        </is>
      </c>
      <c r="B105" s="1" t="n">
        <v>45225</v>
      </c>
      <c r="C105" s="1" t="n">
        <v>46059</v>
      </c>
      <c r="D105" t="inlineStr">
        <is>
          <t>STOCKHOLMS LÄN</t>
        </is>
      </c>
      <c r="E105" t="inlineStr">
        <is>
          <t>VALLENTUNA</t>
        </is>
      </c>
      <c r="G105" t="n">
        <v>3.4</v>
      </c>
      <c r="H105" t="n">
        <v>0</v>
      </c>
      <c r="I105" t="n">
        <v>0</v>
      </c>
      <c r="J105" t="n">
        <v>0</v>
      </c>
      <c r="K105" t="n">
        <v>0</v>
      </c>
      <c r="L105" t="n">
        <v>0</v>
      </c>
      <c r="M105" t="n">
        <v>0</v>
      </c>
      <c r="N105" t="n">
        <v>0</v>
      </c>
      <c r="O105" t="n">
        <v>0</v>
      </c>
      <c r="P105" t="n">
        <v>0</v>
      </c>
      <c r="Q105" t="n">
        <v>0</v>
      </c>
      <c r="R105" s="2" t="inlineStr"/>
    </row>
    <row r="106" ht="15" customHeight="1">
      <c r="A106" t="inlineStr">
        <is>
          <t>A 4804-2024</t>
        </is>
      </c>
      <c r="B106" s="1" t="n">
        <v>45328</v>
      </c>
      <c r="C106" s="1" t="n">
        <v>46059</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23013-2024</t>
        </is>
      </c>
      <c r="B107" s="1" t="n">
        <v>45450.35116898148</v>
      </c>
      <c r="C107" s="1" t="n">
        <v>46059</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2318-2024</t>
        </is>
      </c>
      <c r="B108" s="1" t="n">
        <v>45310</v>
      </c>
      <c r="C108" s="1" t="n">
        <v>46059</v>
      </c>
      <c r="D108" t="inlineStr">
        <is>
          <t>STOCKHOLMS LÄN</t>
        </is>
      </c>
      <c r="E108" t="inlineStr">
        <is>
          <t>VALLENTUNA</t>
        </is>
      </c>
      <c r="G108" t="n">
        <v>2.2</v>
      </c>
      <c r="H108" t="n">
        <v>0</v>
      </c>
      <c r="I108" t="n">
        <v>0</v>
      </c>
      <c r="J108" t="n">
        <v>0</v>
      </c>
      <c r="K108" t="n">
        <v>0</v>
      </c>
      <c r="L108" t="n">
        <v>0</v>
      </c>
      <c r="M108" t="n">
        <v>0</v>
      </c>
      <c r="N108" t="n">
        <v>0</v>
      </c>
      <c r="O108" t="n">
        <v>0</v>
      </c>
      <c r="P108" t="n">
        <v>0</v>
      </c>
      <c r="Q108" t="n">
        <v>0</v>
      </c>
      <c r="R108" s="2" t="inlineStr"/>
    </row>
    <row r="109" ht="15" customHeight="1">
      <c r="A109" t="inlineStr">
        <is>
          <t>A 61742-2022</t>
        </is>
      </c>
      <c r="B109" s="1" t="n">
        <v>44917</v>
      </c>
      <c r="C109" s="1" t="n">
        <v>46059</v>
      </c>
      <c r="D109" t="inlineStr">
        <is>
          <t>STOCKHOLMS LÄN</t>
        </is>
      </c>
      <c r="E109" t="inlineStr">
        <is>
          <t>VALLENTUNA</t>
        </is>
      </c>
      <c r="G109" t="n">
        <v>0.5</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46059</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46059</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12234-2022</t>
        </is>
      </c>
      <c r="B112" s="1" t="n">
        <v>44637</v>
      </c>
      <c r="C112" s="1" t="n">
        <v>46059</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21614-2022</t>
        </is>
      </c>
      <c r="B113" s="1" t="n">
        <v>44706</v>
      </c>
      <c r="C113" s="1" t="n">
        <v>46059</v>
      </c>
      <c r="D113" t="inlineStr">
        <is>
          <t>STOCKHOLMS LÄN</t>
        </is>
      </c>
      <c r="E113" t="inlineStr">
        <is>
          <t>VALLENTUNA</t>
        </is>
      </c>
      <c r="G113" t="n">
        <v>4</v>
      </c>
      <c r="H113" t="n">
        <v>0</v>
      </c>
      <c r="I113" t="n">
        <v>0</v>
      </c>
      <c r="J113" t="n">
        <v>0</v>
      </c>
      <c r="K113" t="n">
        <v>0</v>
      </c>
      <c r="L113" t="n">
        <v>0</v>
      </c>
      <c r="M113" t="n">
        <v>0</v>
      </c>
      <c r="N113" t="n">
        <v>0</v>
      </c>
      <c r="O113" t="n">
        <v>0</v>
      </c>
      <c r="P113" t="n">
        <v>0</v>
      </c>
      <c r="Q113" t="n">
        <v>0</v>
      </c>
      <c r="R113" s="2" t="inlineStr"/>
    </row>
    <row r="114" ht="15" customHeight="1">
      <c r="A114" t="inlineStr">
        <is>
          <t>A 12585-2023</t>
        </is>
      </c>
      <c r="B114" s="1" t="n">
        <v>45000.41373842592</v>
      </c>
      <c r="C114" s="1" t="n">
        <v>46059</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8787-2024</t>
        </is>
      </c>
      <c r="B115" s="1" t="n">
        <v>45356</v>
      </c>
      <c r="C115" s="1" t="n">
        <v>46059</v>
      </c>
      <c r="D115" t="inlineStr">
        <is>
          <t>STOCKHOLMS LÄN</t>
        </is>
      </c>
      <c r="E115" t="inlineStr">
        <is>
          <t>VALLENTUNA</t>
        </is>
      </c>
      <c r="G115" t="n">
        <v>1.2</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46059</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46059</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46059</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15300-2023</t>
        </is>
      </c>
      <c r="B119" s="1" t="n">
        <v>45019</v>
      </c>
      <c r="C119" s="1" t="n">
        <v>46059</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46059</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46059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46059</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46059</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46059</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46059</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46059</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46059</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46059</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46059</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17411-2023</t>
        </is>
      </c>
      <c r="B130" s="1" t="n">
        <v>45035.82512731481</v>
      </c>
      <c r="C130" s="1" t="n">
        <v>46059</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46059</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38102-2024</t>
        </is>
      </c>
      <c r="B132" s="1" t="n">
        <v>45545.36349537037</v>
      </c>
      <c r="C132" s="1" t="n">
        <v>46059</v>
      </c>
      <c r="D132" t="inlineStr">
        <is>
          <t>STOCKHOLMS LÄN</t>
        </is>
      </c>
      <c r="E132" t="inlineStr">
        <is>
          <t>VALLENTUNA</t>
        </is>
      </c>
      <c r="G132" t="n">
        <v>3.2</v>
      </c>
      <c r="H132" t="n">
        <v>0</v>
      </c>
      <c r="I132" t="n">
        <v>0</v>
      </c>
      <c r="J132" t="n">
        <v>0</v>
      </c>
      <c r="K132" t="n">
        <v>0</v>
      </c>
      <c r="L132" t="n">
        <v>0</v>
      </c>
      <c r="M132" t="n">
        <v>0</v>
      </c>
      <c r="N132" t="n">
        <v>0</v>
      </c>
      <c r="O132" t="n">
        <v>0</v>
      </c>
      <c r="P132" t="n">
        <v>0</v>
      </c>
      <c r="Q132" t="n">
        <v>0</v>
      </c>
      <c r="R132" s="2" t="inlineStr"/>
    </row>
    <row r="133" ht="15" customHeight="1">
      <c r="A133" t="inlineStr">
        <is>
          <t>A 17340-2025</t>
        </is>
      </c>
      <c r="B133" s="1" t="n">
        <v>45756</v>
      </c>
      <c r="C133" s="1" t="n">
        <v>46059</v>
      </c>
      <c r="D133" t="inlineStr">
        <is>
          <t>STOCKHOLMS LÄN</t>
        </is>
      </c>
      <c r="E133" t="inlineStr">
        <is>
          <t>VALLENTUNA</t>
        </is>
      </c>
      <c r="F133" t="inlineStr">
        <is>
          <t>Övriga Aktiebolag</t>
        </is>
      </c>
      <c r="G133" t="n">
        <v>2.6</v>
      </c>
      <c r="H133" t="n">
        <v>0</v>
      </c>
      <c r="I133" t="n">
        <v>0</v>
      </c>
      <c r="J133" t="n">
        <v>0</v>
      </c>
      <c r="K133" t="n">
        <v>0</v>
      </c>
      <c r="L133" t="n">
        <v>0</v>
      </c>
      <c r="M133" t="n">
        <v>0</v>
      </c>
      <c r="N133" t="n">
        <v>0</v>
      </c>
      <c r="O133" t="n">
        <v>0</v>
      </c>
      <c r="P133" t="n">
        <v>0</v>
      </c>
      <c r="Q133" t="n">
        <v>0</v>
      </c>
      <c r="R133" s="2" t="inlineStr"/>
    </row>
    <row r="134" ht="15" customHeight="1">
      <c r="A134" t="inlineStr">
        <is>
          <t>A 20791-2025</t>
        </is>
      </c>
      <c r="B134" s="1" t="n">
        <v>45776.62738425926</v>
      </c>
      <c r="C134" s="1" t="n">
        <v>46059</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10073-2024</t>
        </is>
      </c>
      <c r="B135" s="1" t="n">
        <v>45364.40821759259</v>
      </c>
      <c r="C135" s="1" t="n">
        <v>46059</v>
      </c>
      <c r="D135" t="inlineStr">
        <is>
          <t>STOCKHOLMS LÄN</t>
        </is>
      </c>
      <c r="E135" t="inlineStr">
        <is>
          <t>VALLENTUNA</t>
        </is>
      </c>
      <c r="G135" t="n">
        <v>1.1</v>
      </c>
      <c r="H135" t="n">
        <v>0</v>
      </c>
      <c r="I135" t="n">
        <v>0</v>
      </c>
      <c r="J135" t="n">
        <v>0</v>
      </c>
      <c r="K135" t="n">
        <v>0</v>
      </c>
      <c r="L135" t="n">
        <v>0</v>
      </c>
      <c r="M135" t="n">
        <v>0</v>
      </c>
      <c r="N135" t="n">
        <v>0</v>
      </c>
      <c r="O135" t="n">
        <v>0</v>
      </c>
      <c r="P135" t="n">
        <v>0</v>
      </c>
      <c r="Q135" t="n">
        <v>0</v>
      </c>
      <c r="R135" s="2" t="inlineStr"/>
    </row>
    <row r="136" ht="15" customHeight="1">
      <c r="A136" t="inlineStr">
        <is>
          <t>A 34452-2021</t>
        </is>
      </c>
      <c r="B136" s="1" t="n">
        <v>44381</v>
      </c>
      <c r="C136" s="1" t="n">
        <v>46059</v>
      </c>
      <c r="D136" t="inlineStr">
        <is>
          <t>STOCKHOLMS LÄN</t>
        </is>
      </c>
      <c r="E136" t="inlineStr">
        <is>
          <t>VALLENTUNA</t>
        </is>
      </c>
      <c r="G136" t="n">
        <v>14.7</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46059</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46059</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61027-2023</t>
        </is>
      </c>
      <c r="B139" s="1" t="n">
        <v>45261</v>
      </c>
      <c r="C139" s="1" t="n">
        <v>46059</v>
      </c>
      <c r="D139" t="inlineStr">
        <is>
          <t>STOCKHOLMS LÄN</t>
        </is>
      </c>
      <c r="E139" t="inlineStr">
        <is>
          <t>VALLENTUNA</t>
        </is>
      </c>
      <c r="G139" t="n">
        <v>7.1</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46059</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23923-2025</t>
        </is>
      </c>
      <c r="B141" s="1" t="n">
        <v>45795.39648148148</v>
      </c>
      <c r="C141" s="1" t="n">
        <v>46059</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25984-2025</t>
        </is>
      </c>
      <c r="B142" s="1" t="n">
        <v>45804.64016203704</v>
      </c>
      <c r="C142" s="1" t="n">
        <v>46059</v>
      </c>
      <c r="D142" t="inlineStr">
        <is>
          <t>STOCKHOLMS LÄN</t>
        </is>
      </c>
      <c r="E142" t="inlineStr">
        <is>
          <t>VALLENTUNA</t>
        </is>
      </c>
      <c r="G142" t="n">
        <v>2.5</v>
      </c>
      <c r="H142" t="n">
        <v>0</v>
      </c>
      <c r="I142" t="n">
        <v>0</v>
      </c>
      <c r="J142" t="n">
        <v>0</v>
      </c>
      <c r="K142" t="n">
        <v>0</v>
      </c>
      <c r="L142" t="n">
        <v>0</v>
      </c>
      <c r="M142" t="n">
        <v>0</v>
      </c>
      <c r="N142" t="n">
        <v>0</v>
      </c>
      <c r="O142" t="n">
        <v>0</v>
      </c>
      <c r="P142" t="n">
        <v>0</v>
      </c>
      <c r="Q142" t="n">
        <v>0</v>
      </c>
      <c r="R142" s="2" t="inlineStr"/>
    </row>
    <row r="143" ht="15" customHeight="1">
      <c r="A143" t="inlineStr">
        <is>
          <t>A 30902-2025</t>
        </is>
      </c>
      <c r="B143" s="1" t="n">
        <v>45832.36104166666</v>
      </c>
      <c r="C143" s="1" t="n">
        <v>46059</v>
      </c>
      <c r="D143" t="inlineStr">
        <is>
          <t>STOCKHOLMS LÄN</t>
        </is>
      </c>
      <c r="E143" t="inlineStr">
        <is>
          <t>VALLENTUNA</t>
        </is>
      </c>
      <c r="G143" t="n">
        <v>8.199999999999999</v>
      </c>
      <c r="H143" t="n">
        <v>0</v>
      </c>
      <c r="I143" t="n">
        <v>0</v>
      </c>
      <c r="J143" t="n">
        <v>0</v>
      </c>
      <c r="K143" t="n">
        <v>0</v>
      </c>
      <c r="L143" t="n">
        <v>0</v>
      </c>
      <c r="M143" t="n">
        <v>0</v>
      </c>
      <c r="N143" t="n">
        <v>0</v>
      </c>
      <c r="O143" t="n">
        <v>0</v>
      </c>
      <c r="P143" t="n">
        <v>0</v>
      </c>
      <c r="Q143" t="n">
        <v>0</v>
      </c>
      <c r="R143" s="2" t="inlineStr"/>
    </row>
    <row r="144">
      <c r="A144" t="inlineStr">
        <is>
          <t>A 28431-2025</t>
        </is>
      </c>
      <c r="B144" s="1" t="n">
        <v>45819.38072916667</v>
      </c>
      <c r="C144" s="1" t="n">
        <v>46059</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2026-02-06T11:09:26Z</dcterms:created>
  <dcterms:modified xmlns:dcterms="http://purl.org/dc/terms/" xmlns:xsi="http://www.w3.org/2001/XMLSchema-instance" xsi:type="dcterms:W3CDTF">2026-02-06T11:09:26Z</dcterms:modified>
</cp:coreProperties>
</file>