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46163</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46163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9807-2026</t>
        </is>
      </c>
      <c r="B16" s="1" t="n">
        <v>46072</v>
      </c>
      <c r="C16" s="1" t="n">
        <v>46163</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48717-2024</t>
        </is>
      </c>
      <c r="B17" s="1" t="n">
        <v>45593</v>
      </c>
      <c r="C17" s="1" t="n">
        <v>46163</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37456-2023</t>
        </is>
      </c>
      <c r="B18" s="1" t="n">
        <v>45156</v>
      </c>
      <c r="C18" s="1" t="n">
        <v>46163</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46163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46163</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46163</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46163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46-2022</t>
        </is>
      </c>
      <c r="B25" s="1" t="n">
        <v>44560</v>
      </c>
      <c r="C25" s="1" t="n">
        <v>46163</v>
      </c>
      <c r="D25" t="inlineStr">
        <is>
          <t>STOCKHOLMS LÄN</t>
        </is>
      </c>
      <c r="E25" t="inlineStr">
        <is>
          <t>VALLENTUNA</t>
        </is>
      </c>
      <c r="F25" t="inlineStr">
        <is>
          <t>Övriga Aktiebolag</t>
        </is>
      </c>
      <c r="G25" t="n">
        <v>7.9</v>
      </c>
      <c r="H25" t="n">
        <v>1</v>
      </c>
      <c r="I25" t="n">
        <v>1</v>
      </c>
      <c r="J25" t="n">
        <v>0</v>
      </c>
      <c r="K25" t="n">
        <v>0</v>
      </c>
      <c r="L25" t="n">
        <v>0</v>
      </c>
      <c r="M25" t="n">
        <v>0</v>
      </c>
      <c r="N25" t="n">
        <v>0</v>
      </c>
      <c r="O25" t="n">
        <v>0</v>
      </c>
      <c r="P25" t="n">
        <v>0</v>
      </c>
      <c r="Q25" t="n">
        <v>2</v>
      </c>
      <c r="R25" s="2" t="inlineStr">
        <is>
          <t>Fällmossa
Blåsippa</t>
        </is>
      </c>
      <c r="S25">
        <f>HYPERLINK("https://klasma.github.io/Logging_0115/artfynd/A 46-2022 artfynd.xlsx", "A 46-2022")</f>
        <v/>
      </c>
      <c r="T25">
        <f>HYPERLINK("https://klasma.github.io/Logging_0115/kartor/A 46-2022 karta.png", "A 46-2022")</f>
        <v/>
      </c>
      <c r="V25">
        <f>HYPERLINK("https://klasma.github.io/Logging_0115/klagomål/A 46-2022 FSC-klagomål.docx", "A 46-2022")</f>
        <v/>
      </c>
      <c r="W25">
        <f>HYPERLINK("https://klasma.github.io/Logging_0115/klagomålsmail/A 46-2022 FSC-klagomål mail.docx", "A 46-2022")</f>
        <v/>
      </c>
      <c r="X25">
        <f>HYPERLINK("https://klasma.github.io/Logging_0115/tillsyn/A 46-2022 tillsynsbegäran.docx", "A 46-2022")</f>
        <v/>
      </c>
      <c r="Y25">
        <f>HYPERLINK("https://klasma.github.io/Logging_0115/tillsynsmail/A 46-2022 tillsynsbegäran mail.docx", "A 46-2022")</f>
        <v/>
      </c>
    </row>
    <row r="26" ht="15" customHeight="1">
      <c r="A26" t="inlineStr">
        <is>
          <t>A 754-2024</t>
        </is>
      </c>
      <c r="B26" s="1" t="n">
        <v>45300</v>
      </c>
      <c r="C26" s="1" t="n">
        <v>46163</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46163</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46163</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46163</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12401-2026</t>
        </is>
      </c>
      <c r="B30" s="1" t="n">
        <v>46090</v>
      </c>
      <c r="C30" s="1" t="n">
        <v>46163</v>
      </c>
      <c r="D30" t="inlineStr">
        <is>
          <t>STOCKHOLMS LÄN</t>
        </is>
      </c>
      <c r="E30" t="inlineStr">
        <is>
          <t>VALLENTUNA</t>
        </is>
      </c>
      <c r="G30" t="n">
        <v>5.9</v>
      </c>
      <c r="H30" t="n">
        <v>1</v>
      </c>
      <c r="I30" t="n">
        <v>0</v>
      </c>
      <c r="J30" t="n">
        <v>1</v>
      </c>
      <c r="K30" t="n">
        <v>0</v>
      </c>
      <c r="L30" t="n">
        <v>0</v>
      </c>
      <c r="M30" t="n">
        <v>0</v>
      </c>
      <c r="N30" t="n">
        <v>0</v>
      </c>
      <c r="O30" t="n">
        <v>1</v>
      </c>
      <c r="P30" t="n">
        <v>0</v>
      </c>
      <c r="Q30" t="n">
        <v>1</v>
      </c>
      <c r="R30" s="2" t="inlineStr">
        <is>
          <t>Spillkråka</t>
        </is>
      </c>
      <c r="S30">
        <f>HYPERLINK("https://klasma.github.io/Logging_0115/artfynd/A 12401-2026 artfynd.xlsx", "A 12401-2026")</f>
        <v/>
      </c>
      <c r="T30">
        <f>HYPERLINK("https://klasma.github.io/Logging_0115/kartor/A 12401-2026 karta.png", "A 12401-2026")</f>
        <v/>
      </c>
      <c r="V30">
        <f>HYPERLINK("https://klasma.github.io/Logging_0115/klagomål/A 12401-2026 FSC-klagomål.docx", "A 12401-2026")</f>
        <v/>
      </c>
      <c r="W30">
        <f>HYPERLINK("https://klasma.github.io/Logging_0115/klagomålsmail/A 12401-2026 FSC-klagomål mail.docx", "A 12401-2026")</f>
        <v/>
      </c>
      <c r="X30">
        <f>HYPERLINK("https://klasma.github.io/Logging_0115/tillsyn/A 12401-2026 tillsynsbegäran.docx", "A 12401-2026")</f>
        <v/>
      </c>
      <c r="Y30">
        <f>HYPERLINK("https://klasma.github.io/Logging_0115/tillsynsmail/A 12401-2026 tillsynsbegäran mail.docx", "A 12401-2026")</f>
        <v/>
      </c>
      <c r="Z30">
        <f>HYPERLINK("https://klasma.github.io/Logging_0115/fåglar/A 12401-2026 prioriterade fågelarter.docx", "A 12401-2026")</f>
        <v/>
      </c>
    </row>
    <row r="31" ht="15" customHeight="1">
      <c r="A31" t="inlineStr">
        <is>
          <t>A 12396-2026</t>
        </is>
      </c>
      <c r="B31" s="1" t="n">
        <v>46090.38930555555</v>
      </c>
      <c r="C31" s="1" t="n">
        <v>46163</v>
      </c>
      <c r="D31" t="inlineStr">
        <is>
          <t>STOCKHOLMS LÄN</t>
        </is>
      </c>
      <c r="E31" t="inlineStr">
        <is>
          <t>VALLENTUNA</t>
        </is>
      </c>
      <c r="G31" t="n">
        <v>3</v>
      </c>
      <c r="H31" t="n">
        <v>1</v>
      </c>
      <c r="I31" t="n">
        <v>0</v>
      </c>
      <c r="J31" t="n">
        <v>1</v>
      </c>
      <c r="K31" t="n">
        <v>0</v>
      </c>
      <c r="L31" t="n">
        <v>0</v>
      </c>
      <c r="M31" t="n">
        <v>0</v>
      </c>
      <c r="N31" t="n">
        <v>0</v>
      </c>
      <c r="O31" t="n">
        <v>1</v>
      </c>
      <c r="P31" t="n">
        <v>0</v>
      </c>
      <c r="Q31" t="n">
        <v>1</v>
      </c>
      <c r="R31" s="2" t="inlineStr">
        <is>
          <t>Spillkråka</t>
        </is>
      </c>
      <c r="S31">
        <f>HYPERLINK("https://klasma.github.io/Logging_0115/artfynd/A 12396-2026 artfynd.xlsx", "A 12396-2026")</f>
        <v/>
      </c>
      <c r="T31">
        <f>HYPERLINK("https://klasma.github.io/Logging_0115/kartor/A 12396-2026 karta.png", "A 12396-2026")</f>
        <v/>
      </c>
      <c r="V31">
        <f>HYPERLINK("https://klasma.github.io/Logging_0115/klagomål/A 12396-2026 FSC-klagomål.docx", "A 12396-2026")</f>
        <v/>
      </c>
      <c r="W31">
        <f>HYPERLINK("https://klasma.github.io/Logging_0115/klagomålsmail/A 12396-2026 FSC-klagomål mail.docx", "A 12396-2026")</f>
        <v/>
      </c>
      <c r="X31">
        <f>HYPERLINK("https://klasma.github.io/Logging_0115/tillsyn/A 12396-2026 tillsynsbegäran.docx", "A 12396-2026")</f>
        <v/>
      </c>
      <c r="Y31">
        <f>HYPERLINK("https://klasma.github.io/Logging_0115/tillsynsmail/A 12396-2026 tillsynsbegäran mail.docx", "A 12396-2026")</f>
        <v/>
      </c>
      <c r="Z31">
        <f>HYPERLINK("https://klasma.github.io/Logging_0115/fåglar/A 12396-2026 prioriterade fågelarter.docx", "A 12396-2026")</f>
        <v/>
      </c>
    </row>
    <row r="32" ht="15" customHeight="1">
      <c r="A32" t="inlineStr">
        <is>
          <t>A 54481-2025</t>
        </is>
      </c>
      <c r="B32" s="1" t="n">
        <v>45965.58837962963</v>
      </c>
      <c r="C32" s="1" t="n">
        <v>46163</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34460-2023</t>
        </is>
      </c>
      <c r="B33" s="1" t="n">
        <v>45139</v>
      </c>
      <c r="C33" s="1" t="n">
        <v>46163</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17348-2025</t>
        </is>
      </c>
      <c r="B34" s="1" t="n">
        <v>45756</v>
      </c>
      <c r="C34" s="1" t="n">
        <v>46163</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63539-2025</t>
        </is>
      </c>
      <c r="B35" s="1" t="n">
        <v>46013.58824074074</v>
      </c>
      <c r="C35" s="1" t="n">
        <v>46163</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63543-2025</t>
        </is>
      </c>
      <c r="B36" s="1" t="n">
        <v>46013.59207175926</v>
      </c>
      <c r="C36" s="1" t="n">
        <v>46163</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34458-2023</t>
        </is>
      </c>
      <c r="B37" s="1" t="n">
        <v>45139</v>
      </c>
      <c r="C37" s="1" t="n">
        <v>46163</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21-2022</t>
        </is>
      </c>
      <c r="B38" s="1" t="n">
        <v>44560</v>
      </c>
      <c r="C38" s="1" t="n">
        <v>46163</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46163</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46163</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46163</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46163</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46163</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46163</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46163</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46163</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46163</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46163</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46163</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46163</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46163</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46163</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46163</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46163</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46163</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26390-2023</t>
        </is>
      </c>
      <c r="B57" s="1" t="n">
        <v>45086</v>
      </c>
      <c r="C57" s="1" t="n">
        <v>46163</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15300-2023</t>
        </is>
      </c>
      <c r="B58" s="1" t="n">
        <v>45019</v>
      </c>
      <c r="C58" s="1" t="n">
        <v>46163</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61742-2022</t>
        </is>
      </c>
      <c r="B59" s="1" t="n">
        <v>44917</v>
      </c>
      <c r="C59" s="1" t="n">
        <v>46163</v>
      </c>
      <c r="D59" t="inlineStr">
        <is>
          <t>STOCKHOLMS LÄN</t>
        </is>
      </c>
      <c r="E59" t="inlineStr">
        <is>
          <t>VALLENTUNA</t>
        </is>
      </c>
      <c r="G59" t="n">
        <v>0.5</v>
      </c>
      <c r="H59" t="n">
        <v>0</v>
      </c>
      <c r="I59" t="n">
        <v>0</v>
      </c>
      <c r="J59" t="n">
        <v>0</v>
      </c>
      <c r="K59" t="n">
        <v>0</v>
      </c>
      <c r="L59" t="n">
        <v>0</v>
      </c>
      <c r="M59" t="n">
        <v>0</v>
      </c>
      <c r="N59" t="n">
        <v>0</v>
      </c>
      <c r="O59" t="n">
        <v>0</v>
      </c>
      <c r="P59" t="n">
        <v>0</v>
      </c>
      <c r="Q59" t="n">
        <v>0</v>
      </c>
      <c r="R59" s="2" t="inlineStr"/>
    </row>
    <row r="60" ht="15" customHeight="1">
      <c r="A60" t="inlineStr">
        <is>
          <t>A 12562-2023</t>
        </is>
      </c>
      <c r="B60" s="1" t="n">
        <v>45000</v>
      </c>
      <c r="C60" s="1" t="n">
        <v>46163</v>
      </c>
      <c r="D60" t="inlineStr">
        <is>
          <t>STOCKHOLMS LÄN</t>
        </is>
      </c>
      <c r="E60" t="inlineStr">
        <is>
          <t>VALLENTUNA</t>
        </is>
      </c>
      <c r="G60" t="n">
        <v>2.1</v>
      </c>
      <c r="H60" t="n">
        <v>0</v>
      </c>
      <c r="I60" t="n">
        <v>0</v>
      </c>
      <c r="J60" t="n">
        <v>0</v>
      </c>
      <c r="K60" t="n">
        <v>0</v>
      </c>
      <c r="L60" t="n">
        <v>0</v>
      </c>
      <c r="M60" t="n">
        <v>0</v>
      </c>
      <c r="N60" t="n">
        <v>0</v>
      </c>
      <c r="O60" t="n">
        <v>0</v>
      </c>
      <c r="P60" t="n">
        <v>0</v>
      </c>
      <c r="Q60" t="n">
        <v>0</v>
      </c>
      <c r="R60" s="2" t="inlineStr"/>
    </row>
    <row r="61" ht="15" customHeight="1">
      <c r="A61" t="inlineStr">
        <is>
          <t>A 14480-2024</t>
        </is>
      </c>
      <c r="B61" s="1" t="n">
        <v>45394.56777777777</v>
      </c>
      <c r="C61" s="1" t="n">
        <v>46163</v>
      </c>
      <c r="D61" t="inlineStr">
        <is>
          <t>STOCKHOLMS LÄN</t>
        </is>
      </c>
      <c r="E61" t="inlineStr">
        <is>
          <t>VALLENTUNA</t>
        </is>
      </c>
      <c r="G61" t="n">
        <v>1.8</v>
      </c>
      <c r="H61" t="n">
        <v>0</v>
      </c>
      <c r="I61" t="n">
        <v>0</v>
      </c>
      <c r="J61" t="n">
        <v>0</v>
      </c>
      <c r="K61" t="n">
        <v>0</v>
      </c>
      <c r="L61" t="n">
        <v>0</v>
      </c>
      <c r="M61" t="n">
        <v>0</v>
      </c>
      <c r="N61" t="n">
        <v>0</v>
      </c>
      <c r="O61" t="n">
        <v>0</v>
      </c>
      <c r="P61" t="n">
        <v>0</v>
      </c>
      <c r="Q61" t="n">
        <v>0</v>
      </c>
      <c r="R61" s="2" t="inlineStr"/>
    </row>
    <row r="62" ht="15" customHeight="1">
      <c r="A62" t="inlineStr">
        <is>
          <t>A 17340-2025</t>
        </is>
      </c>
      <c r="B62" s="1" t="n">
        <v>45756</v>
      </c>
      <c r="C62" s="1" t="n">
        <v>46163</v>
      </c>
      <c r="D62" t="inlineStr">
        <is>
          <t>STOCKHOLMS LÄN</t>
        </is>
      </c>
      <c r="E62" t="inlineStr">
        <is>
          <t>VALLENTUNA</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30902-2025</t>
        </is>
      </c>
      <c r="B63" s="1" t="n">
        <v>45832.36104166666</v>
      </c>
      <c r="C63" s="1" t="n">
        <v>46163</v>
      </c>
      <c r="D63" t="inlineStr">
        <is>
          <t>STOCKHOLMS LÄN</t>
        </is>
      </c>
      <c r="E63" t="inlineStr">
        <is>
          <t>VALLENTUNA</t>
        </is>
      </c>
      <c r="G63" t="n">
        <v>8.199999999999999</v>
      </c>
      <c r="H63" t="n">
        <v>0</v>
      </c>
      <c r="I63" t="n">
        <v>0</v>
      </c>
      <c r="J63" t="n">
        <v>0</v>
      </c>
      <c r="K63" t="n">
        <v>0</v>
      </c>
      <c r="L63" t="n">
        <v>0</v>
      </c>
      <c r="M63" t="n">
        <v>0</v>
      </c>
      <c r="N63" t="n">
        <v>0</v>
      </c>
      <c r="O63" t="n">
        <v>0</v>
      </c>
      <c r="P63" t="n">
        <v>0</v>
      </c>
      <c r="Q63" t="n">
        <v>0</v>
      </c>
      <c r="R63" s="2" t="inlineStr"/>
    </row>
    <row r="64" ht="15" customHeight="1">
      <c r="A64" t="inlineStr">
        <is>
          <t>A 30913-2021</t>
        </is>
      </c>
      <c r="B64" s="1" t="n">
        <v>44365</v>
      </c>
      <c r="C64" s="1" t="n">
        <v>46163</v>
      </c>
      <c r="D64" t="inlineStr">
        <is>
          <t>STOCKHOLMS LÄN</t>
        </is>
      </c>
      <c r="E64" t="inlineStr">
        <is>
          <t>VALLENTUNA</t>
        </is>
      </c>
      <c r="F64" t="inlineStr">
        <is>
          <t>Övriga Aktiebolag</t>
        </is>
      </c>
      <c r="G64" t="n">
        <v>3.3</v>
      </c>
      <c r="H64" t="n">
        <v>0</v>
      </c>
      <c r="I64" t="n">
        <v>0</v>
      </c>
      <c r="J64" t="n">
        <v>0</v>
      </c>
      <c r="K64" t="n">
        <v>0</v>
      </c>
      <c r="L64" t="n">
        <v>0</v>
      </c>
      <c r="M64" t="n">
        <v>0</v>
      </c>
      <c r="N64" t="n">
        <v>0</v>
      </c>
      <c r="O64" t="n">
        <v>0</v>
      </c>
      <c r="P64" t="n">
        <v>0</v>
      </c>
      <c r="Q64" t="n">
        <v>0</v>
      </c>
      <c r="R64" s="2" t="inlineStr"/>
    </row>
    <row r="65" ht="15" customHeight="1">
      <c r="A65" t="inlineStr">
        <is>
          <t>A 45496-2023</t>
        </is>
      </c>
      <c r="B65" s="1" t="n">
        <v>45194</v>
      </c>
      <c r="C65" s="1" t="n">
        <v>46163</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29704-2023</t>
        </is>
      </c>
      <c r="B66" s="1" t="n">
        <v>45107</v>
      </c>
      <c r="C66" s="1" t="n">
        <v>46163</v>
      </c>
      <c r="D66" t="inlineStr">
        <is>
          <t>STOCKHOLMS LÄN</t>
        </is>
      </c>
      <c r="E66" t="inlineStr">
        <is>
          <t>VALLENTUNA</t>
        </is>
      </c>
      <c r="G66" t="n">
        <v>3.7</v>
      </c>
      <c r="H66" t="n">
        <v>0</v>
      </c>
      <c r="I66" t="n">
        <v>0</v>
      </c>
      <c r="J66" t="n">
        <v>0</v>
      </c>
      <c r="K66" t="n">
        <v>0</v>
      </c>
      <c r="L66" t="n">
        <v>0</v>
      </c>
      <c r="M66" t="n">
        <v>0</v>
      </c>
      <c r="N66" t="n">
        <v>0</v>
      </c>
      <c r="O66" t="n">
        <v>0</v>
      </c>
      <c r="P66" t="n">
        <v>0</v>
      </c>
      <c r="Q66" t="n">
        <v>0</v>
      </c>
      <c r="R66" s="2" t="inlineStr"/>
    </row>
    <row r="67" ht="15" customHeight="1">
      <c r="A67" t="inlineStr">
        <is>
          <t>A 28431-2025</t>
        </is>
      </c>
      <c r="B67" s="1" t="n">
        <v>45819.38072916667</v>
      </c>
      <c r="C67" s="1" t="n">
        <v>46163</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12609-2024</t>
        </is>
      </c>
      <c r="B68" s="1" t="n">
        <v>45382.8109375</v>
      </c>
      <c r="C68" s="1" t="n">
        <v>46163</v>
      </c>
      <c r="D68" t="inlineStr">
        <is>
          <t>STOCKHOLMS LÄN</t>
        </is>
      </c>
      <c r="E68" t="inlineStr">
        <is>
          <t>VALLENTUNA</t>
        </is>
      </c>
      <c r="G68" t="n">
        <v>0.9</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46163</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13836-2022</t>
        </is>
      </c>
      <c r="B70" s="1" t="n">
        <v>44649</v>
      </c>
      <c r="C70" s="1" t="n">
        <v>46163</v>
      </c>
      <c r="D70" t="inlineStr">
        <is>
          <t>STOCKHOLMS LÄN</t>
        </is>
      </c>
      <c r="E70" t="inlineStr">
        <is>
          <t>VALLENTUNA</t>
        </is>
      </c>
      <c r="G70" t="n">
        <v>3.5</v>
      </c>
      <c r="H70" t="n">
        <v>0</v>
      </c>
      <c r="I70" t="n">
        <v>0</v>
      </c>
      <c r="J70" t="n">
        <v>0</v>
      </c>
      <c r="K70" t="n">
        <v>0</v>
      </c>
      <c r="L70" t="n">
        <v>0</v>
      </c>
      <c r="M70" t="n">
        <v>0</v>
      </c>
      <c r="N70" t="n">
        <v>0</v>
      </c>
      <c r="O70" t="n">
        <v>0</v>
      </c>
      <c r="P70" t="n">
        <v>0</v>
      </c>
      <c r="Q70" t="n">
        <v>0</v>
      </c>
      <c r="R70" s="2" t="inlineStr"/>
    </row>
    <row r="71" ht="15" customHeight="1">
      <c r="A71" t="inlineStr">
        <is>
          <t>A 4804-2024</t>
        </is>
      </c>
      <c r="B71" s="1" t="n">
        <v>45328</v>
      </c>
      <c r="C71" s="1" t="n">
        <v>46163</v>
      </c>
      <c r="D71" t="inlineStr">
        <is>
          <t>STOCKHOLMS LÄN</t>
        </is>
      </c>
      <c r="E71" t="inlineStr">
        <is>
          <t>VALLENTUNA</t>
        </is>
      </c>
      <c r="G71" t="n">
        <v>3</v>
      </c>
      <c r="H71" t="n">
        <v>0</v>
      </c>
      <c r="I71" t="n">
        <v>0</v>
      </c>
      <c r="J71" t="n">
        <v>0</v>
      </c>
      <c r="K71" t="n">
        <v>0</v>
      </c>
      <c r="L71" t="n">
        <v>0</v>
      </c>
      <c r="M71" t="n">
        <v>0</v>
      </c>
      <c r="N71" t="n">
        <v>0</v>
      </c>
      <c r="O71" t="n">
        <v>0</v>
      </c>
      <c r="P71" t="n">
        <v>0</v>
      </c>
      <c r="Q71" t="n">
        <v>0</v>
      </c>
      <c r="R71" s="2" t="inlineStr"/>
    </row>
    <row r="72" ht="15" customHeight="1">
      <c r="A72" t="inlineStr">
        <is>
          <t>A 24707-2023</t>
        </is>
      </c>
      <c r="B72" s="1" t="n">
        <v>45084</v>
      </c>
      <c r="C72" s="1" t="n">
        <v>46163</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44346-2021</t>
        </is>
      </c>
      <c r="B73" s="1" t="n">
        <v>44434</v>
      </c>
      <c r="C73" s="1" t="n">
        <v>46163</v>
      </c>
      <c r="D73" t="inlineStr">
        <is>
          <t>STOCKHOLMS LÄN</t>
        </is>
      </c>
      <c r="E73" t="inlineStr">
        <is>
          <t>VALLENTUNA</t>
        </is>
      </c>
      <c r="G73" t="n">
        <v>3</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46163</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5910-2022</t>
        </is>
      </c>
      <c r="B75" s="1" t="n">
        <v>44597</v>
      </c>
      <c r="C75" s="1" t="n">
        <v>46163</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24994-2021</t>
        </is>
      </c>
      <c r="B76" s="1" t="n">
        <v>44341</v>
      </c>
      <c r="C76" s="1" t="n">
        <v>46163</v>
      </c>
      <c r="D76" t="inlineStr">
        <is>
          <t>STOCKHOLMS LÄN</t>
        </is>
      </c>
      <c r="E76" t="inlineStr">
        <is>
          <t>VALLENTUNA</t>
        </is>
      </c>
      <c r="G76" t="n">
        <v>2.6</v>
      </c>
      <c r="H76" t="n">
        <v>0</v>
      </c>
      <c r="I76" t="n">
        <v>0</v>
      </c>
      <c r="J76" t="n">
        <v>0</v>
      </c>
      <c r="K76" t="n">
        <v>0</v>
      </c>
      <c r="L76" t="n">
        <v>0</v>
      </c>
      <c r="M76" t="n">
        <v>0</v>
      </c>
      <c r="N76" t="n">
        <v>0</v>
      </c>
      <c r="O76" t="n">
        <v>0</v>
      </c>
      <c r="P76" t="n">
        <v>0</v>
      </c>
      <c r="Q76" t="n">
        <v>0</v>
      </c>
      <c r="R76" s="2" t="inlineStr"/>
    </row>
    <row r="77" ht="15" customHeight="1">
      <c r="A77" t="inlineStr">
        <is>
          <t>A 48014-2025</t>
        </is>
      </c>
      <c r="B77" s="1" t="n">
        <v>45932.64520833334</v>
      </c>
      <c r="C77" s="1" t="n">
        <v>46163</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48038-2025</t>
        </is>
      </c>
      <c r="B78" s="1" t="n">
        <v>45932.66008101852</v>
      </c>
      <c r="C78" s="1" t="n">
        <v>46163</v>
      </c>
      <c r="D78" t="inlineStr">
        <is>
          <t>STOCKHOLMS LÄN</t>
        </is>
      </c>
      <c r="E78" t="inlineStr">
        <is>
          <t>VALLENTUNA</t>
        </is>
      </c>
      <c r="G78" t="n">
        <v>0.5</v>
      </c>
      <c r="H78" t="n">
        <v>0</v>
      </c>
      <c r="I78" t="n">
        <v>0</v>
      </c>
      <c r="J78" t="n">
        <v>0</v>
      </c>
      <c r="K78" t="n">
        <v>0</v>
      </c>
      <c r="L78" t="n">
        <v>0</v>
      </c>
      <c r="M78" t="n">
        <v>0</v>
      </c>
      <c r="N78" t="n">
        <v>0</v>
      </c>
      <c r="O78" t="n">
        <v>0</v>
      </c>
      <c r="P78" t="n">
        <v>0</v>
      </c>
      <c r="Q78" t="n">
        <v>0</v>
      </c>
      <c r="R78" s="2" t="inlineStr"/>
    </row>
    <row r="79" ht="15" customHeight="1">
      <c r="A79" t="inlineStr">
        <is>
          <t>A 60795-2023</t>
        </is>
      </c>
      <c r="B79" s="1" t="n">
        <v>45260</v>
      </c>
      <c r="C79" s="1" t="n">
        <v>46163</v>
      </c>
      <c r="D79" t="inlineStr">
        <is>
          <t>STOCKHOLMS LÄN</t>
        </is>
      </c>
      <c r="E79" t="inlineStr">
        <is>
          <t>VALLENTUNA</t>
        </is>
      </c>
      <c r="G79" t="n">
        <v>2.2</v>
      </c>
      <c r="H79" t="n">
        <v>0</v>
      </c>
      <c r="I79" t="n">
        <v>0</v>
      </c>
      <c r="J79" t="n">
        <v>0</v>
      </c>
      <c r="K79" t="n">
        <v>0</v>
      </c>
      <c r="L79" t="n">
        <v>0</v>
      </c>
      <c r="M79" t="n">
        <v>0</v>
      </c>
      <c r="N79" t="n">
        <v>0</v>
      </c>
      <c r="O79" t="n">
        <v>0</v>
      </c>
      <c r="P79" t="n">
        <v>0</v>
      </c>
      <c r="Q79" t="n">
        <v>0</v>
      </c>
      <c r="R79" s="2" t="inlineStr"/>
    </row>
    <row r="80" ht="15" customHeight="1">
      <c r="A80" t="inlineStr">
        <is>
          <t>A 60997-2022</t>
        </is>
      </c>
      <c r="B80" s="1" t="n">
        <v>44914.70746527778</v>
      </c>
      <c r="C80" s="1" t="n">
        <v>46163</v>
      </c>
      <c r="D80" t="inlineStr">
        <is>
          <t>STOCKHOLMS LÄN</t>
        </is>
      </c>
      <c r="E80" t="inlineStr">
        <is>
          <t>VALLENTUNA</t>
        </is>
      </c>
      <c r="G80" t="n">
        <v>1.8</v>
      </c>
      <c r="H80" t="n">
        <v>0</v>
      </c>
      <c r="I80" t="n">
        <v>0</v>
      </c>
      <c r="J80" t="n">
        <v>0</v>
      </c>
      <c r="K80" t="n">
        <v>0</v>
      </c>
      <c r="L80" t="n">
        <v>0</v>
      </c>
      <c r="M80" t="n">
        <v>0</v>
      </c>
      <c r="N80" t="n">
        <v>0</v>
      </c>
      <c r="O80" t="n">
        <v>0</v>
      </c>
      <c r="P80" t="n">
        <v>0</v>
      </c>
      <c r="Q80" t="n">
        <v>0</v>
      </c>
      <c r="R80" s="2" t="inlineStr"/>
    </row>
    <row r="81" ht="15" customHeight="1">
      <c r="A81" t="inlineStr">
        <is>
          <t>A 12400-2026</t>
        </is>
      </c>
      <c r="B81" s="1" t="n">
        <v>46090.39423611111</v>
      </c>
      <c r="C81" s="1" t="n">
        <v>46163</v>
      </c>
      <c r="D81" t="inlineStr">
        <is>
          <t>STOCKHOLMS LÄN</t>
        </is>
      </c>
      <c r="E81" t="inlineStr">
        <is>
          <t>VALLENTUNA</t>
        </is>
      </c>
      <c r="G81" t="n">
        <v>1.9</v>
      </c>
      <c r="H81" t="n">
        <v>0</v>
      </c>
      <c r="I81" t="n">
        <v>0</v>
      </c>
      <c r="J81" t="n">
        <v>0</v>
      </c>
      <c r="K81" t="n">
        <v>0</v>
      </c>
      <c r="L81" t="n">
        <v>0</v>
      </c>
      <c r="M81" t="n">
        <v>0</v>
      </c>
      <c r="N81" t="n">
        <v>0</v>
      </c>
      <c r="O81" t="n">
        <v>0</v>
      </c>
      <c r="P81" t="n">
        <v>0</v>
      </c>
      <c r="Q81" t="n">
        <v>0</v>
      </c>
      <c r="R81" s="2" t="inlineStr"/>
    </row>
    <row r="82" ht="15" customHeight="1">
      <c r="A82" t="inlineStr">
        <is>
          <t>A 12822-2026</t>
        </is>
      </c>
      <c r="B82" s="1" t="n">
        <v>46092.41358796296</v>
      </c>
      <c r="C82" s="1" t="n">
        <v>46163</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12819-2026</t>
        </is>
      </c>
      <c r="B83" s="1" t="n">
        <v>46092.40896990741</v>
      </c>
      <c r="C83" s="1" t="n">
        <v>46163</v>
      </c>
      <c r="D83" t="inlineStr">
        <is>
          <t>STOCKHOLMS LÄN</t>
        </is>
      </c>
      <c r="E83" t="inlineStr">
        <is>
          <t>VALLENTUNA</t>
        </is>
      </c>
      <c r="G83" t="n">
        <v>3.5</v>
      </c>
      <c r="H83" t="n">
        <v>0</v>
      </c>
      <c r="I83" t="n">
        <v>0</v>
      </c>
      <c r="J83" t="n">
        <v>0</v>
      </c>
      <c r="K83" t="n">
        <v>0</v>
      </c>
      <c r="L83" t="n">
        <v>0</v>
      </c>
      <c r="M83" t="n">
        <v>0</v>
      </c>
      <c r="N83" t="n">
        <v>0</v>
      </c>
      <c r="O83" t="n">
        <v>0</v>
      </c>
      <c r="P83" t="n">
        <v>0</v>
      </c>
      <c r="Q83" t="n">
        <v>0</v>
      </c>
      <c r="R83" s="2" t="inlineStr"/>
    </row>
    <row r="84" ht="15" customHeight="1">
      <c r="A84" t="inlineStr">
        <is>
          <t>A 14775-2024</t>
        </is>
      </c>
      <c r="B84" s="1" t="n">
        <v>45397.73675925926</v>
      </c>
      <c r="C84" s="1" t="n">
        <v>46163</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8565-2025</t>
        </is>
      </c>
      <c r="B85" s="1" t="n">
        <v>45709</v>
      </c>
      <c r="C85" s="1" t="n">
        <v>46163</v>
      </c>
      <c r="D85" t="inlineStr">
        <is>
          <t>STOCKHOLMS LÄN</t>
        </is>
      </c>
      <c r="E85" t="inlineStr">
        <is>
          <t>VALLENTUNA</t>
        </is>
      </c>
      <c r="F85" t="inlineStr">
        <is>
          <t>Kommuner</t>
        </is>
      </c>
      <c r="G85" t="n">
        <v>4.2</v>
      </c>
      <c r="H85" t="n">
        <v>0</v>
      </c>
      <c r="I85" t="n">
        <v>0</v>
      </c>
      <c r="J85" t="n">
        <v>0</v>
      </c>
      <c r="K85" t="n">
        <v>0</v>
      </c>
      <c r="L85" t="n">
        <v>0</v>
      </c>
      <c r="M85" t="n">
        <v>0</v>
      </c>
      <c r="N85" t="n">
        <v>0</v>
      </c>
      <c r="O85" t="n">
        <v>0</v>
      </c>
      <c r="P85" t="n">
        <v>0</v>
      </c>
      <c r="Q85" t="n">
        <v>0</v>
      </c>
      <c r="R85" s="2" t="inlineStr"/>
    </row>
    <row r="86" ht="15" customHeight="1">
      <c r="A86" t="inlineStr">
        <is>
          <t>A 12828-2026</t>
        </is>
      </c>
      <c r="B86" s="1" t="n">
        <v>46092.41760416667</v>
      </c>
      <c r="C86" s="1" t="n">
        <v>46163</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50784-2025</t>
        </is>
      </c>
      <c r="B87" s="1" t="n">
        <v>45946</v>
      </c>
      <c r="C87" s="1" t="n">
        <v>46163</v>
      </c>
      <c r="D87" t="inlineStr">
        <is>
          <t>STOCKHOLMS LÄN</t>
        </is>
      </c>
      <c r="E87" t="inlineStr">
        <is>
          <t>VALLENTUNA</t>
        </is>
      </c>
      <c r="G87" t="n">
        <v>1</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46163</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12830-2026</t>
        </is>
      </c>
      <c r="B89" s="1" t="n">
        <v>46092.42290509259</v>
      </c>
      <c r="C89" s="1" t="n">
        <v>46163</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14782-2024</t>
        </is>
      </c>
      <c r="B90" s="1" t="n">
        <v>45397.74266203704</v>
      </c>
      <c r="C90" s="1" t="n">
        <v>46163</v>
      </c>
      <c r="D90" t="inlineStr">
        <is>
          <t>STOCKHOLMS LÄN</t>
        </is>
      </c>
      <c r="E90" t="inlineStr">
        <is>
          <t>VALLENTUNA</t>
        </is>
      </c>
      <c r="G90" t="n">
        <v>3.1</v>
      </c>
      <c r="H90" t="n">
        <v>0</v>
      </c>
      <c r="I90" t="n">
        <v>0</v>
      </c>
      <c r="J90" t="n">
        <v>0</v>
      </c>
      <c r="K90" t="n">
        <v>0</v>
      </c>
      <c r="L90" t="n">
        <v>0</v>
      </c>
      <c r="M90" t="n">
        <v>0</v>
      </c>
      <c r="N90" t="n">
        <v>0</v>
      </c>
      <c r="O90" t="n">
        <v>0</v>
      </c>
      <c r="P90" t="n">
        <v>0</v>
      </c>
      <c r="Q90" t="n">
        <v>0</v>
      </c>
      <c r="R90" s="2" t="inlineStr"/>
    </row>
    <row r="91" ht="15" customHeight="1">
      <c r="A91" t="inlineStr">
        <is>
          <t>A 52562-2023</t>
        </is>
      </c>
      <c r="B91" s="1" t="n">
        <v>45225</v>
      </c>
      <c r="C91" s="1" t="n">
        <v>46163</v>
      </c>
      <c r="D91" t="inlineStr">
        <is>
          <t>STOCKHOLMS LÄN</t>
        </is>
      </c>
      <c r="E91" t="inlineStr">
        <is>
          <t>VALLENTUNA</t>
        </is>
      </c>
      <c r="G91" t="n">
        <v>3.4</v>
      </c>
      <c r="H91" t="n">
        <v>0</v>
      </c>
      <c r="I91" t="n">
        <v>0</v>
      </c>
      <c r="J91" t="n">
        <v>0</v>
      </c>
      <c r="K91" t="n">
        <v>0</v>
      </c>
      <c r="L91" t="n">
        <v>0</v>
      </c>
      <c r="M91" t="n">
        <v>0</v>
      </c>
      <c r="N91" t="n">
        <v>0</v>
      </c>
      <c r="O91" t="n">
        <v>0</v>
      </c>
      <c r="P91" t="n">
        <v>0</v>
      </c>
      <c r="Q91" t="n">
        <v>0</v>
      </c>
      <c r="R91" s="2" t="inlineStr"/>
    </row>
    <row r="92" ht="15" customHeight="1">
      <c r="A92" t="inlineStr">
        <is>
          <t>A 49530-2023</t>
        </is>
      </c>
      <c r="B92" s="1" t="n">
        <v>45205</v>
      </c>
      <c r="C92" s="1" t="n">
        <v>46163</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52542-2023</t>
        </is>
      </c>
      <c r="B93" s="1" t="n">
        <v>45225</v>
      </c>
      <c r="C93" s="1" t="n">
        <v>46163</v>
      </c>
      <c r="D93" t="inlineStr">
        <is>
          <t>STOCKHOLMS LÄN</t>
        </is>
      </c>
      <c r="E93" t="inlineStr">
        <is>
          <t>VALLENTUNA</t>
        </is>
      </c>
      <c r="G93" t="n">
        <v>3.8</v>
      </c>
      <c r="H93" t="n">
        <v>0</v>
      </c>
      <c r="I93" t="n">
        <v>0</v>
      </c>
      <c r="J93" t="n">
        <v>0</v>
      </c>
      <c r="K93" t="n">
        <v>0</v>
      </c>
      <c r="L93" t="n">
        <v>0</v>
      </c>
      <c r="M93" t="n">
        <v>0</v>
      </c>
      <c r="N93" t="n">
        <v>0</v>
      </c>
      <c r="O93" t="n">
        <v>0</v>
      </c>
      <c r="P93" t="n">
        <v>0</v>
      </c>
      <c r="Q93" t="n">
        <v>0</v>
      </c>
      <c r="R93" s="2" t="inlineStr"/>
    </row>
    <row r="94" ht="15" customHeight="1">
      <c r="A94" t="inlineStr">
        <is>
          <t>A 2318-2024</t>
        </is>
      </c>
      <c r="B94" s="1" t="n">
        <v>45310</v>
      </c>
      <c r="C94" s="1" t="n">
        <v>46163</v>
      </c>
      <c r="D94" t="inlineStr">
        <is>
          <t>STOCKHOLMS LÄN</t>
        </is>
      </c>
      <c r="E94" t="inlineStr">
        <is>
          <t>VALLENTUNA</t>
        </is>
      </c>
      <c r="G94" t="n">
        <v>2.2</v>
      </c>
      <c r="H94" t="n">
        <v>0</v>
      </c>
      <c r="I94" t="n">
        <v>0</v>
      </c>
      <c r="J94" t="n">
        <v>0</v>
      </c>
      <c r="K94" t="n">
        <v>0</v>
      </c>
      <c r="L94" t="n">
        <v>0</v>
      </c>
      <c r="M94" t="n">
        <v>0</v>
      </c>
      <c r="N94" t="n">
        <v>0</v>
      </c>
      <c r="O94" t="n">
        <v>0</v>
      </c>
      <c r="P94" t="n">
        <v>0</v>
      </c>
      <c r="Q94" t="n">
        <v>0</v>
      </c>
      <c r="R94" s="2" t="inlineStr"/>
    </row>
    <row r="95" ht="15" customHeight="1">
      <c r="A95" t="inlineStr">
        <is>
          <t>A 9063-2024</t>
        </is>
      </c>
      <c r="B95" s="1" t="n">
        <v>45357.72652777778</v>
      </c>
      <c r="C95" s="1" t="n">
        <v>46163</v>
      </c>
      <c r="D95" t="inlineStr">
        <is>
          <t>STOCKHOLMS LÄN</t>
        </is>
      </c>
      <c r="E95" t="inlineStr">
        <is>
          <t>VALLENTUNA</t>
        </is>
      </c>
      <c r="G95" t="n">
        <v>4.1</v>
      </c>
      <c r="H95" t="n">
        <v>0</v>
      </c>
      <c r="I95" t="n">
        <v>0</v>
      </c>
      <c r="J95" t="n">
        <v>0</v>
      </c>
      <c r="K95" t="n">
        <v>0</v>
      </c>
      <c r="L95" t="n">
        <v>0</v>
      </c>
      <c r="M95" t="n">
        <v>0</v>
      </c>
      <c r="N95" t="n">
        <v>0</v>
      </c>
      <c r="O95" t="n">
        <v>0</v>
      </c>
      <c r="P95" t="n">
        <v>0</v>
      </c>
      <c r="Q95" t="n">
        <v>0</v>
      </c>
      <c r="R95" s="2" t="inlineStr"/>
    </row>
    <row r="96" ht="15" customHeight="1">
      <c r="A96" t="inlineStr">
        <is>
          <t>A 27868-2025</t>
        </is>
      </c>
      <c r="B96" s="1" t="n">
        <v>45817</v>
      </c>
      <c r="C96" s="1" t="n">
        <v>46163</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46163</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54460-2025</t>
        </is>
      </c>
      <c r="B98" s="1" t="n">
        <v>45965.56219907408</v>
      </c>
      <c r="C98" s="1" t="n">
        <v>46163</v>
      </c>
      <c r="D98" t="inlineStr">
        <is>
          <t>STOCKHOLMS LÄN</t>
        </is>
      </c>
      <c r="E98" t="inlineStr">
        <is>
          <t>VALLENTUNA</t>
        </is>
      </c>
      <c r="G98" t="n">
        <v>22.9</v>
      </c>
      <c r="H98" t="n">
        <v>0</v>
      </c>
      <c r="I98" t="n">
        <v>0</v>
      </c>
      <c r="J98" t="n">
        <v>0</v>
      </c>
      <c r="K98" t="n">
        <v>0</v>
      </c>
      <c r="L98" t="n">
        <v>0</v>
      </c>
      <c r="M98" t="n">
        <v>0</v>
      </c>
      <c r="N98" t="n">
        <v>0</v>
      </c>
      <c r="O98" t="n">
        <v>0</v>
      </c>
      <c r="P98" t="n">
        <v>0</v>
      </c>
      <c r="Q98" t="n">
        <v>0</v>
      </c>
      <c r="R98" s="2" t="inlineStr"/>
    </row>
    <row r="99" ht="15" customHeight="1">
      <c r="A99" t="inlineStr">
        <is>
          <t>A 54466-2025</t>
        </is>
      </c>
      <c r="B99" s="1" t="n">
        <v>45965.56984953704</v>
      </c>
      <c r="C99" s="1" t="n">
        <v>46163</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34441-2023</t>
        </is>
      </c>
      <c r="B100" s="1" t="n">
        <v>45139</v>
      </c>
      <c r="C100" s="1" t="n">
        <v>46163</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34445-2023</t>
        </is>
      </c>
      <c r="B101" s="1" t="n">
        <v>45139</v>
      </c>
      <c r="C101" s="1" t="n">
        <v>46163</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20914-2026</t>
        </is>
      </c>
      <c r="B102" s="1" t="n">
        <v>46142.4724074074</v>
      </c>
      <c r="C102" s="1" t="n">
        <v>46163</v>
      </c>
      <c r="D102" t="inlineStr">
        <is>
          <t>STOCKHOLMS LÄN</t>
        </is>
      </c>
      <c r="E102" t="inlineStr">
        <is>
          <t>VALLENTUNA</t>
        </is>
      </c>
      <c r="G102" t="n">
        <v>1.1</v>
      </c>
      <c r="H102" t="n">
        <v>0</v>
      </c>
      <c r="I102" t="n">
        <v>0</v>
      </c>
      <c r="J102" t="n">
        <v>0</v>
      </c>
      <c r="K102" t="n">
        <v>0</v>
      </c>
      <c r="L102" t="n">
        <v>0</v>
      </c>
      <c r="M102" t="n">
        <v>0</v>
      </c>
      <c r="N102" t="n">
        <v>0</v>
      </c>
      <c r="O102" t="n">
        <v>0</v>
      </c>
      <c r="P102" t="n">
        <v>0</v>
      </c>
      <c r="Q102" t="n">
        <v>0</v>
      </c>
      <c r="R102" s="2" t="inlineStr"/>
    </row>
    <row r="103" ht="15" customHeight="1">
      <c r="A103" t="inlineStr">
        <is>
          <t>A 735-2024</t>
        </is>
      </c>
      <c r="B103" s="1" t="n">
        <v>45300</v>
      </c>
      <c r="C103" s="1" t="n">
        <v>46163</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12585-2023</t>
        </is>
      </c>
      <c r="B104" s="1" t="n">
        <v>45000.41373842592</v>
      </c>
      <c r="C104" s="1" t="n">
        <v>46163</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20910-2026</t>
        </is>
      </c>
      <c r="B105" s="1" t="n">
        <v>46142.46608796297</v>
      </c>
      <c r="C105" s="1" t="n">
        <v>46163</v>
      </c>
      <c r="D105" t="inlineStr">
        <is>
          <t>STOCKHOLMS LÄN</t>
        </is>
      </c>
      <c r="E105" t="inlineStr">
        <is>
          <t>VALLENTUNA</t>
        </is>
      </c>
      <c r="G105" t="n">
        <v>1.8</v>
      </c>
      <c r="H105" t="n">
        <v>0</v>
      </c>
      <c r="I105" t="n">
        <v>0</v>
      </c>
      <c r="J105" t="n">
        <v>0</v>
      </c>
      <c r="K105" t="n">
        <v>0</v>
      </c>
      <c r="L105" t="n">
        <v>0</v>
      </c>
      <c r="M105" t="n">
        <v>0</v>
      </c>
      <c r="N105" t="n">
        <v>0</v>
      </c>
      <c r="O105" t="n">
        <v>0</v>
      </c>
      <c r="P105" t="n">
        <v>0</v>
      </c>
      <c r="Q105" t="n">
        <v>0</v>
      </c>
      <c r="R105" s="2" t="inlineStr"/>
    </row>
    <row r="106" ht="15" customHeight="1">
      <c r="A106" t="inlineStr">
        <is>
          <t>A 14799-2026</t>
        </is>
      </c>
      <c r="B106" s="1" t="n">
        <v>46102.82101851852</v>
      </c>
      <c r="C106" s="1" t="n">
        <v>46163</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46163</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46163</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27870-2025</t>
        </is>
      </c>
      <c r="B109" s="1" t="n">
        <v>45817</v>
      </c>
      <c r="C109" s="1" t="n">
        <v>46163</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61646-2025</t>
        </is>
      </c>
      <c r="B110" s="1" t="n">
        <v>46002</v>
      </c>
      <c r="C110" s="1" t="n">
        <v>46163</v>
      </c>
      <c r="D110" t="inlineStr">
        <is>
          <t>STOCKHOLMS LÄN</t>
        </is>
      </c>
      <c r="E110" t="inlineStr">
        <is>
          <t>VALLENTUNA</t>
        </is>
      </c>
      <c r="G110" t="n">
        <v>3.7</v>
      </c>
      <c r="H110" t="n">
        <v>0</v>
      </c>
      <c r="I110" t="n">
        <v>0</v>
      </c>
      <c r="J110" t="n">
        <v>0</v>
      </c>
      <c r="K110" t="n">
        <v>0</v>
      </c>
      <c r="L110" t="n">
        <v>0</v>
      </c>
      <c r="M110" t="n">
        <v>0</v>
      </c>
      <c r="N110" t="n">
        <v>0</v>
      </c>
      <c r="O110" t="n">
        <v>0</v>
      </c>
      <c r="P110" t="n">
        <v>0</v>
      </c>
      <c r="Q110" t="n">
        <v>0</v>
      </c>
      <c r="R110" s="2" t="inlineStr"/>
    </row>
    <row r="111" ht="15" customHeight="1">
      <c r="A111" t="inlineStr">
        <is>
          <t>A 21765-2023</t>
        </is>
      </c>
      <c r="B111" s="1" t="n">
        <v>45064</v>
      </c>
      <c r="C111" s="1" t="n">
        <v>46163</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46163</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46163</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414-2026</t>
        </is>
      </c>
      <c r="B114" s="1" t="n">
        <v>46028.76050925926</v>
      </c>
      <c r="C114" s="1" t="n">
        <v>46163</v>
      </c>
      <c r="D114" t="inlineStr">
        <is>
          <t>STOCKHOLMS LÄN</t>
        </is>
      </c>
      <c r="E114" t="inlineStr">
        <is>
          <t>VALLENTUNA</t>
        </is>
      </c>
      <c r="G114" t="n">
        <v>2.6</v>
      </c>
      <c r="H114" t="n">
        <v>0</v>
      </c>
      <c r="I114" t="n">
        <v>0</v>
      </c>
      <c r="J114" t="n">
        <v>0</v>
      </c>
      <c r="K114" t="n">
        <v>0</v>
      </c>
      <c r="L114" t="n">
        <v>0</v>
      </c>
      <c r="M114" t="n">
        <v>0</v>
      </c>
      <c r="N114" t="n">
        <v>0</v>
      </c>
      <c r="O114" t="n">
        <v>0</v>
      </c>
      <c r="P114" t="n">
        <v>0</v>
      </c>
      <c r="Q114" t="n">
        <v>0</v>
      </c>
      <c r="R114" s="2" t="inlineStr"/>
    </row>
    <row r="115" ht="15" customHeight="1">
      <c r="A115" t="inlineStr">
        <is>
          <t>A 17387-2026</t>
        </is>
      </c>
      <c r="B115" s="1" t="n">
        <v>46119.79578703704</v>
      </c>
      <c r="C115" s="1" t="n">
        <v>46163</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17388-2026</t>
        </is>
      </c>
      <c r="B116" s="1" t="n">
        <v>46119.79952546296</v>
      </c>
      <c r="C116" s="1" t="n">
        <v>46163</v>
      </c>
      <c r="D116" t="inlineStr">
        <is>
          <t>STOCKHOLMS LÄN</t>
        </is>
      </c>
      <c r="E116" t="inlineStr">
        <is>
          <t>VALLENTUNA</t>
        </is>
      </c>
      <c r="G116" t="n">
        <v>2.9</v>
      </c>
      <c r="H116" t="n">
        <v>0</v>
      </c>
      <c r="I116" t="n">
        <v>0</v>
      </c>
      <c r="J116" t="n">
        <v>0</v>
      </c>
      <c r="K116" t="n">
        <v>0</v>
      </c>
      <c r="L116" t="n">
        <v>0</v>
      </c>
      <c r="M116" t="n">
        <v>0</v>
      </c>
      <c r="N116" t="n">
        <v>0</v>
      </c>
      <c r="O116" t="n">
        <v>0</v>
      </c>
      <c r="P116" t="n">
        <v>0</v>
      </c>
      <c r="Q116" t="n">
        <v>0</v>
      </c>
      <c r="R116" s="2" t="inlineStr"/>
    </row>
    <row r="117" ht="15" customHeight="1">
      <c r="A117" t="inlineStr">
        <is>
          <t>A 24068-2024</t>
        </is>
      </c>
      <c r="B117" s="1" t="n">
        <v>45456</v>
      </c>
      <c r="C117" s="1" t="n">
        <v>46163</v>
      </c>
      <c r="D117" t="inlineStr">
        <is>
          <t>STOCKHOLMS LÄN</t>
        </is>
      </c>
      <c r="E117" t="inlineStr">
        <is>
          <t>VALLENTUNA</t>
        </is>
      </c>
      <c r="G117" t="n">
        <v>7.4</v>
      </c>
      <c r="H117" t="n">
        <v>0</v>
      </c>
      <c r="I117" t="n">
        <v>0</v>
      </c>
      <c r="J117" t="n">
        <v>0</v>
      </c>
      <c r="K117" t="n">
        <v>0</v>
      </c>
      <c r="L117" t="n">
        <v>0</v>
      </c>
      <c r="M117" t="n">
        <v>0</v>
      </c>
      <c r="N117" t="n">
        <v>0</v>
      </c>
      <c r="O117" t="n">
        <v>0</v>
      </c>
      <c r="P117" t="n">
        <v>0</v>
      </c>
      <c r="Q117" t="n">
        <v>0</v>
      </c>
      <c r="R117" s="2" t="inlineStr"/>
    </row>
    <row r="118" ht="15" customHeight="1">
      <c r="A118" t="inlineStr">
        <is>
          <t>A 17389-2026</t>
        </is>
      </c>
      <c r="B118" s="1" t="n">
        <v>46119.80603009259</v>
      </c>
      <c r="C118" s="1" t="n">
        <v>46163</v>
      </c>
      <c r="D118" t="inlineStr">
        <is>
          <t>STOCKHOLMS LÄN</t>
        </is>
      </c>
      <c r="E118" t="inlineStr">
        <is>
          <t>VALLENTUNA</t>
        </is>
      </c>
      <c r="G118" t="n">
        <v>1.1</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46163</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23013-2024</t>
        </is>
      </c>
      <c r="B120" s="1" t="n">
        <v>45450.35116898148</v>
      </c>
      <c r="C120" s="1" t="n">
        <v>46163</v>
      </c>
      <c r="D120" t="inlineStr">
        <is>
          <t>STOCKHOLMS LÄN</t>
        </is>
      </c>
      <c r="E120" t="inlineStr">
        <is>
          <t>VALLENTUNA</t>
        </is>
      </c>
      <c r="G120" t="n">
        <v>0.4</v>
      </c>
      <c r="H120" t="n">
        <v>0</v>
      </c>
      <c r="I120" t="n">
        <v>0</v>
      </c>
      <c r="J120" t="n">
        <v>0</v>
      </c>
      <c r="K120" t="n">
        <v>0</v>
      </c>
      <c r="L120" t="n">
        <v>0</v>
      </c>
      <c r="M120" t="n">
        <v>0</v>
      </c>
      <c r="N120" t="n">
        <v>0</v>
      </c>
      <c r="O120" t="n">
        <v>0</v>
      </c>
      <c r="P120" t="n">
        <v>0</v>
      </c>
      <c r="Q120" t="n">
        <v>0</v>
      </c>
      <c r="R120" s="2" t="inlineStr"/>
    </row>
    <row r="121" ht="15" customHeight="1">
      <c r="A121" t="inlineStr">
        <is>
          <t>A 3078-2023</t>
        </is>
      </c>
      <c r="B121" s="1" t="n">
        <v>44946.41527777778</v>
      </c>
      <c r="C121" s="1" t="n">
        <v>46163</v>
      </c>
      <c r="D121" t="inlineStr">
        <is>
          <t>STOCKHOLMS LÄN</t>
        </is>
      </c>
      <c r="E121" t="inlineStr">
        <is>
          <t>VALLENTUNA</t>
        </is>
      </c>
      <c r="G121" t="n">
        <v>3.9</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46163</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6298-2026</t>
        </is>
      </c>
      <c r="B123" s="1" t="n">
        <v>46055.5656712963</v>
      </c>
      <c r="C123" s="1" t="n">
        <v>46163</v>
      </c>
      <c r="D123" t="inlineStr">
        <is>
          <t>STOCKHOLMS LÄN</t>
        </is>
      </c>
      <c r="E123" t="inlineStr">
        <is>
          <t>VALLENTUNA</t>
        </is>
      </c>
      <c r="G123" t="n">
        <v>3.3</v>
      </c>
      <c r="H123" t="n">
        <v>0</v>
      </c>
      <c r="I123" t="n">
        <v>0</v>
      </c>
      <c r="J123" t="n">
        <v>0</v>
      </c>
      <c r="K123" t="n">
        <v>0</v>
      </c>
      <c r="L123" t="n">
        <v>0</v>
      </c>
      <c r="M123" t="n">
        <v>0</v>
      </c>
      <c r="N123" t="n">
        <v>0</v>
      </c>
      <c r="O123" t="n">
        <v>0</v>
      </c>
      <c r="P123" t="n">
        <v>0</v>
      </c>
      <c r="Q123" t="n">
        <v>0</v>
      </c>
      <c r="R123" s="2" t="inlineStr"/>
    </row>
    <row r="124" ht="15" customHeight="1">
      <c r="A124" t="inlineStr">
        <is>
          <t>A 4803-2024</t>
        </is>
      </c>
      <c r="B124" s="1" t="n">
        <v>45328</v>
      </c>
      <c r="C124" s="1" t="n">
        <v>46163</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3698-2022</t>
        </is>
      </c>
      <c r="B125" s="1" t="n">
        <v>44586</v>
      </c>
      <c r="C125" s="1" t="n">
        <v>46163</v>
      </c>
      <c r="D125" t="inlineStr">
        <is>
          <t>STOCKHOLMS LÄN</t>
        </is>
      </c>
      <c r="E125" t="inlineStr">
        <is>
          <t>VALLENTUNA</t>
        </is>
      </c>
      <c r="G125" t="n">
        <v>2.9</v>
      </c>
      <c r="H125" t="n">
        <v>0</v>
      </c>
      <c r="I125" t="n">
        <v>0</v>
      </c>
      <c r="J125" t="n">
        <v>0</v>
      </c>
      <c r="K125" t="n">
        <v>0</v>
      </c>
      <c r="L125" t="n">
        <v>0</v>
      </c>
      <c r="M125" t="n">
        <v>0</v>
      </c>
      <c r="N125" t="n">
        <v>0</v>
      </c>
      <c r="O125" t="n">
        <v>0</v>
      </c>
      <c r="P125" t="n">
        <v>0</v>
      </c>
      <c r="Q125" t="n">
        <v>0</v>
      </c>
      <c r="R125" s="2" t="inlineStr"/>
    </row>
    <row r="126" ht="15" customHeight="1">
      <c r="A126" t="inlineStr">
        <is>
          <t>A 38102-2024</t>
        </is>
      </c>
      <c r="B126" s="1" t="n">
        <v>45545.36349537037</v>
      </c>
      <c r="C126" s="1" t="n">
        <v>46163</v>
      </c>
      <c r="D126" t="inlineStr">
        <is>
          <t>STOCKHOLMS LÄN</t>
        </is>
      </c>
      <c r="E126" t="inlineStr">
        <is>
          <t>VALLENTUNA</t>
        </is>
      </c>
      <c r="G126" t="n">
        <v>3.2</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46163</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24943-2024</t>
        </is>
      </c>
      <c r="B128" s="1" t="n">
        <v>45461.62585648148</v>
      </c>
      <c r="C128" s="1" t="n">
        <v>46163</v>
      </c>
      <c r="D128" t="inlineStr">
        <is>
          <t>STOCKHOLMS LÄN</t>
        </is>
      </c>
      <c r="E128" t="inlineStr">
        <is>
          <t>VALLENTUNA</t>
        </is>
      </c>
      <c r="G128" t="n">
        <v>2</v>
      </c>
      <c r="H128" t="n">
        <v>0</v>
      </c>
      <c r="I128" t="n">
        <v>0</v>
      </c>
      <c r="J128" t="n">
        <v>0</v>
      </c>
      <c r="K128" t="n">
        <v>0</v>
      </c>
      <c r="L128" t="n">
        <v>0</v>
      </c>
      <c r="M128" t="n">
        <v>0</v>
      </c>
      <c r="N128" t="n">
        <v>0</v>
      </c>
      <c r="O128" t="n">
        <v>0</v>
      </c>
      <c r="P128" t="n">
        <v>0</v>
      </c>
      <c r="Q128" t="n">
        <v>0</v>
      </c>
      <c r="R128" s="2" t="inlineStr"/>
    </row>
    <row r="129" ht="15" customHeight="1">
      <c r="A129" t="inlineStr">
        <is>
          <t>A 22683-2023</t>
        </is>
      </c>
      <c r="B129" s="1" t="n">
        <v>45071</v>
      </c>
      <c r="C129" s="1" t="n">
        <v>46163</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46163</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1385-2024</t>
        </is>
      </c>
      <c r="B131" s="1" t="n">
        <v>45303</v>
      </c>
      <c r="C131" s="1" t="n">
        <v>46163</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60818-2023</t>
        </is>
      </c>
      <c r="B132" s="1" t="n">
        <v>45259</v>
      </c>
      <c r="C132" s="1" t="n">
        <v>46163</v>
      </c>
      <c r="D132" t="inlineStr">
        <is>
          <t>STOCKHOLMS LÄN</t>
        </is>
      </c>
      <c r="E132" t="inlineStr">
        <is>
          <t>VALLENTUNA</t>
        </is>
      </c>
      <c r="G132" t="n">
        <v>9.4</v>
      </c>
      <c r="H132" t="n">
        <v>0</v>
      </c>
      <c r="I132" t="n">
        <v>0</v>
      </c>
      <c r="J132" t="n">
        <v>0</v>
      </c>
      <c r="K132" t="n">
        <v>0</v>
      </c>
      <c r="L132" t="n">
        <v>0</v>
      </c>
      <c r="M132" t="n">
        <v>0</v>
      </c>
      <c r="N132" t="n">
        <v>0</v>
      </c>
      <c r="O132" t="n">
        <v>0</v>
      </c>
      <c r="P132" t="n">
        <v>0</v>
      </c>
      <c r="Q132" t="n">
        <v>0</v>
      </c>
      <c r="R132" s="2" t="inlineStr"/>
    </row>
    <row r="133" ht="15" customHeight="1">
      <c r="A133" t="inlineStr">
        <is>
          <t>A 7264-2022</t>
        </is>
      </c>
      <c r="B133" s="1" t="n">
        <v>44606</v>
      </c>
      <c r="C133" s="1" t="n">
        <v>46163</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19356-2025</t>
        </is>
      </c>
      <c r="B134" s="1" t="n">
        <v>45769.62061342593</v>
      </c>
      <c r="C134" s="1" t="n">
        <v>46163</v>
      </c>
      <c r="D134" t="inlineStr">
        <is>
          <t>STOCKHOLMS LÄN</t>
        </is>
      </c>
      <c r="E134" t="inlineStr">
        <is>
          <t>VALLENTUNA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11950-2025</t>
        </is>
      </c>
      <c r="B135" s="1" t="n">
        <v>45728.55622685186</v>
      </c>
      <c r="C135" s="1" t="n">
        <v>46163</v>
      </c>
      <c r="D135" t="inlineStr">
        <is>
          <t>STOCKHOLMS LÄN</t>
        </is>
      </c>
      <c r="E135" t="inlineStr">
        <is>
          <t>VALLENTUNA</t>
        </is>
      </c>
      <c r="G135" t="n">
        <v>1.4</v>
      </c>
      <c r="H135" t="n">
        <v>0</v>
      </c>
      <c r="I135" t="n">
        <v>0</v>
      </c>
      <c r="J135" t="n">
        <v>0</v>
      </c>
      <c r="K135" t="n">
        <v>0</v>
      </c>
      <c r="L135" t="n">
        <v>0</v>
      </c>
      <c r="M135" t="n">
        <v>0</v>
      </c>
      <c r="N135" t="n">
        <v>0</v>
      </c>
      <c r="O135" t="n">
        <v>0</v>
      </c>
      <c r="P135" t="n">
        <v>0</v>
      </c>
      <c r="Q135" t="n">
        <v>0</v>
      </c>
      <c r="R135" s="2" t="inlineStr"/>
    </row>
    <row r="136" ht="15" customHeight="1">
      <c r="A136" t="inlineStr">
        <is>
          <t>A 14489-2024</t>
        </is>
      </c>
      <c r="B136" s="1" t="n">
        <v>45394.58053240741</v>
      </c>
      <c r="C136" s="1" t="n">
        <v>46163</v>
      </c>
      <c r="D136" t="inlineStr">
        <is>
          <t>STOCKHOLMS LÄN</t>
        </is>
      </c>
      <c r="E136" t="inlineStr">
        <is>
          <t>VALLENTUNA</t>
        </is>
      </c>
      <c r="G136" t="n">
        <v>2.3</v>
      </c>
      <c r="H136" t="n">
        <v>0</v>
      </c>
      <c r="I136" t="n">
        <v>0</v>
      </c>
      <c r="J136" t="n">
        <v>0</v>
      </c>
      <c r="K136" t="n">
        <v>0</v>
      </c>
      <c r="L136" t="n">
        <v>0</v>
      </c>
      <c r="M136" t="n">
        <v>0</v>
      </c>
      <c r="N136" t="n">
        <v>0</v>
      </c>
      <c r="O136" t="n">
        <v>0</v>
      </c>
      <c r="P136" t="n">
        <v>0</v>
      </c>
      <c r="Q136" t="n">
        <v>0</v>
      </c>
      <c r="R136" s="2" t="inlineStr"/>
    </row>
    <row r="137" ht="15" customHeight="1">
      <c r="A137" t="inlineStr">
        <is>
          <t>A 15268-2023</t>
        </is>
      </c>
      <c r="B137" s="1" t="n">
        <v>45019.41045138889</v>
      </c>
      <c r="C137" s="1" t="n">
        <v>46163</v>
      </c>
      <c r="D137" t="inlineStr">
        <is>
          <t>STOCKHOLMS LÄN</t>
        </is>
      </c>
      <c r="E137" t="inlineStr">
        <is>
          <t>VALLENTUNA</t>
        </is>
      </c>
      <c r="G137" t="n">
        <v>2.2</v>
      </c>
      <c r="H137" t="n">
        <v>0</v>
      </c>
      <c r="I137" t="n">
        <v>0</v>
      </c>
      <c r="J137" t="n">
        <v>0</v>
      </c>
      <c r="K137" t="n">
        <v>0</v>
      </c>
      <c r="L137" t="n">
        <v>0</v>
      </c>
      <c r="M137" t="n">
        <v>0</v>
      </c>
      <c r="N137" t="n">
        <v>0</v>
      </c>
      <c r="O137" t="n">
        <v>0</v>
      </c>
      <c r="P137" t="n">
        <v>0</v>
      </c>
      <c r="Q137" t="n">
        <v>0</v>
      </c>
      <c r="R137" s="2" t="inlineStr"/>
    </row>
    <row r="138" ht="15" customHeight="1">
      <c r="A138" t="inlineStr">
        <is>
          <t>A 61442-2024</t>
        </is>
      </c>
      <c r="B138" s="1" t="n">
        <v>45646.47003472222</v>
      </c>
      <c r="C138" s="1" t="n">
        <v>46163</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48068-2021</t>
        </is>
      </c>
      <c r="B139" s="1" t="n">
        <v>44449.42270833333</v>
      </c>
      <c r="C139" s="1" t="n">
        <v>46163</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45499-2023</t>
        </is>
      </c>
      <c r="B140" s="1" t="n">
        <v>45194</v>
      </c>
      <c r="C140" s="1" t="n">
        <v>46163</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34452-2021</t>
        </is>
      </c>
      <c r="B141" s="1" t="n">
        <v>44381</v>
      </c>
      <c r="C141" s="1" t="n">
        <v>46163</v>
      </c>
      <c r="D141" t="inlineStr">
        <is>
          <t>STOCKHOLMS LÄN</t>
        </is>
      </c>
      <c r="E141" t="inlineStr">
        <is>
          <t>VALLENTUNA</t>
        </is>
      </c>
      <c r="G141" t="n">
        <v>14.7</v>
      </c>
      <c r="H141" t="n">
        <v>0</v>
      </c>
      <c r="I141" t="n">
        <v>0</v>
      </c>
      <c r="J141" t="n">
        <v>0</v>
      </c>
      <c r="K141" t="n">
        <v>0</v>
      </c>
      <c r="L141" t="n">
        <v>0</v>
      </c>
      <c r="M141" t="n">
        <v>0</v>
      </c>
      <c r="N141" t="n">
        <v>0</v>
      </c>
      <c r="O141" t="n">
        <v>0</v>
      </c>
      <c r="P141" t="n">
        <v>0</v>
      </c>
      <c r="Q141" t="n">
        <v>0</v>
      </c>
      <c r="R141" s="2" t="inlineStr"/>
    </row>
    <row r="142" ht="15" customHeight="1">
      <c r="A142" t="inlineStr">
        <is>
          <t>A 20791-2025</t>
        </is>
      </c>
      <c r="B142" s="1" t="n">
        <v>45776.62738425926</v>
      </c>
      <c r="C142" s="1" t="n">
        <v>46163</v>
      </c>
      <c r="D142" t="inlineStr">
        <is>
          <t>STOCKHOLMS LÄN</t>
        </is>
      </c>
      <c r="E142" t="inlineStr">
        <is>
          <t>VALLENTUNA</t>
        </is>
      </c>
      <c r="G142" t="n">
        <v>1.5</v>
      </c>
      <c r="H142" t="n">
        <v>0</v>
      </c>
      <c r="I142" t="n">
        <v>0</v>
      </c>
      <c r="J142" t="n">
        <v>0</v>
      </c>
      <c r="K142" t="n">
        <v>0</v>
      </c>
      <c r="L142" t="n">
        <v>0</v>
      </c>
      <c r="M142" t="n">
        <v>0</v>
      </c>
      <c r="N142" t="n">
        <v>0</v>
      </c>
      <c r="O142" t="n">
        <v>0</v>
      </c>
      <c r="P142" t="n">
        <v>0</v>
      </c>
      <c r="Q142" t="n">
        <v>0</v>
      </c>
      <c r="R142" s="2" t="inlineStr"/>
    </row>
    <row r="143" ht="15" customHeight="1">
      <c r="A143" t="inlineStr">
        <is>
          <t>A 10073-2024</t>
        </is>
      </c>
      <c r="B143" s="1" t="n">
        <v>45364.40821759259</v>
      </c>
      <c r="C143" s="1" t="n">
        <v>46163</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12621-2024</t>
        </is>
      </c>
      <c r="B144" s="1" t="n">
        <v>45383.6325</v>
      </c>
      <c r="C144" s="1" t="n">
        <v>46163</v>
      </c>
      <c r="D144" t="inlineStr">
        <is>
          <t>STOCKHOLMS LÄN</t>
        </is>
      </c>
      <c r="E144" t="inlineStr">
        <is>
          <t>VALLENTUNA</t>
        </is>
      </c>
      <c r="G144" t="n">
        <v>4.4</v>
      </c>
      <c r="H144" t="n">
        <v>0</v>
      </c>
      <c r="I144" t="n">
        <v>0</v>
      </c>
      <c r="J144" t="n">
        <v>0</v>
      </c>
      <c r="K144" t="n">
        <v>0</v>
      </c>
      <c r="L144" t="n">
        <v>0</v>
      </c>
      <c r="M144" t="n">
        <v>0</v>
      </c>
      <c r="N144" t="n">
        <v>0</v>
      </c>
      <c r="O144" t="n">
        <v>0</v>
      </c>
      <c r="P144" t="n">
        <v>0</v>
      </c>
      <c r="Q144" t="n">
        <v>0</v>
      </c>
      <c r="R144" s="2" t="inlineStr"/>
    </row>
    <row r="145" ht="15" customHeight="1">
      <c r="A145" t="inlineStr">
        <is>
          <t>A 46381-2023</t>
        </is>
      </c>
      <c r="B145" s="1" t="n">
        <v>45193</v>
      </c>
      <c r="C145" s="1" t="n">
        <v>46163</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23009-2024</t>
        </is>
      </c>
      <c r="B146" s="1" t="n">
        <v>45450.34506944445</v>
      </c>
      <c r="C146" s="1" t="n">
        <v>46163</v>
      </c>
      <c r="D146" t="inlineStr">
        <is>
          <t>STOCKHOLMS LÄN</t>
        </is>
      </c>
      <c r="E146" t="inlineStr">
        <is>
          <t>VALLENTUNA</t>
        </is>
      </c>
      <c r="G146" t="n">
        <v>1.4</v>
      </c>
      <c r="H146" t="n">
        <v>0</v>
      </c>
      <c r="I146" t="n">
        <v>0</v>
      </c>
      <c r="J146" t="n">
        <v>0</v>
      </c>
      <c r="K146" t="n">
        <v>0</v>
      </c>
      <c r="L146" t="n">
        <v>0</v>
      </c>
      <c r="M146" t="n">
        <v>0</v>
      </c>
      <c r="N146" t="n">
        <v>0</v>
      </c>
      <c r="O146" t="n">
        <v>0</v>
      </c>
      <c r="P146" t="n">
        <v>0</v>
      </c>
      <c r="Q146" t="n">
        <v>0</v>
      </c>
      <c r="R146" s="2" t="inlineStr"/>
    </row>
    <row r="147" ht="15" customHeight="1">
      <c r="A147" t="inlineStr">
        <is>
          <t>A 61027-2023</t>
        </is>
      </c>
      <c r="B147" s="1" t="n">
        <v>45261</v>
      </c>
      <c r="C147" s="1" t="n">
        <v>46163</v>
      </c>
      <c r="D147" t="inlineStr">
        <is>
          <t>STOCKHOLMS LÄN</t>
        </is>
      </c>
      <c r="E147" t="inlineStr">
        <is>
          <t>VALLENTUNA</t>
        </is>
      </c>
      <c r="G147" t="n">
        <v>7.1</v>
      </c>
      <c r="H147" t="n">
        <v>0</v>
      </c>
      <c r="I147" t="n">
        <v>0</v>
      </c>
      <c r="J147" t="n">
        <v>0</v>
      </c>
      <c r="K147" t="n">
        <v>0</v>
      </c>
      <c r="L147" t="n">
        <v>0</v>
      </c>
      <c r="M147" t="n">
        <v>0</v>
      </c>
      <c r="N147" t="n">
        <v>0</v>
      </c>
      <c r="O147" t="n">
        <v>0</v>
      </c>
      <c r="P147" t="n">
        <v>0</v>
      </c>
      <c r="Q147" t="n">
        <v>0</v>
      </c>
      <c r="R147" s="2" t="inlineStr"/>
    </row>
    <row r="148" ht="15" customHeight="1">
      <c r="A148" t="inlineStr">
        <is>
          <t>A 23923-2025</t>
        </is>
      </c>
      <c r="B148" s="1" t="n">
        <v>45795.39648148148</v>
      </c>
      <c r="C148" s="1" t="n">
        <v>46163</v>
      </c>
      <c r="D148" t="inlineStr">
        <is>
          <t>STOCKHOLMS LÄN</t>
        </is>
      </c>
      <c r="E148" t="inlineStr">
        <is>
          <t>VALLENTUNA</t>
        </is>
      </c>
      <c r="G148" t="n">
        <v>2.3</v>
      </c>
      <c r="H148" t="n">
        <v>0</v>
      </c>
      <c r="I148" t="n">
        <v>0</v>
      </c>
      <c r="J148" t="n">
        <v>0</v>
      </c>
      <c r="K148" t="n">
        <v>0</v>
      </c>
      <c r="L148" t="n">
        <v>0</v>
      </c>
      <c r="M148" t="n">
        <v>0</v>
      </c>
      <c r="N148" t="n">
        <v>0</v>
      </c>
      <c r="O148" t="n">
        <v>0</v>
      </c>
      <c r="P148" t="n">
        <v>0</v>
      </c>
      <c r="Q148" t="n">
        <v>0</v>
      </c>
      <c r="R148" s="2" t="inlineStr"/>
    </row>
    <row r="149">
      <c r="A149" t="inlineStr">
        <is>
          <t>A 25984-2025</t>
        </is>
      </c>
      <c r="B149" s="1" t="n">
        <v>45804.64016203704</v>
      </c>
      <c r="C149" s="1" t="n">
        <v>46163</v>
      </c>
      <c r="D149" t="inlineStr">
        <is>
          <t>STOCKHOLMS LÄN</t>
        </is>
      </c>
      <c r="E149" t="inlineStr">
        <is>
          <t>VALLENTUNA</t>
        </is>
      </c>
      <c r="G149" t="n">
        <v>2.5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2026-05-21T10:51:32Z</dcterms:created>
  <dcterms:modified xmlns:dcterms="http://purl.org/dc/terms/" xmlns:xsi="http://www.w3.org/2001/XMLSchema-instance" xsi:type="dcterms:W3CDTF">2026-05-21T10:51:32Z</dcterms:modified>
</cp:coreProperties>
</file>