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46182</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46182</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46182</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46182</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46182</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17342-2025</t>
        </is>
      </c>
      <c r="B12" s="1" t="n">
        <v>45756</v>
      </c>
      <c r="C12" s="1" t="n">
        <v>46182</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46182</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37456-2023</t>
        </is>
      </c>
      <c r="B14" s="1" t="n">
        <v>45156</v>
      </c>
      <c r="C14" s="1" t="n">
        <v>46182</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9807-2026</t>
        </is>
      </c>
      <c r="B15" s="1" t="n">
        <v>46072</v>
      </c>
      <c r="C15" s="1" t="n">
        <v>46182</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60-2022</t>
        </is>
      </c>
      <c r="B16" s="1" t="n">
        <v>44560</v>
      </c>
      <c r="C16" s="1" t="n">
        <v>46182</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46182</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46182</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9745-2022</t>
        </is>
      </c>
      <c r="B19" s="1" t="n">
        <v>44618</v>
      </c>
      <c r="C19" s="1" t="n">
        <v>46182</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62402-2022</t>
        </is>
      </c>
      <c r="B20" s="1" t="n">
        <v>44923</v>
      </c>
      <c r="C20" s="1" t="n">
        <v>46182</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46182</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17348-2025</t>
        </is>
      </c>
      <c r="B22" s="1" t="n">
        <v>45756</v>
      </c>
      <c r="C22" s="1" t="n">
        <v>46182</v>
      </c>
      <c r="D22" t="inlineStr">
        <is>
          <t>STOCKHOLMS LÄN</t>
        </is>
      </c>
      <c r="E22" t="inlineStr">
        <is>
          <t>VALLENTUNA</t>
        </is>
      </c>
      <c r="F22" t="inlineStr">
        <is>
          <t>Övriga Aktiebolag</t>
        </is>
      </c>
      <c r="G22" t="n">
        <v>2.2</v>
      </c>
      <c r="H22" t="n">
        <v>0</v>
      </c>
      <c r="I22" t="n">
        <v>1</v>
      </c>
      <c r="J22" t="n">
        <v>0</v>
      </c>
      <c r="K22" t="n">
        <v>0</v>
      </c>
      <c r="L22" t="n">
        <v>0</v>
      </c>
      <c r="M22" t="n">
        <v>0</v>
      </c>
      <c r="N22" t="n">
        <v>0</v>
      </c>
      <c r="O22" t="n">
        <v>0</v>
      </c>
      <c r="P22" t="n">
        <v>0</v>
      </c>
      <c r="Q22" t="n">
        <v>1</v>
      </c>
      <c r="R22" s="2" t="inlineStr">
        <is>
          <t>Björksplintborre</t>
        </is>
      </c>
      <c r="S22">
        <f>HYPERLINK("https://klasma.github.io/Logging_0115/artfynd/A 17348-2025 artfynd.xlsx", "A 17348-2025")</f>
        <v/>
      </c>
      <c r="T22">
        <f>HYPERLINK("https://klasma.github.io/Logging_0115/kartor/A 17348-2025 karta.png", "A 17348-2025")</f>
        <v/>
      </c>
      <c r="V22">
        <f>HYPERLINK("https://klasma.github.io/Logging_0115/klagomål/A 17348-2025 FSC-klagomål.docx", "A 17348-2025")</f>
        <v/>
      </c>
      <c r="W22">
        <f>HYPERLINK("https://klasma.github.io/Logging_0115/klagomålsmail/A 17348-2025 FSC-klagomål mail.docx", "A 17348-2025")</f>
        <v/>
      </c>
      <c r="X22">
        <f>HYPERLINK("https://klasma.github.io/Logging_0115/tillsyn/A 17348-2025 tillsynsbegäran.docx", "A 17348-2025")</f>
        <v/>
      </c>
      <c r="Y22">
        <f>HYPERLINK("https://klasma.github.io/Logging_0115/tillsynsmail/A 17348-2025 tillsynsbegäran mail.docx", "A 17348-2025")</f>
        <v/>
      </c>
    </row>
    <row r="23" ht="15" customHeight="1">
      <c r="A23" t="inlineStr">
        <is>
          <t>A 8817-2025</t>
        </is>
      </c>
      <c r="B23" s="1" t="n">
        <v>45712.70987268518</v>
      </c>
      <c r="C23" s="1" t="n">
        <v>46182</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34458-2023</t>
        </is>
      </c>
      <c r="B24" s="1" t="n">
        <v>45139</v>
      </c>
      <c r="C24" s="1" t="n">
        <v>46182</v>
      </c>
      <c r="D24" t="inlineStr">
        <is>
          <t>STOCKHOLMS LÄN</t>
        </is>
      </c>
      <c r="E24" t="inlineStr">
        <is>
          <t>VALLENTUNA</t>
        </is>
      </c>
      <c r="G24" t="n">
        <v>2.5</v>
      </c>
      <c r="H24" t="n">
        <v>0</v>
      </c>
      <c r="I24" t="n">
        <v>0</v>
      </c>
      <c r="J24" t="n">
        <v>1</v>
      </c>
      <c r="K24" t="n">
        <v>0</v>
      </c>
      <c r="L24" t="n">
        <v>0</v>
      </c>
      <c r="M24" t="n">
        <v>0</v>
      </c>
      <c r="N24" t="n">
        <v>0</v>
      </c>
      <c r="O24" t="n">
        <v>1</v>
      </c>
      <c r="P24" t="n">
        <v>0</v>
      </c>
      <c r="Q24" t="n">
        <v>1</v>
      </c>
      <c r="R24" s="2" t="inlineStr">
        <is>
          <t>Motaggsvamp</t>
        </is>
      </c>
      <c r="S24">
        <f>HYPERLINK("https://klasma.github.io/Logging_0115/artfynd/A 34458-2023 artfynd.xlsx", "A 34458-2023")</f>
        <v/>
      </c>
      <c r="T24">
        <f>HYPERLINK("https://klasma.github.io/Logging_0115/kartor/A 34458-2023 karta.png", "A 34458-2023")</f>
        <v/>
      </c>
      <c r="V24">
        <f>HYPERLINK("https://klasma.github.io/Logging_0115/klagomål/A 34458-2023 FSC-klagomål.docx", "A 34458-2023")</f>
        <v/>
      </c>
      <c r="W24">
        <f>HYPERLINK("https://klasma.github.io/Logging_0115/klagomålsmail/A 34458-2023 FSC-klagomål mail.docx", "A 34458-2023")</f>
        <v/>
      </c>
      <c r="X24">
        <f>HYPERLINK("https://klasma.github.io/Logging_0115/tillsyn/A 34458-2023 tillsynsbegäran.docx", "A 34458-2023")</f>
        <v/>
      </c>
      <c r="Y24">
        <f>HYPERLINK("https://klasma.github.io/Logging_0115/tillsynsmail/A 34458-2023 tillsynsbegäran mail.docx", "A 34458-2023")</f>
        <v/>
      </c>
    </row>
    <row r="25" ht="15" customHeight="1">
      <c r="A25" t="inlineStr">
        <is>
          <t>A 21-2022</t>
        </is>
      </c>
      <c r="B25" s="1" t="n">
        <v>44560</v>
      </c>
      <c r="C25" s="1" t="n">
        <v>46182</v>
      </c>
      <c r="D25" t="inlineStr">
        <is>
          <t>STOCKHOLMS LÄN</t>
        </is>
      </c>
      <c r="E25" t="inlineStr">
        <is>
          <t>VALLENTUNA</t>
        </is>
      </c>
      <c r="F25" t="inlineStr">
        <is>
          <t>Övriga Aktiebolag</t>
        </is>
      </c>
      <c r="G25" t="n">
        <v>3.5</v>
      </c>
      <c r="H25" t="n">
        <v>1</v>
      </c>
      <c r="I25" t="n">
        <v>0</v>
      </c>
      <c r="J25" t="n">
        <v>0</v>
      </c>
      <c r="K25" t="n">
        <v>0</v>
      </c>
      <c r="L25" t="n">
        <v>0</v>
      </c>
      <c r="M25" t="n">
        <v>0</v>
      </c>
      <c r="N25" t="n">
        <v>0</v>
      </c>
      <c r="O25" t="n">
        <v>0</v>
      </c>
      <c r="P25" t="n">
        <v>0</v>
      </c>
      <c r="Q25" t="n">
        <v>1</v>
      </c>
      <c r="R25" s="2" t="inlineStr">
        <is>
          <t>Nattviol</t>
        </is>
      </c>
      <c r="S25">
        <f>HYPERLINK("https://klasma.github.io/Logging_0115/artfynd/A 21-2022 artfynd.xlsx", "A 21-2022")</f>
        <v/>
      </c>
      <c r="T25">
        <f>HYPERLINK("https://klasma.github.io/Logging_0115/kartor/A 21-2022 karta.png", "A 21-2022")</f>
        <v/>
      </c>
      <c r="V25">
        <f>HYPERLINK("https://klasma.github.io/Logging_0115/klagomål/A 21-2022 FSC-klagomål.docx", "A 21-2022")</f>
        <v/>
      </c>
      <c r="W25">
        <f>HYPERLINK("https://klasma.github.io/Logging_0115/klagomålsmail/A 21-2022 FSC-klagomål mail.docx", "A 21-2022")</f>
        <v/>
      </c>
      <c r="X25">
        <f>HYPERLINK("https://klasma.github.io/Logging_0115/tillsyn/A 21-2022 tillsynsbegäran.docx", "A 21-2022")</f>
        <v/>
      </c>
      <c r="Y25">
        <f>HYPERLINK("https://klasma.github.io/Logging_0115/tillsynsmail/A 21-2022 tillsynsbegäran mail.docx", "A 21-2022")</f>
        <v/>
      </c>
    </row>
    <row r="26" ht="15" customHeight="1">
      <c r="A26" t="inlineStr">
        <is>
          <t>A 54481-2025</t>
        </is>
      </c>
      <c r="B26" s="1" t="n">
        <v>45965.58837962963</v>
      </c>
      <c r="C26" s="1" t="n">
        <v>46182</v>
      </c>
      <c r="D26" t="inlineStr">
        <is>
          <t>STOCKHOLMS LÄN</t>
        </is>
      </c>
      <c r="E26" t="inlineStr">
        <is>
          <t>VALLENTUNA</t>
        </is>
      </c>
      <c r="G26" t="n">
        <v>1.4</v>
      </c>
      <c r="H26" t="n">
        <v>0</v>
      </c>
      <c r="I26" t="n">
        <v>0</v>
      </c>
      <c r="J26" t="n">
        <v>1</v>
      </c>
      <c r="K26" t="n">
        <v>0</v>
      </c>
      <c r="L26" t="n">
        <v>0</v>
      </c>
      <c r="M26" t="n">
        <v>0</v>
      </c>
      <c r="N26" t="n">
        <v>0</v>
      </c>
      <c r="O26" t="n">
        <v>1</v>
      </c>
      <c r="P26" t="n">
        <v>0</v>
      </c>
      <c r="Q26" t="n">
        <v>1</v>
      </c>
      <c r="R26" s="2" t="inlineStr">
        <is>
          <t>Gullklöver</t>
        </is>
      </c>
      <c r="S26">
        <f>HYPERLINK("https://klasma.github.io/Logging_0115/artfynd/A 54481-2025 artfynd.xlsx", "A 54481-2025")</f>
        <v/>
      </c>
      <c r="T26">
        <f>HYPERLINK("https://klasma.github.io/Logging_0115/kartor/A 54481-2025 karta.png", "A 54481-2025")</f>
        <v/>
      </c>
      <c r="V26">
        <f>HYPERLINK("https://klasma.github.io/Logging_0115/klagomål/A 54481-2025 FSC-klagomål.docx", "A 54481-2025")</f>
        <v/>
      </c>
      <c r="W26">
        <f>HYPERLINK("https://klasma.github.io/Logging_0115/klagomålsmail/A 54481-2025 FSC-klagomål mail.docx", "A 54481-2025")</f>
        <v/>
      </c>
      <c r="X26">
        <f>HYPERLINK("https://klasma.github.io/Logging_0115/tillsyn/A 54481-2025 tillsynsbegäran.docx", "A 54481-2025")</f>
        <v/>
      </c>
      <c r="Y26">
        <f>HYPERLINK("https://klasma.github.io/Logging_0115/tillsynsmail/A 54481-2025 tillsynsbegäran mail.docx", "A 54481-2025")</f>
        <v/>
      </c>
    </row>
    <row r="27" ht="15" customHeight="1">
      <c r="A27" t="inlineStr">
        <is>
          <t>A 7890-2023</t>
        </is>
      </c>
      <c r="B27" s="1" t="n">
        <v>44973</v>
      </c>
      <c r="C27" s="1" t="n">
        <v>46182</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46182</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17341-2025</t>
        </is>
      </c>
      <c r="B29" s="1" t="n">
        <v>45756</v>
      </c>
      <c r="C29" s="1" t="n">
        <v>46182</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12401-2026</t>
        </is>
      </c>
      <c r="B30" s="1" t="n">
        <v>46090</v>
      </c>
      <c r="C30" s="1" t="n">
        <v>46182</v>
      </c>
      <c r="D30" t="inlineStr">
        <is>
          <t>STOCKHOLMS LÄN</t>
        </is>
      </c>
      <c r="E30" t="inlineStr">
        <is>
          <t>VALLENTUNA</t>
        </is>
      </c>
      <c r="G30" t="n">
        <v>5.9</v>
      </c>
      <c r="H30" t="n">
        <v>1</v>
      </c>
      <c r="I30" t="n">
        <v>0</v>
      </c>
      <c r="J30" t="n">
        <v>1</v>
      </c>
      <c r="K30" t="n">
        <v>0</v>
      </c>
      <c r="L30" t="n">
        <v>0</v>
      </c>
      <c r="M30" t="n">
        <v>0</v>
      </c>
      <c r="N30" t="n">
        <v>0</v>
      </c>
      <c r="O30" t="n">
        <v>1</v>
      </c>
      <c r="P30" t="n">
        <v>0</v>
      </c>
      <c r="Q30" t="n">
        <v>1</v>
      </c>
      <c r="R30" s="2" t="inlineStr">
        <is>
          <t>Spillkråka</t>
        </is>
      </c>
      <c r="S30">
        <f>HYPERLINK("https://klasma.github.io/Logging_0115/artfynd/A 12401-2026 artfynd.xlsx", "A 12401-2026")</f>
        <v/>
      </c>
      <c r="T30">
        <f>HYPERLINK("https://klasma.github.io/Logging_0115/kartor/A 12401-2026 karta.png", "A 12401-2026")</f>
        <v/>
      </c>
      <c r="V30">
        <f>HYPERLINK("https://klasma.github.io/Logging_0115/klagomål/A 12401-2026 FSC-klagomål.docx", "A 12401-2026")</f>
        <v/>
      </c>
      <c r="W30">
        <f>HYPERLINK("https://klasma.github.io/Logging_0115/klagomålsmail/A 12401-2026 FSC-klagomål mail.docx", "A 12401-2026")</f>
        <v/>
      </c>
      <c r="X30">
        <f>HYPERLINK("https://klasma.github.io/Logging_0115/tillsyn/A 12401-2026 tillsynsbegäran.docx", "A 12401-2026")</f>
        <v/>
      </c>
      <c r="Y30">
        <f>HYPERLINK("https://klasma.github.io/Logging_0115/tillsynsmail/A 12401-2026 tillsynsbegäran mail.docx", "A 12401-2026")</f>
        <v/>
      </c>
      <c r="Z30">
        <f>HYPERLINK("https://klasma.github.io/Logging_0115/fåglar/A 12401-2026 prioriterade fågelarter.docx", "A 12401-2026")</f>
        <v/>
      </c>
    </row>
    <row r="31" ht="15" customHeight="1">
      <c r="A31" t="inlineStr">
        <is>
          <t>A 12396-2026</t>
        </is>
      </c>
      <c r="B31" s="1" t="n">
        <v>46090.38930555555</v>
      </c>
      <c r="C31" s="1" t="n">
        <v>46182</v>
      </c>
      <c r="D31" t="inlineStr">
        <is>
          <t>STOCKHOLMS LÄN</t>
        </is>
      </c>
      <c r="E31" t="inlineStr">
        <is>
          <t>VALLENTUNA</t>
        </is>
      </c>
      <c r="G31" t="n">
        <v>3</v>
      </c>
      <c r="H31" t="n">
        <v>1</v>
      </c>
      <c r="I31" t="n">
        <v>0</v>
      </c>
      <c r="J31" t="n">
        <v>1</v>
      </c>
      <c r="K31" t="n">
        <v>0</v>
      </c>
      <c r="L31" t="n">
        <v>0</v>
      </c>
      <c r="M31" t="n">
        <v>0</v>
      </c>
      <c r="N31" t="n">
        <v>0</v>
      </c>
      <c r="O31" t="n">
        <v>1</v>
      </c>
      <c r="P31" t="n">
        <v>0</v>
      </c>
      <c r="Q31" t="n">
        <v>1</v>
      </c>
      <c r="R31" s="2" t="inlineStr">
        <is>
          <t>Spillkråka</t>
        </is>
      </c>
      <c r="S31">
        <f>HYPERLINK("https://klasma.github.io/Logging_0115/artfynd/A 12396-2026 artfynd.xlsx", "A 12396-2026")</f>
        <v/>
      </c>
      <c r="T31">
        <f>HYPERLINK("https://klasma.github.io/Logging_0115/kartor/A 12396-2026 karta.png", "A 12396-2026")</f>
        <v/>
      </c>
      <c r="V31">
        <f>HYPERLINK("https://klasma.github.io/Logging_0115/klagomål/A 12396-2026 FSC-klagomål.docx", "A 12396-2026")</f>
        <v/>
      </c>
      <c r="W31">
        <f>HYPERLINK("https://klasma.github.io/Logging_0115/klagomålsmail/A 12396-2026 FSC-klagomål mail.docx", "A 12396-2026")</f>
        <v/>
      </c>
      <c r="X31">
        <f>HYPERLINK("https://klasma.github.io/Logging_0115/tillsyn/A 12396-2026 tillsynsbegäran.docx", "A 12396-2026")</f>
        <v/>
      </c>
      <c r="Y31">
        <f>HYPERLINK("https://klasma.github.io/Logging_0115/tillsynsmail/A 12396-2026 tillsynsbegäran mail.docx", "A 12396-2026")</f>
        <v/>
      </c>
      <c r="Z31">
        <f>HYPERLINK("https://klasma.github.io/Logging_0115/fåglar/A 12396-2026 prioriterade fågelarter.docx", "A 12396-2026")</f>
        <v/>
      </c>
    </row>
    <row r="32" ht="15" customHeight="1">
      <c r="A32" t="inlineStr">
        <is>
          <t>A 63539-2025</t>
        </is>
      </c>
      <c r="B32" s="1" t="n">
        <v>46013.58824074074</v>
      </c>
      <c r="C32" s="1" t="n">
        <v>46182</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46182</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14508-2024</t>
        </is>
      </c>
      <c r="B34" s="1" t="n">
        <v>45394.61583333334</v>
      </c>
      <c r="C34" s="1" t="n">
        <v>46182</v>
      </c>
      <c r="D34" t="inlineStr">
        <is>
          <t>STOCKHOLMS LÄN</t>
        </is>
      </c>
      <c r="E34" t="inlineStr">
        <is>
          <t>VALLENTUNA</t>
        </is>
      </c>
      <c r="G34" t="n">
        <v>1.7</v>
      </c>
      <c r="H34" t="n">
        <v>1</v>
      </c>
      <c r="I34" t="n">
        <v>0</v>
      </c>
      <c r="J34" t="n">
        <v>1</v>
      </c>
      <c r="K34" t="n">
        <v>0</v>
      </c>
      <c r="L34" t="n">
        <v>0</v>
      </c>
      <c r="M34" t="n">
        <v>0</v>
      </c>
      <c r="N34" t="n">
        <v>0</v>
      </c>
      <c r="O34" t="n">
        <v>1</v>
      </c>
      <c r="P34" t="n">
        <v>0</v>
      </c>
      <c r="Q34" t="n">
        <v>1</v>
      </c>
      <c r="R34" s="2" t="inlineStr">
        <is>
          <t>Mindre hackspett</t>
        </is>
      </c>
      <c r="S34">
        <f>HYPERLINK("https://klasma.github.io/Logging_0115/artfynd/A 14508-2024 artfynd.xlsx", "A 14508-2024")</f>
        <v/>
      </c>
      <c r="T34">
        <f>HYPERLINK("https://klasma.github.io/Logging_0115/kartor/A 14508-2024 karta.png", "A 14508-2024")</f>
        <v/>
      </c>
      <c r="V34">
        <f>HYPERLINK("https://klasma.github.io/Logging_0115/klagomål/A 14508-2024 FSC-klagomål.docx", "A 14508-2024")</f>
        <v/>
      </c>
      <c r="W34">
        <f>HYPERLINK("https://klasma.github.io/Logging_0115/klagomålsmail/A 14508-2024 FSC-klagomål mail.docx", "A 14508-2024")</f>
        <v/>
      </c>
      <c r="X34">
        <f>HYPERLINK("https://klasma.github.io/Logging_0115/tillsyn/A 14508-2024 tillsynsbegäran.docx", "A 14508-2024")</f>
        <v/>
      </c>
      <c r="Y34">
        <f>HYPERLINK("https://klasma.github.io/Logging_0115/tillsynsmail/A 14508-2024 tillsynsbegäran mail.docx", "A 14508-2024")</f>
        <v/>
      </c>
      <c r="Z34">
        <f>HYPERLINK("https://klasma.github.io/Logging_0115/fåglar/A 14508-2024 prioriterade fågelarter.docx", "A 14508-2024")</f>
        <v/>
      </c>
    </row>
    <row r="35" ht="15" customHeight="1">
      <c r="A35" t="inlineStr">
        <is>
          <t>A 34460-2023</t>
        </is>
      </c>
      <c r="B35" s="1" t="n">
        <v>45139</v>
      </c>
      <c r="C35" s="1" t="n">
        <v>46182</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8089-2022</t>
        </is>
      </c>
      <c r="B36" s="1" t="n">
        <v>44609.53716435185</v>
      </c>
      <c r="C36" s="1" t="n">
        <v>46182</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46182</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46182</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46182</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46182</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46182</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46182</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46182</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14725-2022</t>
        </is>
      </c>
      <c r="B44" s="1" t="n">
        <v>44655</v>
      </c>
      <c r="C44" s="1" t="n">
        <v>46182</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46182</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8077-2022</t>
        </is>
      </c>
      <c r="B46" s="1" t="n">
        <v>44609</v>
      </c>
      <c r="C46" s="1" t="n">
        <v>46182</v>
      </c>
      <c r="D46" t="inlineStr">
        <is>
          <t>STOCKHOLMS LÄN</t>
        </is>
      </c>
      <c r="E46" t="inlineStr">
        <is>
          <t>VALLENTUNA</t>
        </is>
      </c>
      <c r="G46" t="n">
        <v>1.3</v>
      </c>
      <c r="H46" t="n">
        <v>0</v>
      </c>
      <c r="I46" t="n">
        <v>0</v>
      </c>
      <c r="J46" t="n">
        <v>0</v>
      </c>
      <c r="K46" t="n">
        <v>0</v>
      </c>
      <c r="L46" t="n">
        <v>0</v>
      </c>
      <c r="M46" t="n">
        <v>0</v>
      </c>
      <c r="N46" t="n">
        <v>0</v>
      </c>
      <c r="O46" t="n">
        <v>0</v>
      </c>
      <c r="P46" t="n">
        <v>0</v>
      </c>
      <c r="Q46" t="n">
        <v>0</v>
      </c>
      <c r="R46" s="2" t="inlineStr"/>
    </row>
    <row r="47" ht="15" customHeight="1">
      <c r="A47" t="inlineStr">
        <is>
          <t>A 47140-2024</t>
        </is>
      </c>
      <c r="B47" s="1" t="n">
        <v>45586.58753472222</v>
      </c>
      <c r="C47" s="1" t="n">
        <v>46182</v>
      </c>
      <c r="D47" t="inlineStr">
        <is>
          <t>STOCKHOLMS LÄN</t>
        </is>
      </c>
      <c r="E47" t="inlineStr">
        <is>
          <t>VALLENTUNA</t>
        </is>
      </c>
      <c r="G47" t="n">
        <v>1</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46182</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46182</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52989-2023</t>
        </is>
      </c>
      <c r="B50" s="1" t="n">
        <v>45226</v>
      </c>
      <c r="C50" s="1" t="n">
        <v>46182</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26390-2023</t>
        </is>
      </c>
      <c r="B51" s="1" t="n">
        <v>45086</v>
      </c>
      <c r="C51" s="1" t="n">
        <v>46182</v>
      </c>
      <c r="D51" t="inlineStr">
        <is>
          <t>STOCKHOLMS LÄN</t>
        </is>
      </c>
      <c r="E51" t="inlineStr">
        <is>
          <t>VALLENTUNA</t>
        </is>
      </c>
      <c r="G51" t="n">
        <v>1.6</v>
      </c>
      <c r="H51" t="n">
        <v>0</v>
      </c>
      <c r="I51" t="n">
        <v>0</v>
      </c>
      <c r="J51" t="n">
        <v>0</v>
      </c>
      <c r="K51" t="n">
        <v>0</v>
      </c>
      <c r="L51" t="n">
        <v>0</v>
      </c>
      <c r="M51" t="n">
        <v>0</v>
      </c>
      <c r="N51" t="n">
        <v>0</v>
      </c>
      <c r="O51" t="n">
        <v>0</v>
      </c>
      <c r="P51" t="n">
        <v>0</v>
      </c>
      <c r="Q51" t="n">
        <v>0</v>
      </c>
      <c r="R51" s="2" t="inlineStr"/>
    </row>
    <row r="52" ht="15" customHeight="1">
      <c r="A52" t="inlineStr">
        <is>
          <t>A 30902-2025</t>
        </is>
      </c>
      <c r="B52" s="1" t="n">
        <v>45832.36104166666</v>
      </c>
      <c r="C52" s="1" t="n">
        <v>46182</v>
      </c>
      <c r="D52" t="inlineStr">
        <is>
          <t>STOCKHOLMS LÄN</t>
        </is>
      </c>
      <c r="E52" t="inlineStr">
        <is>
          <t>VALLENTUNA</t>
        </is>
      </c>
      <c r="G52" t="n">
        <v>8.199999999999999</v>
      </c>
      <c r="H52" t="n">
        <v>0</v>
      </c>
      <c r="I52" t="n">
        <v>0</v>
      </c>
      <c r="J52" t="n">
        <v>0</v>
      </c>
      <c r="K52" t="n">
        <v>0</v>
      </c>
      <c r="L52" t="n">
        <v>0</v>
      </c>
      <c r="M52" t="n">
        <v>0</v>
      </c>
      <c r="N52" t="n">
        <v>0</v>
      </c>
      <c r="O52" t="n">
        <v>0</v>
      </c>
      <c r="P52" t="n">
        <v>0</v>
      </c>
      <c r="Q52" t="n">
        <v>0</v>
      </c>
      <c r="R52" s="2" t="inlineStr"/>
    </row>
    <row r="53" ht="15" customHeight="1">
      <c r="A53" t="inlineStr">
        <is>
          <t>A 21765-2023</t>
        </is>
      </c>
      <c r="B53" s="1" t="n">
        <v>45064</v>
      </c>
      <c r="C53" s="1" t="n">
        <v>46182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21614-2022</t>
        </is>
      </c>
      <c r="B54" s="1" t="n">
        <v>44706</v>
      </c>
      <c r="C54" s="1" t="n">
        <v>46182</v>
      </c>
      <c r="D54" t="inlineStr">
        <is>
          <t>STOCKHOLMS LÄN</t>
        </is>
      </c>
      <c r="E54" t="inlineStr">
        <is>
          <t>VALLENTUNA</t>
        </is>
      </c>
      <c r="G54" t="n">
        <v>4</v>
      </c>
      <c r="H54" t="n">
        <v>0</v>
      </c>
      <c r="I54" t="n">
        <v>0</v>
      </c>
      <c r="J54" t="n">
        <v>0</v>
      </c>
      <c r="K54" t="n">
        <v>0</v>
      </c>
      <c r="L54" t="n">
        <v>0</v>
      </c>
      <c r="M54" t="n">
        <v>0</v>
      </c>
      <c r="N54" t="n">
        <v>0</v>
      </c>
      <c r="O54" t="n">
        <v>0</v>
      </c>
      <c r="P54" t="n">
        <v>0</v>
      </c>
      <c r="Q54" t="n">
        <v>0</v>
      </c>
      <c r="R54" s="2" t="inlineStr"/>
    </row>
    <row r="55" ht="15" customHeight="1">
      <c r="A55" t="inlineStr">
        <is>
          <t>A 23986-2023</t>
        </is>
      </c>
      <c r="B55" s="1" t="n">
        <v>45078</v>
      </c>
      <c r="C55" s="1" t="n">
        <v>46182</v>
      </c>
      <c r="D55" t="inlineStr">
        <is>
          <t>STOCKHOLMS LÄN</t>
        </is>
      </c>
      <c r="E55" t="inlineStr">
        <is>
          <t>VALLENTUNA</t>
        </is>
      </c>
      <c r="F55" t="inlineStr">
        <is>
          <t>Kyrkan</t>
        </is>
      </c>
      <c r="G55" t="n">
        <v>5.7</v>
      </c>
      <c r="H55" t="n">
        <v>0</v>
      </c>
      <c r="I55" t="n">
        <v>0</v>
      </c>
      <c r="J55" t="n">
        <v>0</v>
      </c>
      <c r="K55" t="n">
        <v>0</v>
      </c>
      <c r="L55" t="n">
        <v>0</v>
      </c>
      <c r="M55" t="n">
        <v>0</v>
      </c>
      <c r="N55" t="n">
        <v>0</v>
      </c>
      <c r="O55" t="n">
        <v>0</v>
      </c>
      <c r="P55" t="n">
        <v>0</v>
      </c>
      <c r="Q55" t="n">
        <v>0</v>
      </c>
      <c r="R55" s="2" t="inlineStr"/>
    </row>
    <row r="56" ht="15" customHeight="1">
      <c r="A56" t="inlineStr">
        <is>
          <t>A 28431-2025</t>
        </is>
      </c>
      <c r="B56" s="1" t="n">
        <v>45819.38072916667</v>
      </c>
      <c r="C56" s="1" t="n">
        <v>46182</v>
      </c>
      <c r="D56" t="inlineStr">
        <is>
          <t>STOCKHOLMS LÄN</t>
        </is>
      </c>
      <c r="E56" t="inlineStr">
        <is>
          <t>VALLENTUNA</t>
        </is>
      </c>
      <c r="G56" t="n">
        <v>1.5</v>
      </c>
      <c r="H56" t="n">
        <v>0</v>
      </c>
      <c r="I56" t="n">
        <v>0</v>
      </c>
      <c r="J56" t="n">
        <v>0</v>
      </c>
      <c r="K56" t="n">
        <v>0</v>
      </c>
      <c r="L56" t="n">
        <v>0</v>
      </c>
      <c r="M56" t="n">
        <v>0</v>
      </c>
      <c r="N56" t="n">
        <v>0</v>
      </c>
      <c r="O56" t="n">
        <v>0</v>
      </c>
      <c r="P56" t="n">
        <v>0</v>
      </c>
      <c r="Q56" t="n">
        <v>0</v>
      </c>
      <c r="R56" s="2" t="inlineStr"/>
    </row>
    <row r="57" ht="15" customHeight="1">
      <c r="A57" t="inlineStr">
        <is>
          <t>A 24068-2024</t>
        </is>
      </c>
      <c r="B57" s="1" t="n">
        <v>45456</v>
      </c>
      <c r="C57" s="1" t="n">
        <v>46182</v>
      </c>
      <c r="D57" t="inlineStr">
        <is>
          <t>STOCKHOLMS LÄN</t>
        </is>
      </c>
      <c r="E57" t="inlineStr">
        <is>
          <t>VALLENTUNA</t>
        </is>
      </c>
      <c r="G57" t="n">
        <v>7.4</v>
      </c>
      <c r="H57" t="n">
        <v>0</v>
      </c>
      <c r="I57" t="n">
        <v>0</v>
      </c>
      <c r="J57" t="n">
        <v>0</v>
      </c>
      <c r="K57" t="n">
        <v>0</v>
      </c>
      <c r="L57" t="n">
        <v>0</v>
      </c>
      <c r="M57" t="n">
        <v>0</v>
      </c>
      <c r="N57" t="n">
        <v>0</v>
      </c>
      <c r="O57" t="n">
        <v>0</v>
      </c>
      <c r="P57" t="n">
        <v>0</v>
      </c>
      <c r="Q57" t="n">
        <v>0</v>
      </c>
      <c r="R57" s="2" t="inlineStr"/>
    </row>
    <row r="58" ht="15" customHeight="1">
      <c r="A58" t="inlineStr">
        <is>
          <t>A 3937-2022</t>
        </is>
      </c>
      <c r="B58" s="1" t="n">
        <v>44587</v>
      </c>
      <c r="C58" s="1" t="n">
        <v>46182</v>
      </c>
      <c r="D58" t="inlineStr">
        <is>
          <t>STOCKHOLMS LÄN</t>
        </is>
      </c>
      <c r="E58" t="inlineStr">
        <is>
          <t>VALLENTUNA</t>
        </is>
      </c>
      <c r="G58" t="n">
        <v>6.6</v>
      </c>
      <c r="H58" t="n">
        <v>0</v>
      </c>
      <c r="I58" t="n">
        <v>0</v>
      </c>
      <c r="J58" t="n">
        <v>0</v>
      </c>
      <c r="K58" t="n">
        <v>0</v>
      </c>
      <c r="L58" t="n">
        <v>0</v>
      </c>
      <c r="M58" t="n">
        <v>0</v>
      </c>
      <c r="N58" t="n">
        <v>0</v>
      </c>
      <c r="O58" t="n">
        <v>0</v>
      </c>
      <c r="P58" t="n">
        <v>0</v>
      </c>
      <c r="Q58" t="n">
        <v>0</v>
      </c>
      <c r="R58" s="2" t="inlineStr"/>
    </row>
    <row r="59" ht="15" customHeight="1">
      <c r="A59" t="inlineStr">
        <is>
          <t>A 23013-2024</t>
        </is>
      </c>
      <c r="B59" s="1" t="n">
        <v>45450.35116898148</v>
      </c>
      <c r="C59" s="1" t="n">
        <v>46182</v>
      </c>
      <c r="D59" t="inlineStr">
        <is>
          <t>STOCKHOLMS LÄN</t>
        </is>
      </c>
      <c r="E59" t="inlineStr">
        <is>
          <t>VALLENTUNA</t>
        </is>
      </c>
      <c r="G59" t="n">
        <v>0.4</v>
      </c>
      <c r="H59" t="n">
        <v>0</v>
      </c>
      <c r="I59" t="n">
        <v>0</v>
      </c>
      <c r="J59" t="n">
        <v>0</v>
      </c>
      <c r="K59" t="n">
        <v>0</v>
      </c>
      <c r="L59" t="n">
        <v>0</v>
      </c>
      <c r="M59" t="n">
        <v>0</v>
      </c>
      <c r="N59" t="n">
        <v>0</v>
      </c>
      <c r="O59" t="n">
        <v>0</v>
      </c>
      <c r="P59" t="n">
        <v>0</v>
      </c>
      <c r="Q59" t="n">
        <v>0</v>
      </c>
      <c r="R59" s="2" t="inlineStr"/>
    </row>
    <row r="60" ht="15" customHeight="1">
      <c r="A60" t="inlineStr">
        <is>
          <t>A 3078-2023</t>
        </is>
      </c>
      <c r="B60" s="1" t="n">
        <v>44946.41527777778</v>
      </c>
      <c r="C60" s="1" t="n">
        <v>46182</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46182</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44346-2021</t>
        </is>
      </c>
      <c r="B62" s="1" t="n">
        <v>44434</v>
      </c>
      <c r="C62" s="1" t="n">
        <v>46182</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19503-2023</t>
        </is>
      </c>
      <c r="B63" s="1" t="n">
        <v>45050.47333333334</v>
      </c>
      <c r="C63" s="1" t="n">
        <v>46182</v>
      </c>
      <c r="D63" t="inlineStr">
        <is>
          <t>STOCKHOLMS LÄN</t>
        </is>
      </c>
      <c r="E63" t="inlineStr">
        <is>
          <t>VALLENTUNA</t>
        </is>
      </c>
      <c r="G63" t="n">
        <v>0.7</v>
      </c>
      <c r="H63" t="n">
        <v>0</v>
      </c>
      <c r="I63" t="n">
        <v>0</v>
      </c>
      <c r="J63" t="n">
        <v>0</v>
      </c>
      <c r="K63" t="n">
        <v>0</v>
      </c>
      <c r="L63" t="n">
        <v>0</v>
      </c>
      <c r="M63" t="n">
        <v>0</v>
      </c>
      <c r="N63" t="n">
        <v>0</v>
      </c>
      <c r="O63" t="n">
        <v>0</v>
      </c>
      <c r="P63" t="n">
        <v>0</v>
      </c>
      <c r="Q63" t="n">
        <v>0</v>
      </c>
      <c r="R63" s="2" t="inlineStr"/>
    </row>
    <row r="64" ht="15" customHeight="1">
      <c r="A64" t="inlineStr">
        <is>
          <t>A 48014-2025</t>
        </is>
      </c>
      <c r="B64" s="1" t="n">
        <v>45932.64520833334</v>
      </c>
      <c r="C64" s="1" t="n">
        <v>46182</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48038-2025</t>
        </is>
      </c>
      <c r="B65" s="1" t="n">
        <v>45932.66008101852</v>
      </c>
      <c r="C65" s="1" t="n">
        <v>46182</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46182</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414-2026</t>
        </is>
      </c>
      <c r="B67" s="1" t="n">
        <v>46028.76050925926</v>
      </c>
      <c r="C67" s="1" t="n">
        <v>46182</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46182</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46182</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4803-2024</t>
        </is>
      </c>
      <c r="B70" s="1" t="n">
        <v>45328</v>
      </c>
      <c r="C70" s="1" t="n">
        <v>46182</v>
      </c>
      <c r="D70" t="inlineStr">
        <is>
          <t>STOCKHOLMS LÄN</t>
        </is>
      </c>
      <c r="E70" t="inlineStr">
        <is>
          <t>VALLENTUNA</t>
        </is>
      </c>
      <c r="G70" t="n">
        <v>4.6</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46182</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46182</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3698-2022</t>
        </is>
      </c>
      <c r="B73" s="1" t="n">
        <v>44586</v>
      </c>
      <c r="C73" s="1" t="n">
        <v>46182</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38102-2024</t>
        </is>
      </c>
      <c r="B74" s="1" t="n">
        <v>45545.36349537037</v>
      </c>
      <c r="C74" s="1" t="n">
        <v>46182</v>
      </c>
      <c r="D74" t="inlineStr">
        <is>
          <t>STOCKHOLMS LÄN</t>
        </is>
      </c>
      <c r="E74" t="inlineStr">
        <is>
          <t>VALLENTUNA</t>
        </is>
      </c>
      <c r="G74" t="n">
        <v>3.2</v>
      </c>
      <c r="H74" t="n">
        <v>0</v>
      </c>
      <c r="I74" t="n">
        <v>0</v>
      </c>
      <c r="J74" t="n">
        <v>0</v>
      </c>
      <c r="K74" t="n">
        <v>0</v>
      </c>
      <c r="L74" t="n">
        <v>0</v>
      </c>
      <c r="M74" t="n">
        <v>0</v>
      </c>
      <c r="N74" t="n">
        <v>0</v>
      </c>
      <c r="O74" t="n">
        <v>0</v>
      </c>
      <c r="P74" t="n">
        <v>0</v>
      </c>
      <c r="Q74" t="n">
        <v>0</v>
      </c>
      <c r="R74" s="2" t="inlineStr"/>
    </row>
    <row r="75" ht="15" customHeight="1">
      <c r="A75" t="inlineStr">
        <is>
          <t>A 12234-2022</t>
        </is>
      </c>
      <c r="B75" s="1" t="n">
        <v>44637</v>
      </c>
      <c r="C75" s="1" t="n">
        <v>46182</v>
      </c>
      <c r="D75" t="inlineStr">
        <is>
          <t>STOCKHOLMS LÄN</t>
        </is>
      </c>
      <c r="E75" t="inlineStr">
        <is>
          <t>VALLENTUNA</t>
        </is>
      </c>
      <c r="G75" t="n">
        <v>2.4</v>
      </c>
      <c r="H75" t="n">
        <v>0</v>
      </c>
      <c r="I75" t="n">
        <v>0</v>
      </c>
      <c r="J75" t="n">
        <v>0</v>
      </c>
      <c r="K75" t="n">
        <v>0</v>
      </c>
      <c r="L75" t="n">
        <v>0</v>
      </c>
      <c r="M75" t="n">
        <v>0</v>
      </c>
      <c r="N75" t="n">
        <v>0</v>
      </c>
      <c r="O75" t="n">
        <v>0</v>
      </c>
      <c r="P75" t="n">
        <v>0</v>
      </c>
      <c r="Q75" t="n">
        <v>0</v>
      </c>
      <c r="R75" s="2" t="inlineStr"/>
    </row>
    <row r="76" ht="15" customHeight="1">
      <c r="A76" t="inlineStr">
        <is>
          <t>A 24943-2024</t>
        </is>
      </c>
      <c r="B76" s="1" t="n">
        <v>45461.62585648148</v>
      </c>
      <c r="C76" s="1" t="n">
        <v>46182</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12609-2024</t>
        </is>
      </c>
      <c r="B77" s="1" t="n">
        <v>45382.8109375</v>
      </c>
      <c r="C77" s="1" t="n">
        <v>46182</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54460-2025</t>
        </is>
      </c>
      <c r="B78" s="1" t="n">
        <v>45965.56219907408</v>
      </c>
      <c r="C78" s="1" t="n">
        <v>46182</v>
      </c>
      <c r="D78" t="inlineStr">
        <is>
          <t>STOCKHOLMS LÄN</t>
        </is>
      </c>
      <c r="E78" t="inlineStr">
        <is>
          <t>VALLENTUNA</t>
        </is>
      </c>
      <c r="G78" t="n">
        <v>22.9</v>
      </c>
      <c r="H78" t="n">
        <v>0</v>
      </c>
      <c r="I78" t="n">
        <v>0</v>
      </c>
      <c r="J78" t="n">
        <v>0</v>
      </c>
      <c r="K78" t="n">
        <v>0</v>
      </c>
      <c r="L78" t="n">
        <v>0</v>
      </c>
      <c r="M78" t="n">
        <v>0</v>
      </c>
      <c r="N78" t="n">
        <v>0</v>
      </c>
      <c r="O78" t="n">
        <v>0</v>
      </c>
      <c r="P78" t="n">
        <v>0</v>
      </c>
      <c r="Q78" t="n">
        <v>0</v>
      </c>
      <c r="R78" s="2" t="inlineStr"/>
    </row>
    <row r="79" ht="15" customHeight="1">
      <c r="A79" t="inlineStr">
        <is>
          <t>A 6298-2026</t>
        </is>
      </c>
      <c r="B79" s="1" t="n">
        <v>46055.5656712963</v>
      </c>
      <c r="C79" s="1" t="n">
        <v>46182</v>
      </c>
      <c r="D79" t="inlineStr">
        <is>
          <t>STOCKHOLMS LÄN</t>
        </is>
      </c>
      <c r="E79" t="inlineStr">
        <is>
          <t>VALLENTUNA</t>
        </is>
      </c>
      <c r="G79" t="n">
        <v>3.3</v>
      </c>
      <c r="H79" t="n">
        <v>0</v>
      </c>
      <c r="I79" t="n">
        <v>0</v>
      </c>
      <c r="J79" t="n">
        <v>0</v>
      </c>
      <c r="K79" t="n">
        <v>0</v>
      </c>
      <c r="L79" t="n">
        <v>0</v>
      </c>
      <c r="M79" t="n">
        <v>0</v>
      </c>
      <c r="N79" t="n">
        <v>0</v>
      </c>
      <c r="O79" t="n">
        <v>0</v>
      </c>
      <c r="P79" t="n">
        <v>0</v>
      </c>
      <c r="Q79" t="n">
        <v>0</v>
      </c>
      <c r="R79" s="2" t="inlineStr"/>
    </row>
    <row r="80" ht="15" customHeight="1">
      <c r="A80" t="inlineStr">
        <is>
          <t>A 13836-2022</t>
        </is>
      </c>
      <c r="B80" s="1" t="n">
        <v>44649</v>
      </c>
      <c r="C80" s="1" t="n">
        <v>46182</v>
      </c>
      <c r="D80" t="inlineStr">
        <is>
          <t>STOCKHOLMS LÄN</t>
        </is>
      </c>
      <c r="E80" t="inlineStr">
        <is>
          <t>VALLENTUNA</t>
        </is>
      </c>
      <c r="G80" t="n">
        <v>3.5</v>
      </c>
      <c r="H80" t="n">
        <v>0</v>
      </c>
      <c r="I80" t="n">
        <v>0</v>
      </c>
      <c r="J80" t="n">
        <v>0</v>
      </c>
      <c r="K80" t="n">
        <v>0</v>
      </c>
      <c r="L80" t="n">
        <v>0</v>
      </c>
      <c r="M80" t="n">
        <v>0</v>
      </c>
      <c r="N80" t="n">
        <v>0</v>
      </c>
      <c r="O80" t="n">
        <v>0</v>
      </c>
      <c r="P80" t="n">
        <v>0</v>
      </c>
      <c r="Q80" t="n">
        <v>0</v>
      </c>
      <c r="R80" s="2" t="inlineStr"/>
    </row>
    <row r="81" ht="15" customHeight="1">
      <c r="A81" t="inlineStr">
        <is>
          <t>A 24707-2023</t>
        </is>
      </c>
      <c r="B81" s="1" t="n">
        <v>45084</v>
      </c>
      <c r="C81" s="1" t="n">
        <v>46182</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22683-2023</t>
        </is>
      </c>
      <c r="B82" s="1" t="n">
        <v>45071</v>
      </c>
      <c r="C82" s="1" t="n">
        <v>46182</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17411-2023</t>
        </is>
      </c>
      <c r="B83" s="1" t="n">
        <v>45035.82512731481</v>
      </c>
      <c r="C83" s="1" t="n">
        <v>46182</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12400-2026</t>
        </is>
      </c>
      <c r="B84" s="1" t="n">
        <v>46090.39423611111</v>
      </c>
      <c r="C84" s="1" t="n">
        <v>46182</v>
      </c>
      <c r="D84" t="inlineStr">
        <is>
          <t>STOCKHOLMS LÄN</t>
        </is>
      </c>
      <c r="E84" t="inlineStr">
        <is>
          <t>VALLENTUNA</t>
        </is>
      </c>
      <c r="G84" t="n">
        <v>1.9</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46182</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1385-2024</t>
        </is>
      </c>
      <c r="B86" s="1" t="n">
        <v>45303</v>
      </c>
      <c r="C86" s="1" t="n">
        <v>46182</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12822-2026</t>
        </is>
      </c>
      <c r="B87" s="1" t="n">
        <v>46092.41358796296</v>
      </c>
      <c r="C87" s="1" t="n">
        <v>46182</v>
      </c>
      <c r="D87" t="inlineStr">
        <is>
          <t>STOCKHOLMS LÄN</t>
        </is>
      </c>
      <c r="E87" t="inlineStr">
        <is>
          <t>VALLENTUNA</t>
        </is>
      </c>
      <c r="G87" t="n">
        <v>2.7</v>
      </c>
      <c r="H87" t="n">
        <v>0</v>
      </c>
      <c r="I87" t="n">
        <v>0</v>
      </c>
      <c r="J87" t="n">
        <v>0</v>
      </c>
      <c r="K87" t="n">
        <v>0</v>
      </c>
      <c r="L87" t="n">
        <v>0</v>
      </c>
      <c r="M87" t="n">
        <v>0</v>
      </c>
      <c r="N87" t="n">
        <v>0</v>
      </c>
      <c r="O87" t="n">
        <v>0</v>
      </c>
      <c r="P87" t="n">
        <v>0</v>
      </c>
      <c r="Q87" t="n">
        <v>0</v>
      </c>
      <c r="R87" s="2" t="inlineStr"/>
    </row>
    <row r="88" ht="15" customHeight="1">
      <c r="A88" t="inlineStr">
        <is>
          <t>A 12819-2026</t>
        </is>
      </c>
      <c r="B88" s="1" t="n">
        <v>46092.40896990741</v>
      </c>
      <c r="C88" s="1" t="n">
        <v>46182</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12828-2026</t>
        </is>
      </c>
      <c r="B89" s="1" t="n">
        <v>46092.41760416667</v>
      </c>
      <c r="C89" s="1" t="n">
        <v>46182</v>
      </c>
      <c r="D89" t="inlineStr">
        <is>
          <t>STOCKHOLMS LÄN</t>
        </is>
      </c>
      <c r="E89" t="inlineStr">
        <is>
          <t>VALLENTUNA</t>
        </is>
      </c>
      <c r="G89" t="n">
        <v>1</v>
      </c>
      <c r="H89" t="n">
        <v>0</v>
      </c>
      <c r="I89" t="n">
        <v>0</v>
      </c>
      <c r="J89" t="n">
        <v>0</v>
      </c>
      <c r="K89" t="n">
        <v>0</v>
      </c>
      <c r="L89" t="n">
        <v>0</v>
      </c>
      <c r="M89" t="n">
        <v>0</v>
      </c>
      <c r="N89" t="n">
        <v>0</v>
      </c>
      <c r="O89" t="n">
        <v>0</v>
      </c>
      <c r="P89" t="n">
        <v>0</v>
      </c>
      <c r="Q89" t="n">
        <v>0</v>
      </c>
      <c r="R89" s="2" t="inlineStr"/>
    </row>
    <row r="90" ht="15" customHeight="1">
      <c r="A90" t="inlineStr">
        <is>
          <t>A 12830-2026</t>
        </is>
      </c>
      <c r="B90" s="1" t="n">
        <v>46092.42290509259</v>
      </c>
      <c r="C90" s="1" t="n">
        <v>46182</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61646-2025</t>
        </is>
      </c>
      <c r="B91" s="1" t="n">
        <v>46002</v>
      </c>
      <c r="C91" s="1" t="n">
        <v>46182</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46182</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60795-2023</t>
        </is>
      </c>
      <c r="B93" s="1" t="n">
        <v>45260</v>
      </c>
      <c r="C93" s="1" t="n">
        <v>46182</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20910-2026</t>
        </is>
      </c>
      <c r="B94" s="1" t="n">
        <v>46142.46608796297</v>
      </c>
      <c r="C94" s="1" t="n">
        <v>46182</v>
      </c>
      <c r="D94" t="inlineStr">
        <is>
          <t>STOCKHOLMS LÄN</t>
        </is>
      </c>
      <c r="E94" t="inlineStr">
        <is>
          <t>VALLENTUNA</t>
        </is>
      </c>
      <c r="G94" t="n">
        <v>1.8</v>
      </c>
      <c r="H94" t="n">
        <v>0</v>
      </c>
      <c r="I94" t="n">
        <v>0</v>
      </c>
      <c r="J94" t="n">
        <v>0</v>
      </c>
      <c r="K94" t="n">
        <v>0</v>
      </c>
      <c r="L94" t="n">
        <v>0</v>
      </c>
      <c r="M94" t="n">
        <v>0</v>
      </c>
      <c r="N94" t="n">
        <v>0</v>
      </c>
      <c r="O94" t="n">
        <v>0</v>
      </c>
      <c r="P94" t="n">
        <v>0</v>
      </c>
      <c r="Q94" t="n">
        <v>0</v>
      </c>
      <c r="R94" s="2" t="inlineStr"/>
    </row>
    <row r="95" ht="15" customHeight="1">
      <c r="A95" t="inlineStr">
        <is>
          <t>A 7264-2022</t>
        </is>
      </c>
      <c r="B95" s="1" t="n">
        <v>44606</v>
      </c>
      <c r="C95" s="1" t="n">
        <v>46182</v>
      </c>
      <c r="D95" t="inlineStr">
        <is>
          <t>STOCKHOLMS LÄN</t>
        </is>
      </c>
      <c r="E95" t="inlineStr">
        <is>
          <t>VALLENTUNA</t>
        </is>
      </c>
      <c r="G95" t="n">
        <v>2.4</v>
      </c>
      <c r="H95" t="n">
        <v>0</v>
      </c>
      <c r="I95" t="n">
        <v>0</v>
      </c>
      <c r="J95" t="n">
        <v>0</v>
      </c>
      <c r="K95" t="n">
        <v>0</v>
      </c>
      <c r="L95" t="n">
        <v>0</v>
      </c>
      <c r="M95" t="n">
        <v>0</v>
      </c>
      <c r="N95" t="n">
        <v>0</v>
      </c>
      <c r="O95" t="n">
        <v>0</v>
      </c>
      <c r="P95" t="n">
        <v>0</v>
      </c>
      <c r="Q95" t="n">
        <v>0</v>
      </c>
      <c r="R95" s="2" t="inlineStr"/>
    </row>
    <row r="96" ht="15" customHeight="1">
      <c r="A96" t="inlineStr">
        <is>
          <t>A 14799-2026</t>
        </is>
      </c>
      <c r="B96" s="1" t="n">
        <v>46102.82101851852</v>
      </c>
      <c r="C96" s="1" t="n">
        <v>46182</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46182</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8787-2024</t>
        </is>
      </c>
      <c r="B98" s="1" t="n">
        <v>45356</v>
      </c>
      <c r="C98" s="1" t="n">
        <v>46182</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14782-2024</t>
        </is>
      </c>
      <c r="B99" s="1" t="n">
        <v>45397.74266203704</v>
      </c>
      <c r="C99" s="1" t="n">
        <v>46182</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46182</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49530-2023</t>
        </is>
      </c>
      <c r="B101" s="1" t="n">
        <v>45205</v>
      </c>
      <c r="C101" s="1" t="n">
        <v>46182</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46182</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46182</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46182</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11950-2025</t>
        </is>
      </c>
      <c r="B105" s="1" t="n">
        <v>45728.55622685186</v>
      </c>
      <c r="C105" s="1" t="n">
        <v>46182</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46182</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17387-2026</t>
        </is>
      </c>
      <c r="B107" s="1" t="n">
        <v>46119.79578703704</v>
      </c>
      <c r="C107" s="1" t="n">
        <v>46182</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21445-2023</t>
        </is>
      </c>
      <c r="B108" s="1" t="n">
        <v>45063</v>
      </c>
      <c r="C108" s="1" t="n">
        <v>46182</v>
      </c>
      <c r="D108" t="inlineStr">
        <is>
          <t>STOCKHOLMS LÄN</t>
        </is>
      </c>
      <c r="E108" t="inlineStr">
        <is>
          <t>VALLENTUNA</t>
        </is>
      </c>
      <c r="G108" t="n">
        <v>3.1</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46182</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61442-2024</t>
        </is>
      </c>
      <c r="B110" s="1" t="n">
        <v>45646.47003472222</v>
      </c>
      <c r="C110" s="1" t="n">
        <v>46182</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48068-2021</t>
        </is>
      </c>
      <c r="B111" s="1" t="n">
        <v>44449.42270833333</v>
      </c>
      <c r="C111" s="1" t="n">
        <v>46182</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17389-2026</t>
        </is>
      </c>
      <c r="B112" s="1" t="n">
        <v>46119.80603009259</v>
      </c>
      <c r="C112" s="1" t="n">
        <v>46182</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45499-2023</t>
        </is>
      </c>
      <c r="B113" s="1" t="n">
        <v>45194</v>
      </c>
      <c r="C113" s="1" t="n">
        <v>46182</v>
      </c>
      <c r="D113" t="inlineStr">
        <is>
          <t>STOCKHOLMS LÄN</t>
        </is>
      </c>
      <c r="E113" t="inlineStr">
        <is>
          <t>VALLENTUNA</t>
        </is>
      </c>
      <c r="G113" t="n">
        <v>2.5</v>
      </c>
      <c r="H113" t="n">
        <v>0</v>
      </c>
      <c r="I113" t="n">
        <v>0</v>
      </c>
      <c r="J113" t="n">
        <v>0</v>
      </c>
      <c r="K113" t="n">
        <v>0</v>
      </c>
      <c r="L113" t="n">
        <v>0</v>
      </c>
      <c r="M113" t="n">
        <v>0</v>
      </c>
      <c r="N113" t="n">
        <v>0</v>
      </c>
      <c r="O113" t="n">
        <v>0</v>
      </c>
      <c r="P113" t="n">
        <v>0</v>
      </c>
      <c r="Q113" t="n">
        <v>0</v>
      </c>
      <c r="R113" s="2" t="inlineStr"/>
    </row>
    <row r="114" ht="15" customHeight="1">
      <c r="A114" t="inlineStr">
        <is>
          <t>A 34452-2021</t>
        </is>
      </c>
      <c r="B114" s="1" t="n">
        <v>44381</v>
      </c>
      <c r="C114" s="1" t="n">
        <v>46182</v>
      </c>
      <c r="D114" t="inlineStr">
        <is>
          <t>STOCKHOLMS LÄN</t>
        </is>
      </c>
      <c r="E114" t="inlineStr">
        <is>
          <t>VALLENTUNA</t>
        </is>
      </c>
      <c r="G114" t="n">
        <v>14.7</v>
      </c>
      <c r="H114" t="n">
        <v>0</v>
      </c>
      <c r="I114" t="n">
        <v>0</v>
      </c>
      <c r="J114" t="n">
        <v>0</v>
      </c>
      <c r="K114" t="n">
        <v>0</v>
      </c>
      <c r="L114" t="n">
        <v>0</v>
      </c>
      <c r="M114" t="n">
        <v>0</v>
      </c>
      <c r="N114" t="n">
        <v>0</v>
      </c>
      <c r="O114" t="n">
        <v>0</v>
      </c>
      <c r="P114" t="n">
        <v>0</v>
      </c>
      <c r="Q114" t="n">
        <v>0</v>
      </c>
      <c r="R114" s="2" t="inlineStr"/>
    </row>
    <row r="115" ht="15" customHeight="1">
      <c r="A115" t="inlineStr">
        <is>
          <t>A 20791-2025</t>
        </is>
      </c>
      <c r="B115" s="1" t="n">
        <v>45776.62738425926</v>
      </c>
      <c r="C115" s="1" t="n">
        <v>46182</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10073-2024</t>
        </is>
      </c>
      <c r="B116" s="1" t="n">
        <v>45364.40821759259</v>
      </c>
      <c r="C116" s="1" t="n">
        <v>46182</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12621-2024</t>
        </is>
      </c>
      <c r="B117" s="1" t="n">
        <v>45383.6325</v>
      </c>
      <c r="C117" s="1" t="n">
        <v>46182</v>
      </c>
      <c r="D117" t="inlineStr">
        <is>
          <t>STOCKHOLMS LÄN</t>
        </is>
      </c>
      <c r="E117" t="inlineStr">
        <is>
          <t>VALLENTUNA</t>
        </is>
      </c>
      <c r="G117" t="n">
        <v>4.4</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46182</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46182</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46381-2023</t>
        </is>
      </c>
      <c r="B120" s="1" t="n">
        <v>45193</v>
      </c>
      <c r="C120" s="1" t="n">
        <v>46182</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23009-2024</t>
        </is>
      </c>
      <c r="B121" s="1" t="n">
        <v>45450.34506944445</v>
      </c>
      <c r="C121" s="1" t="n">
        <v>46182</v>
      </c>
      <c r="D121" t="inlineStr">
        <is>
          <t>STOCKHOLMS LÄN</t>
        </is>
      </c>
      <c r="E121" t="inlineStr">
        <is>
          <t>VALLENTUNA</t>
        </is>
      </c>
      <c r="G121" t="n">
        <v>1.4</v>
      </c>
      <c r="H121" t="n">
        <v>0</v>
      </c>
      <c r="I121" t="n">
        <v>0</v>
      </c>
      <c r="J121" t="n">
        <v>0</v>
      </c>
      <c r="K121" t="n">
        <v>0</v>
      </c>
      <c r="L121" t="n">
        <v>0</v>
      </c>
      <c r="M121" t="n">
        <v>0</v>
      </c>
      <c r="N121" t="n">
        <v>0</v>
      </c>
      <c r="O121" t="n">
        <v>0</v>
      </c>
      <c r="P121" t="n">
        <v>0</v>
      </c>
      <c r="Q121" t="n">
        <v>0</v>
      </c>
      <c r="R121" s="2" t="inlineStr"/>
    </row>
    <row r="122" ht="15" customHeight="1">
      <c r="A122" t="inlineStr">
        <is>
          <t>A 61027-2023</t>
        </is>
      </c>
      <c r="B122" s="1" t="n">
        <v>45261</v>
      </c>
      <c r="C122" s="1" t="n">
        <v>46182</v>
      </c>
      <c r="D122" t="inlineStr">
        <is>
          <t>STOCKHOLMS LÄN</t>
        </is>
      </c>
      <c r="E122" t="inlineStr">
        <is>
          <t>VALLENTUNA</t>
        </is>
      </c>
      <c r="G122" t="n">
        <v>7.1</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46182</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23923-2025</t>
        </is>
      </c>
      <c r="B124" s="1" t="n">
        <v>45795.39648148148</v>
      </c>
      <c r="C124" s="1" t="n">
        <v>46182</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20914-2026</t>
        </is>
      </c>
      <c r="B125" s="1" t="n">
        <v>46142</v>
      </c>
      <c r="C125" s="1" t="n">
        <v>46182</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4804-2024</t>
        </is>
      </c>
      <c r="B126" s="1" t="n">
        <v>45328</v>
      </c>
      <c r="C126" s="1" t="n">
        <v>46182</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25740-2026</t>
        </is>
      </c>
      <c r="B127" s="1" t="n">
        <v>46178.42768518518</v>
      </c>
      <c r="C127" s="1" t="n">
        <v>46182</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24740-2026</t>
        </is>
      </c>
      <c r="B128" s="1" t="n">
        <v>46171</v>
      </c>
      <c r="C128" s="1" t="n">
        <v>46182</v>
      </c>
      <c r="D128" t="inlineStr">
        <is>
          <t>STOCKHOLMS LÄN</t>
        </is>
      </c>
      <c r="E128" t="inlineStr">
        <is>
          <t>VALLENTUNA</t>
        </is>
      </c>
      <c r="F128" t="inlineStr">
        <is>
          <t>Övriga Aktiebolag</t>
        </is>
      </c>
      <c r="G128" t="n">
        <v>5.7</v>
      </c>
      <c r="H128" t="n">
        <v>0</v>
      </c>
      <c r="I128" t="n">
        <v>0</v>
      </c>
      <c r="J128" t="n">
        <v>0</v>
      </c>
      <c r="K128" t="n">
        <v>0</v>
      </c>
      <c r="L128" t="n">
        <v>0</v>
      </c>
      <c r="M128" t="n">
        <v>0</v>
      </c>
      <c r="N128" t="n">
        <v>0</v>
      </c>
      <c r="O128" t="n">
        <v>0</v>
      </c>
      <c r="P128" t="n">
        <v>0</v>
      </c>
      <c r="Q128" t="n">
        <v>0</v>
      </c>
      <c r="R128" s="2" t="inlineStr"/>
    </row>
    <row r="129">
      <c r="A129" t="inlineStr">
        <is>
          <t>A 25752-2026</t>
        </is>
      </c>
      <c r="B129" s="1" t="n">
        <v>46178.43386574074</v>
      </c>
      <c r="C129" s="1" t="n">
        <v>46182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2026-06-09T09:26:41Z</dcterms:created>
  <dcterms:modified xmlns:dcterms="http://purl.org/dc/terms/" xmlns:xsi="http://www.w3.org/2001/XMLSchema-instance" xsi:type="dcterms:W3CDTF">2026-06-09T09:26:41Z</dcterms:modified>
</cp:coreProperties>
</file>