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46017</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46017</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46017</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46017</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46017</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9445-2022</t>
        </is>
      </c>
      <c r="B19" s="1" t="n">
        <v>44616</v>
      </c>
      <c r="C19" s="1" t="n">
        <v>46017</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46017</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70608-2021</t>
        </is>
      </c>
      <c r="B21" s="1" t="n">
        <v>44536</v>
      </c>
      <c r="C21" s="1" t="n">
        <v>46017</v>
      </c>
      <c r="D21" t="inlineStr">
        <is>
          <t>STOCKHOLMS LÄN</t>
        </is>
      </c>
      <c r="E21" t="inlineStr">
        <is>
          <t>VALLENTUNA</t>
        </is>
      </c>
      <c r="G21" t="n">
        <v>10.4</v>
      </c>
      <c r="H21" t="n">
        <v>1</v>
      </c>
      <c r="I21" t="n">
        <v>1</v>
      </c>
      <c r="J21" t="n">
        <v>1</v>
      </c>
      <c r="K21" t="n">
        <v>0</v>
      </c>
      <c r="L21" t="n">
        <v>0</v>
      </c>
      <c r="M21" t="n">
        <v>0</v>
      </c>
      <c r="N21" t="n">
        <v>0</v>
      </c>
      <c r="O21" t="n">
        <v>1</v>
      </c>
      <c r="P21" t="n">
        <v>0</v>
      </c>
      <c r="Q21" t="n">
        <v>2</v>
      </c>
      <c r="R21" s="2" t="inlineStr">
        <is>
          <t>Talltita
Tibast</t>
        </is>
      </c>
      <c r="S21">
        <f>HYPERLINK("https://klasma.github.io/Logging_0115/artfynd/A 70608-2021 artfynd.xlsx", "A 70608-2021")</f>
        <v/>
      </c>
      <c r="T21">
        <f>HYPERLINK("https://klasma.github.io/Logging_0115/kartor/A 70608-2021 karta.png", "A 70608-2021")</f>
        <v/>
      </c>
      <c r="V21">
        <f>HYPERLINK("https://klasma.github.io/Logging_0115/klagomål/A 70608-2021 FSC-klagomål.docx", "A 70608-2021")</f>
        <v/>
      </c>
      <c r="W21">
        <f>HYPERLINK("https://klasma.github.io/Logging_0115/klagomålsmail/A 70608-2021 FSC-klagomål mail.docx", "A 70608-2021")</f>
        <v/>
      </c>
      <c r="X21">
        <f>HYPERLINK("https://klasma.github.io/Logging_0115/tillsyn/A 70608-2021 tillsynsbegäran.docx", "A 70608-2021")</f>
        <v/>
      </c>
      <c r="Y21">
        <f>HYPERLINK("https://klasma.github.io/Logging_0115/tillsynsmail/A 70608-2021 tillsynsbegäran mail.docx", "A 70608-2021")</f>
        <v/>
      </c>
      <c r="Z21">
        <f>HYPERLINK("https://klasma.github.io/Logging_0115/fåglar/A 70608-2021 prioriterade fågelarter.docx", "A 70608-2021")</f>
        <v/>
      </c>
    </row>
    <row r="22" ht="15" customHeight="1">
      <c r="A22" t="inlineStr">
        <is>
          <t>A 21612-2021</t>
        </is>
      </c>
      <c r="B22" s="1" t="n">
        <v>44321</v>
      </c>
      <c r="C22" s="1" t="n">
        <v>46017</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41021-2023</t>
        </is>
      </c>
      <c r="B23" s="1" t="n">
        <v>45173</v>
      </c>
      <c r="C23" s="1" t="n">
        <v>46017</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46017</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46017</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46017</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46017</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46017</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46017</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46017</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22830-2024</t>
        </is>
      </c>
      <c r="B31" s="1" t="n">
        <v>45448.56583333333</v>
      </c>
      <c r="C31" s="1" t="n">
        <v>46017</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17341-2025</t>
        </is>
      </c>
      <c r="B32" s="1" t="n">
        <v>45756</v>
      </c>
      <c r="C32" s="1" t="n">
        <v>46017</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7890-2023</t>
        </is>
      </c>
      <c r="B33" s="1" t="n">
        <v>44973</v>
      </c>
      <c r="C33" s="1" t="n">
        <v>46017</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34458-2023</t>
        </is>
      </c>
      <c r="B34" s="1" t="n">
        <v>45139</v>
      </c>
      <c r="C34" s="1" t="n">
        <v>46017</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46017</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21439-2025</t>
        </is>
      </c>
      <c r="B36" s="1" t="n">
        <v>45782.52939814814</v>
      </c>
      <c r="C36" s="1" t="n">
        <v>46017</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22936-2025</t>
        </is>
      </c>
      <c r="B37" s="1" t="n">
        <v>45790.45738425926</v>
      </c>
      <c r="C37" s="1" t="n">
        <v>46017</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54481-2025</t>
        </is>
      </c>
      <c r="B38" s="1" t="n">
        <v>45965.58837962963</v>
      </c>
      <c r="C38" s="1" t="n">
        <v>46017</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63539-2025</t>
        </is>
      </c>
      <c r="B39" s="1" t="n">
        <v>46013.58824074074</v>
      </c>
      <c r="C39" s="1" t="n">
        <v>46017</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63543-2025</t>
        </is>
      </c>
      <c r="B40" s="1" t="n">
        <v>46013.59207175926</v>
      </c>
      <c r="C40" s="1" t="n">
        <v>46017</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20612-2021</t>
        </is>
      </c>
      <c r="B41" s="1" t="n">
        <v>44315</v>
      </c>
      <c r="C41" s="1" t="n">
        <v>46017</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46017</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46017</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46017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46017</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46017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46017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46017</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46017</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46017</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48078-2021</t>
        </is>
      </c>
      <c r="B51" s="1" t="n">
        <v>44449.42578703703</v>
      </c>
      <c r="C51" s="1" t="n">
        <v>46017</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46017</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46017</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46017</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46017</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46017</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46017</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46017</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7085-2022</t>
        </is>
      </c>
      <c r="B59" s="1" t="n">
        <v>44603</v>
      </c>
      <c r="C59" s="1" t="n">
        <v>46017</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24707-2023</t>
        </is>
      </c>
      <c r="B60" s="1" t="n">
        <v>45084</v>
      </c>
      <c r="C60" s="1" t="n">
        <v>46017</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12609-2024</t>
        </is>
      </c>
      <c r="B61" s="1" t="n">
        <v>45382.8109375</v>
      </c>
      <c r="C61" s="1" t="n">
        <v>46017</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48068-2021</t>
        </is>
      </c>
      <c r="B62" s="1" t="n">
        <v>44449.42270833333</v>
      </c>
      <c r="C62" s="1" t="n">
        <v>46017</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46017</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46017</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47140-2024</t>
        </is>
      </c>
      <c r="B65" s="1" t="n">
        <v>45586.58753472222</v>
      </c>
      <c r="C65" s="1" t="n">
        <v>46017</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24994-2021</t>
        </is>
      </c>
      <c r="B66" s="1" t="n">
        <v>44341</v>
      </c>
      <c r="C66" s="1" t="n">
        <v>46017</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7276-2022</t>
        </is>
      </c>
      <c r="B67" s="1" t="n">
        <v>44606</v>
      </c>
      <c r="C67" s="1" t="n">
        <v>46017</v>
      </c>
      <c r="D67" t="inlineStr">
        <is>
          <t>STOCKHOLMS LÄN</t>
        </is>
      </c>
      <c r="E67" t="inlineStr">
        <is>
          <t>VALLENTUNA</t>
        </is>
      </c>
      <c r="G67" t="n">
        <v>1.7</v>
      </c>
      <c r="H67" t="n">
        <v>0</v>
      </c>
      <c r="I67" t="n">
        <v>0</v>
      </c>
      <c r="J67" t="n">
        <v>0</v>
      </c>
      <c r="K67" t="n">
        <v>0</v>
      </c>
      <c r="L67" t="n">
        <v>0</v>
      </c>
      <c r="M67" t="n">
        <v>0</v>
      </c>
      <c r="N67" t="n">
        <v>0</v>
      </c>
      <c r="O67" t="n">
        <v>0</v>
      </c>
      <c r="P67" t="n">
        <v>0</v>
      </c>
      <c r="Q67" t="n">
        <v>0</v>
      </c>
      <c r="R67" s="2" t="inlineStr"/>
    </row>
    <row r="68" ht="15" customHeight="1">
      <c r="A68" t="inlineStr">
        <is>
          <t>A 60818-2023</t>
        </is>
      </c>
      <c r="B68" s="1" t="n">
        <v>45259</v>
      </c>
      <c r="C68" s="1" t="n">
        <v>46017</v>
      </c>
      <c r="D68" t="inlineStr">
        <is>
          <t>STOCKHOLMS LÄN</t>
        </is>
      </c>
      <c r="E68" t="inlineStr">
        <is>
          <t>VALLENTUNA</t>
        </is>
      </c>
      <c r="G68" t="n">
        <v>9.4</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46017</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8565-2025</t>
        </is>
      </c>
      <c r="B70" s="1" t="n">
        <v>45709</v>
      </c>
      <c r="C70" s="1" t="n">
        <v>46017</v>
      </c>
      <c r="D70" t="inlineStr">
        <is>
          <t>STOCKHOLMS LÄN</t>
        </is>
      </c>
      <c r="E70" t="inlineStr">
        <is>
          <t>VALLENTUNA</t>
        </is>
      </c>
      <c r="F70" t="inlineStr">
        <is>
          <t>Kommuner</t>
        </is>
      </c>
      <c r="G70" t="n">
        <v>4.2</v>
      </c>
      <c r="H70" t="n">
        <v>0</v>
      </c>
      <c r="I70" t="n">
        <v>0</v>
      </c>
      <c r="J70" t="n">
        <v>0</v>
      </c>
      <c r="K70" t="n">
        <v>0</v>
      </c>
      <c r="L70" t="n">
        <v>0</v>
      </c>
      <c r="M70" t="n">
        <v>0</v>
      </c>
      <c r="N70" t="n">
        <v>0</v>
      </c>
      <c r="O70" t="n">
        <v>0</v>
      </c>
      <c r="P70" t="n">
        <v>0</v>
      </c>
      <c r="Q70" t="n">
        <v>0</v>
      </c>
      <c r="R70" s="2" t="inlineStr"/>
    </row>
    <row r="71" ht="15" customHeight="1">
      <c r="A71" t="inlineStr">
        <is>
          <t>A 3078-2023</t>
        </is>
      </c>
      <c r="B71" s="1" t="n">
        <v>44946.41527777778</v>
      </c>
      <c r="C71" s="1" t="n">
        <v>46017</v>
      </c>
      <c r="D71" t="inlineStr">
        <is>
          <t>STOCKHOLMS LÄN</t>
        </is>
      </c>
      <c r="E71" t="inlineStr">
        <is>
          <t>VALLENTUNA</t>
        </is>
      </c>
      <c r="G71" t="n">
        <v>3.9</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46017</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46017</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9063-2024</t>
        </is>
      </c>
      <c r="B74" s="1" t="n">
        <v>45357.72652777778</v>
      </c>
      <c r="C74" s="1" t="n">
        <v>46017</v>
      </c>
      <c r="D74" t="inlineStr">
        <is>
          <t>STOCKHOLMS LÄN</t>
        </is>
      </c>
      <c r="E74" t="inlineStr">
        <is>
          <t>VALLENTUNA</t>
        </is>
      </c>
      <c r="G74" t="n">
        <v>4.1</v>
      </c>
      <c r="H74" t="n">
        <v>0</v>
      </c>
      <c r="I74" t="n">
        <v>0</v>
      </c>
      <c r="J74" t="n">
        <v>0</v>
      </c>
      <c r="K74" t="n">
        <v>0</v>
      </c>
      <c r="L74" t="n">
        <v>0</v>
      </c>
      <c r="M74" t="n">
        <v>0</v>
      </c>
      <c r="N74" t="n">
        <v>0</v>
      </c>
      <c r="O74" t="n">
        <v>0</v>
      </c>
      <c r="P74" t="n">
        <v>0</v>
      </c>
      <c r="Q74" t="n">
        <v>0</v>
      </c>
      <c r="R74" s="2" t="inlineStr"/>
    </row>
    <row r="75" ht="15" customHeight="1">
      <c r="A75" t="inlineStr">
        <is>
          <t>A 1385-2024</t>
        </is>
      </c>
      <c r="B75" s="1" t="n">
        <v>45303</v>
      </c>
      <c r="C75" s="1" t="n">
        <v>46017</v>
      </c>
      <c r="D75" t="inlineStr">
        <is>
          <t>STOCKHOLMS LÄN</t>
        </is>
      </c>
      <c r="E75" t="inlineStr">
        <is>
          <t>VALLENTUNA</t>
        </is>
      </c>
      <c r="G75" t="n">
        <v>2.6</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46017</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14775-2024</t>
        </is>
      </c>
      <c r="B77" s="1" t="n">
        <v>45397.73675925926</v>
      </c>
      <c r="C77" s="1" t="n">
        <v>46017</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4803-2024</t>
        </is>
      </c>
      <c r="B78" s="1" t="n">
        <v>45328</v>
      </c>
      <c r="C78" s="1" t="n">
        <v>46017</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46017</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46017</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46017</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46017</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46017</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24068-2024</t>
        </is>
      </c>
      <c r="B84" s="1" t="n">
        <v>45456</v>
      </c>
      <c r="C84" s="1" t="n">
        <v>46017</v>
      </c>
      <c r="D84" t="inlineStr">
        <is>
          <t>STOCKHOLMS LÄN</t>
        </is>
      </c>
      <c r="E84" t="inlineStr">
        <is>
          <t>VALLENTUNA</t>
        </is>
      </c>
      <c r="G84" t="n">
        <v>7.4</v>
      </c>
      <c r="H84" t="n">
        <v>0</v>
      </c>
      <c r="I84" t="n">
        <v>0</v>
      </c>
      <c r="J84" t="n">
        <v>0</v>
      </c>
      <c r="K84" t="n">
        <v>0</v>
      </c>
      <c r="L84" t="n">
        <v>0</v>
      </c>
      <c r="M84" t="n">
        <v>0</v>
      </c>
      <c r="N84" t="n">
        <v>0</v>
      </c>
      <c r="O84" t="n">
        <v>0</v>
      </c>
      <c r="P84" t="n">
        <v>0</v>
      </c>
      <c r="Q84" t="n">
        <v>0</v>
      </c>
      <c r="R84" s="2" t="inlineStr"/>
    </row>
    <row r="85" ht="15" customHeight="1">
      <c r="A85" t="inlineStr">
        <is>
          <t>A 735-2024</t>
        </is>
      </c>
      <c r="B85" s="1" t="n">
        <v>45300</v>
      </c>
      <c r="C85" s="1" t="n">
        <v>46017</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17411-2023</t>
        </is>
      </c>
      <c r="B86" s="1" t="n">
        <v>45035.82512731481</v>
      </c>
      <c r="C86" s="1" t="n">
        <v>46017</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11950-2025</t>
        </is>
      </c>
      <c r="B87" s="1" t="n">
        <v>45728.55622685186</v>
      </c>
      <c r="C87" s="1" t="n">
        <v>46017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46017</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61442-2024</t>
        </is>
      </c>
      <c r="B89" s="1" t="n">
        <v>45646.47003472222</v>
      </c>
      <c r="C89" s="1" t="n">
        <v>46017</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46017</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41206-2025</t>
        </is>
      </c>
      <c r="B91" s="1" t="n">
        <v>45898</v>
      </c>
      <c r="C91" s="1" t="n">
        <v>46017</v>
      </c>
      <c r="D91" t="inlineStr">
        <is>
          <t>STOCKHOLMS LÄN</t>
        </is>
      </c>
      <c r="E91" t="inlineStr">
        <is>
          <t>VALLENTUNA</t>
        </is>
      </c>
      <c r="G91" t="n">
        <v>10</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46017</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19503-2023</t>
        </is>
      </c>
      <c r="B93" s="1" t="n">
        <v>45050.47333333334</v>
      </c>
      <c r="C93" s="1" t="n">
        <v>46017</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23013-2024</t>
        </is>
      </c>
      <c r="B94" s="1" t="n">
        <v>45450.35116898148</v>
      </c>
      <c r="C94" s="1" t="n">
        <v>46017</v>
      </c>
      <c r="D94" t="inlineStr">
        <is>
          <t>STOCKHOLMS LÄN</t>
        </is>
      </c>
      <c r="E94" t="inlineStr">
        <is>
          <t>VALLENTUNA</t>
        </is>
      </c>
      <c r="G94" t="n">
        <v>0.4</v>
      </c>
      <c r="H94" t="n">
        <v>0</v>
      </c>
      <c r="I94" t="n">
        <v>0</v>
      </c>
      <c r="J94" t="n">
        <v>0</v>
      </c>
      <c r="K94" t="n">
        <v>0</v>
      </c>
      <c r="L94" t="n">
        <v>0</v>
      </c>
      <c r="M94" t="n">
        <v>0</v>
      </c>
      <c r="N94" t="n">
        <v>0</v>
      </c>
      <c r="O94" t="n">
        <v>0</v>
      </c>
      <c r="P94" t="n">
        <v>0</v>
      </c>
      <c r="Q94" t="n">
        <v>0</v>
      </c>
      <c r="R94" s="2" t="inlineStr"/>
    </row>
    <row r="95" ht="15" customHeight="1">
      <c r="A95" t="inlineStr">
        <is>
          <t>A 2318-2024</t>
        </is>
      </c>
      <c r="B95" s="1" t="n">
        <v>45310</v>
      </c>
      <c r="C95" s="1" t="n">
        <v>46017</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44988-2025</t>
        </is>
      </c>
      <c r="B96" s="1" t="n">
        <v>45918.65505787037</v>
      </c>
      <c r="C96" s="1" t="n">
        <v>46017</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46017</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22683-2023</t>
        </is>
      </c>
      <c r="B98" s="1" t="n">
        <v>45071</v>
      </c>
      <c r="C98" s="1" t="n">
        <v>46017</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61742-2022</t>
        </is>
      </c>
      <c r="B99" s="1" t="n">
        <v>44917</v>
      </c>
      <c r="C99" s="1" t="n">
        <v>46017</v>
      </c>
      <c r="D99" t="inlineStr">
        <is>
          <t>STOCKHOLMS LÄN</t>
        </is>
      </c>
      <c r="E99" t="inlineStr">
        <is>
          <t>VALLENTUNA</t>
        </is>
      </c>
      <c r="G99" t="n">
        <v>0.5</v>
      </c>
      <c r="H99" t="n">
        <v>0</v>
      </c>
      <c r="I99" t="n">
        <v>0</v>
      </c>
      <c r="J99" t="n">
        <v>0</v>
      </c>
      <c r="K99" t="n">
        <v>0</v>
      </c>
      <c r="L99" t="n">
        <v>0</v>
      </c>
      <c r="M99" t="n">
        <v>0</v>
      </c>
      <c r="N99" t="n">
        <v>0</v>
      </c>
      <c r="O99" t="n">
        <v>0</v>
      </c>
      <c r="P99" t="n">
        <v>0</v>
      </c>
      <c r="Q99" t="n">
        <v>0</v>
      </c>
      <c r="R99" s="2" t="inlineStr"/>
    </row>
    <row r="100" ht="15" customHeight="1">
      <c r="A100" t="inlineStr">
        <is>
          <t>A 24943-2024</t>
        </is>
      </c>
      <c r="B100" s="1" t="n">
        <v>45461.62585648148</v>
      </c>
      <c r="C100" s="1" t="n">
        <v>46017</v>
      </c>
      <c r="D100" t="inlineStr">
        <is>
          <t>STOCKHOLMS LÄN</t>
        </is>
      </c>
      <c r="E100" t="inlineStr">
        <is>
          <t>VALLENTUNA</t>
        </is>
      </c>
      <c r="G100" t="n">
        <v>2</v>
      </c>
      <c r="H100" t="n">
        <v>0</v>
      </c>
      <c r="I100" t="n">
        <v>0</v>
      </c>
      <c r="J100" t="n">
        <v>0</v>
      </c>
      <c r="K100" t="n">
        <v>0</v>
      </c>
      <c r="L100" t="n">
        <v>0</v>
      </c>
      <c r="M100" t="n">
        <v>0</v>
      </c>
      <c r="N100" t="n">
        <v>0</v>
      </c>
      <c r="O100" t="n">
        <v>0</v>
      </c>
      <c r="P100" t="n">
        <v>0</v>
      </c>
      <c r="Q100" t="n">
        <v>0</v>
      </c>
      <c r="R100" s="2" t="inlineStr"/>
    </row>
    <row r="101" ht="15" customHeight="1">
      <c r="A101" t="inlineStr">
        <is>
          <t>A 5910-2022</t>
        </is>
      </c>
      <c r="B101" s="1" t="n">
        <v>44597</v>
      </c>
      <c r="C101" s="1" t="n">
        <v>46017</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46017</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3698-2022</t>
        </is>
      </c>
      <c r="B103" s="1" t="n">
        <v>44586</v>
      </c>
      <c r="C103" s="1" t="n">
        <v>46017</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48014-2025</t>
        </is>
      </c>
      <c r="B104" s="1" t="n">
        <v>45932.64520833334</v>
      </c>
      <c r="C104" s="1" t="n">
        <v>46017</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60997-2022</t>
        </is>
      </c>
      <c r="B105" s="1" t="n">
        <v>44914.70746527778</v>
      </c>
      <c r="C105" s="1" t="n">
        <v>46017</v>
      </c>
      <c r="D105" t="inlineStr">
        <is>
          <t>STOCKHOLMS LÄN</t>
        </is>
      </c>
      <c r="E105" t="inlineStr">
        <is>
          <t>VALLENTUNA</t>
        </is>
      </c>
      <c r="G105" t="n">
        <v>1.8</v>
      </c>
      <c r="H105" t="n">
        <v>0</v>
      </c>
      <c r="I105" t="n">
        <v>0</v>
      </c>
      <c r="J105" t="n">
        <v>0</v>
      </c>
      <c r="K105" t="n">
        <v>0</v>
      </c>
      <c r="L105" t="n">
        <v>0</v>
      </c>
      <c r="M105" t="n">
        <v>0</v>
      </c>
      <c r="N105" t="n">
        <v>0</v>
      </c>
      <c r="O105" t="n">
        <v>0</v>
      </c>
      <c r="P105" t="n">
        <v>0</v>
      </c>
      <c r="Q105" t="n">
        <v>0</v>
      </c>
      <c r="R105" s="2" t="inlineStr"/>
    </row>
    <row r="106" ht="15" customHeight="1">
      <c r="A106" t="inlineStr">
        <is>
          <t>A 48038-2025</t>
        </is>
      </c>
      <c r="B106" s="1" t="n">
        <v>45932.66008101852</v>
      </c>
      <c r="C106" s="1" t="n">
        <v>46017</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12234-2022</t>
        </is>
      </c>
      <c r="B107" s="1" t="n">
        <v>44637</v>
      </c>
      <c r="C107" s="1" t="n">
        <v>46017</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46017</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46017</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26390-2023</t>
        </is>
      </c>
      <c r="B110" s="1" t="n">
        <v>45086</v>
      </c>
      <c r="C110" s="1" t="n">
        <v>46017</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8787-2024</t>
        </is>
      </c>
      <c r="B111" s="1" t="n">
        <v>45356</v>
      </c>
      <c r="C111" s="1" t="n">
        <v>46017</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15268-2023</t>
        </is>
      </c>
      <c r="B112" s="1" t="n">
        <v>45019.41045138889</v>
      </c>
      <c r="C112" s="1" t="n">
        <v>46017</v>
      </c>
      <c r="D112" t="inlineStr">
        <is>
          <t>STOCKHOLMS LÄN</t>
        </is>
      </c>
      <c r="E112" t="inlineStr">
        <is>
          <t>VALLENTUNA</t>
        </is>
      </c>
      <c r="G112" t="n">
        <v>2.2</v>
      </c>
      <c r="H112" t="n">
        <v>0</v>
      </c>
      <c r="I112" t="n">
        <v>0</v>
      </c>
      <c r="J112" t="n">
        <v>0</v>
      </c>
      <c r="K112" t="n">
        <v>0</v>
      </c>
      <c r="L112" t="n">
        <v>0</v>
      </c>
      <c r="M112" t="n">
        <v>0</v>
      </c>
      <c r="N112" t="n">
        <v>0</v>
      </c>
      <c r="O112" t="n">
        <v>0</v>
      </c>
      <c r="P112" t="n">
        <v>0</v>
      </c>
      <c r="Q112" t="n">
        <v>0</v>
      </c>
      <c r="R112" s="2" t="inlineStr"/>
    </row>
    <row r="113" ht="15" customHeight="1">
      <c r="A113" t="inlineStr">
        <is>
          <t>A 50784-2025</t>
        </is>
      </c>
      <c r="B113" s="1" t="n">
        <v>45946</v>
      </c>
      <c r="C113" s="1" t="n">
        <v>46017</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46017</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46017</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46017</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15300-2023</t>
        </is>
      </c>
      <c r="B117" s="1" t="n">
        <v>45019</v>
      </c>
      <c r="C117" s="1" t="n">
        <v>46017</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38102-2024</t>
        </is>
      </c>
      <c r="B118" s="1" t="n">
        <v>45545.36349537037</v>
      </c>
      <c r="C118" s="1" t="n">
        <v>46017</v>
      </c>
      <c r="D118" t="inlineStr">
        <is>
          <t>STOCKHOLMS LÄN</t>
        </is>
      </c>
      <c r="E118" t="inlineStr">
        <is>
          <t>VALLENTUNA</t>
        </is>
      </c>
      <c r="G118" t="n">
        <v>3.2</v>
      </c>
      <c r="H118" t="n">
        <v>0</v>
      </c>
      <c r="I118" t="n">
        <v>0</v>
      </c>
      <c r="J118" t="n">
        <v>0</v>
      </c>
      <c r="K118" t="n">
        <v>0</v>
      </c>
      <c r="L118" t="n">
        <v>0</v>
      </c>
      <c r="M118" t="n">
        <v>0</v>
      </c>
      <c r="N118" t="n">
        <v>0</v>
      </c>
      <c r="O118" t="n">
        <v>0</v>
      </c>
      <c r="P118" t="n">
        <v>0</v>
      </c>
      <c r="Q118" t="n">
        <v>0</v>
      </c>
      <c r="R118" s="2" t="inlineStr"/>
    </row>
    <row r="119" ht="15" customHeight="1">
      <c r="A119" t="inlineStr">
        <is>
          <t>A 8077-2022</t>
        </is>
      </c>
      <c r="B119" s="1" t="n">
        <v>44609</v>
      </c>
      <c r="C119" s="1" t="n">
        <v>46017</v>
      </c>
      <c r="D119" t="inlineStr">
        <is>
          <t>STOCKHOLMS LÄN</t>
        </is>
      </c>
      <c r="E119" t="inlineStr">
        <is>
          <t>VALLENTUNA</t>
        </is>
      </c>
      <c r="G119" t="n">
        <v>1.3</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46017</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17340-2025</t>
        </is>
      </c>
      <c r="B121" s="1" t="n">
        <v>45756</v>
      </c>
      <c r="C121" s="1" t="n">
        <v>46017</v>
      </c>
      <c r="D121" t="inlineStr">
        <is>
          <t>STOCKHOLMS LÄN</t>
        </is>
      </c>
      <c r="E121" t="inlineStr">
        <is>
          <t>VALLENTUNA</t>
        </is>
      </c>
      <c r="F121" t="inlineStr">
        <is>
          <t>Övriga Aktiebolag</t>
        </is>
      </c>
      <c r="G121" t="n">
        <v>2.6</v>
      </c>
      <c r="H121" t="n">
        <v>0</v>
      </c>
      <c r="I121" t="n">
        <v>0</v>
      </c>
      <c r="J121" t="n">
        <v>0</v>
      </c>
      <c r="K121" t="n">
        <v>0</v>
      </c>
      <c r="L121" t="n">
        <v>0</v>
      </c>
      <c r="M121" t="n">
        <v>0</v>
      </c>
      <c r="N121" t="n">
        <v>0</v>
      </c>
      <c r="O121" t="n">
        <v>0</v>
      </c>
      <c r="P121" t="n">
        <v>0</v>
      </c>
      <c r="Q121" t="n">
        <v>0</v>
      </c>
      <c r="R121" s="2" t="inlineStr"/>
    </row>
    <row r="122" ht="15" customHeight="1">
      <c r="A122" t="inlineStr">
        <is>
          <t>A 20791-2025</t>
        </is>
      </c>
      <c r="B122" s="1" t="n">
        <v>45776.62738425926</v>
      </c>
      <c r="C122" s="1" t="n">
        <v>46017</v>
      </c>
      <c r="D122" t="inlineStr">
        <is>
          <t>STOCKHOLMS LÄN</t>
        </is>
      </c>
      <c r="E122" t="inlineStr">
        <is>
          <t>VALLENTUNA</t>
        </is>
      </c>
      <c r="G122" t="n">
        <v>1.5</v>
      </c>
      <c r="H122" t="n">
        <v>0</v>
      </c>
      <c r="I122" t="n">
        <v>0</v>
      </c>
      <c r="J122" t="n">
        <v>0</v>
      </c>
      <c r="K122" t="n">
        <v>0</v>
      </c>
      <c r="L122" t="n">
        <v>0</v>
      </c>
      <c r="M122" t="n">
        <v>0</v>
      </c>
      <c r="N122" t="n">
        <v>0</v>
      </c>
      <c r="O122" t="n">
        <v>0</v>
      </c>
      <c r="P122" t="n">
        <v>0</v>
      </c>
      <c r="Q122" t="n">
        <v>0</v>
      </c>
      <c r="R122" s="2" t="inlineStr"/>
    </row>
    <row r="123" ht="15" customHeight="1">
      <c r="A123" t="inlineStr">
        <is>
          <t>A 10073-2024</t>
        </is>
      </c>
      <c r="B123" s="1" t="n">
        <v>45364.40821759259</v>
      </c>
      <c r="C123" s="1" t="n">
        <v>46017</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34452-2021</t>
        </is>
      </c>
      <c r="B124" s="1" t="n">
        <v>44381</v>
      </c>
      <c r="C124" s="1" t="n">
        <v>46017</v>
      </c>
      <c r="D124" t="inlineStr">
        <is>
          <t>STOCKHOLMS LÄN</t>
        </is>
      </c>
      <c r="E124" t="inlineStr">
        <is>
          <t>VALLENTUNA</t>
        </is>
      </c>
      <c r="G124" t="n">
        <v>14.7</v>
      </c>
      <c r="H124" t="n">
        <v>0</v>
      </c>
      <c r="I124" t="n">
        <v>0</v>
      </c>
      <c r="J124" t="n">
        <v>0</v>
      </c>
      <c r="K124" t="n">
        <v>0</v>
      </c>
      <c r="L124" t="n">
        <v>0</v>
      </c>
      <c r="M124" t="n">
        <v>0</v>
      </c>
      <c r="N124" t="n">
        <v>0</v>
      </c>
      <c r="O124" t="n">
        <v>0</v>
      </c>
      <c r="P124" t="n">
        <v>0</v>
      </c>
      <c r="Q124" t="n">
        <v>0</v>
      </c>
      <c r="R124" s="2" t="inlineStr"/>
    </row>
    <row r="125" ht="15" customHeight="1">
      <c r="A125" t="inlineStr">
        <is>
          <t>A 12621-2024</t>
        </is>
      </c>
      <c r="B125" s="1" t="n">
        <v>45383.6325</v>
      </c>
      <c r="C125" s="1" t="n">
        <v>46017</v>
      </c>
      <c r="D125" t="inlineStr">
        <is>
          <t>STOCKHOLMS LÄN</t>
        </is>
      </c>
      <c r="E125" t="inlineStr">
        <is>
          <t>VALLENTUNA</t>
        </is>
      </c>
      <c r="G125" t="n">
        <v>4.4</v>
      </c>
      <c r="H125" t="n">
        <v>0</v>
      </c>
      <c r="I125" t="n">
        <v>0</v>
      </c>
      <c r="J125" t="n">
        <v>0</v>
      </c>
      <c r="K125" t="n">
        <v>0</v>
      </c>
      <c r="L125" t="n">
        <v>0</v>
      </c>
      <c r="M125" t="n">
        <v>0</v>
      </c>
      <c r="N125" t="n">
        <v>0</v>
      </c>
      <c r="O125" t="n">
        <v>0</v>
      </c>
      <c r="P125" t="n">
        <v>0</v>
      </c>
      <c r="Q125" t="n">
        <v>0</v>
      </c>
      <c r="R125" s="2" t="inlineStr"/>
    </row>
    <row r="126" ht="15" customHeight="1">
      <c r="A126" t="inlineStr">
        <is>
          <t>A 29704-2023</t>
        </is>
      </c>
      <c r="B126" s="1" t="n">
        <v>45107</v>
      </c>
      <c r="C126" s="1" t="n">
        <v>46017</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21765-2023</t>
        </is>
      </c>
      <c r="B127" s="1" t="n">
        <v>45064</v>
      </c>
      <c r="C127" s="1" t="n">
        <v>46017</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45496-2023</t>
        </is>
      </c>
      <c r="B128" s="1" t="n">
        <v>45194</v>
      </c>
      <c r="C128" s="1" t="n">
        <v>46017</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45499-2023</t>
        </is>
      </c>
      <c r="B129" s="1" t="n">
        <v>45194</v>
      </c>
      <c r="C129" s="1" t="n">
        <v>46017</v>
      </c>
      <c r="D129" t="inlineStr">
        <is>
          <t>STOCKHOLMS LÄN</t>
        </is>
      </c>
      <c r="E129" t="inlineStr">
        <is>
          <t>VALLENTUNA</t>
        </is>
      </c>
      <c r="G129" t="n">
        <v>2.5</v>
      </c>
      <c r="H129" t="n">
        <v>0</v>
      </c>
      <c r="I129" t="n">
        <v>0</v>
      </c>
      <c r="J129" t="n">
        <v>0</v>
      </c>
      <c r="K129" t="n">
        <v>0</v>
      </c>
      <c r="L129" t="n">
        <v>0</v>
      </c>
      <c r="M129" t="n">
        <v>0</v>
      </c>
      <c r="N129" t="n">
        <v>0</v>
      </c>
      <c r="O129" t="n">
        <v>0</v>
      </c>
      <c r="P129" t="n">
        <v>0</v>
      </c>
      <c r="Q129" t="n">
        <v>0</v>
      </c>
      <c r="R129" s="2" t="inlineStr"/>
    </row>
    <row r="130" ht="15" customHeight="1">
      <c r="A130" t="inlineStr">
        <is>
          <t>A 14782-2024</t>
        </is>
      </c>
      <c r="B130" s="1" t="n">
        <v>45397.74266203704</v>
      </c>
      <c r="C130" s="1" t="n">
        <v>46017</v>
      </c>
      <c r="D130" t="inlineStr">
        <is>
          <t>STOCKHOLMS LÄN</t>
        </is>
      </c>
      <c r="E130" t="inlineStr">
        <is>
          <t>VALLENTUNA</t>
        </is>
      </c>
      <c r="G130" t="n">
        <v>3.1</v>
      </c>
      <c r="H130" t="n">
        <v>0</v>
      </c>
      <c r="I130" t="n">
        <v>0</v>
      </c>
      <c r="J130" t="n">
        <v>0</v>
      </c>
      <c r="K130" t="n">
        <v>0</v>
      </c>
      <c r="L130" t="n">
        <v>0</v>
      </c>
      <c r="M130" t="n">
        <v>0</v>
      </c>
      <c r="N130" t="n">
        <v>0</v>
      </c>
      <c r="O130" t="n">
        <v>0</v>
      </c>
      <c r="P130" t="n">
        <v>0</v>
      </c>
      <c r="Q130" t="n">
        <v>0</v>
      </c>
      <c r="R130" s="2" t="inlineStr"/>
    </row>
    <row r="131" ht="15" customHeight="1">
      <c r="A131" t="inlineStr">
        <is>
          <t>A 46381-2023</t>
        </is>
      </c>
      <c r="B131" s="1" t="n">
        <v>45193</v>
      </c>
      <c r="C131" s="1" t="n">
        <v>46017</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61027-2023</t>
        </is>
      </c>
      <c r="B132" s="1" t="n">
        <v>45261</v>
      </c>
      <c r="C132" s="1" t="n">
        <v>46017</v>
      </c>
      <c r="D132" t="inlineStr">
        <is>
          <t>STOCKHOLMS LÄN</t>
        </is>
      </c>
      <c r="E132" t="inlineStr">
        <is>
          <t>VALLENTUNA</t>
        </is>
      </c>
      <c r="G132" t="n">
        <v>7.1</v>
      </c>
      <c r="H132" t="n">
        <v>0</v>
      </c>
      <c r="I132" t="n">
        <v>0</v>
      </c>
      <c r="J132" t="n">
        <v>0</v>
      </c>
      <c r="K132" t="n">
        <v>0</v>
      </c>
      <c r="L132" t="n">
        <v>0</v>
      </c>
      <c r="M132" t="n">
        <v>0</v>
      </c>
      <c r="N132" t="n">
        <v>0</v>
      </c>
      <c r="O132" t="n">
        <v>0</v>
      </c>
      <c r="P132" t="n">
        <v>0</v>
      </c>
      <c r="Q132" t="n">
        <v>0</v>
      </c>
      <c r="R132" s="2" t="inlineStr"/>
    </row>
    <row r="133" ht="15" customHeight="1">
      <c r="A133" t="inlineStr">
        <is>
          <t>A 23009-2024</t>
        </is>
      </c>
      <c r="B133" s="1" t="n">
        <v>45450.34506944445</v>
      </c>
      <c r="C133" s="1" t="n">
        <v>46017</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27868-2025</t>
        </is>
      </c>
      <c r="B134" s="1" t="n">
        <v>45817</v>
      </c>
      <c r="C134" s="1" t="n">
        <v>46017</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61646-2025</t>
        </is>
      </c>
      <c r="B135" s="1" t="n">
        <v>46002</v>
      </c>
      <c r="C135" s="1" t="n">
        <v>46017</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54466-2025</t>
        </is>
      </c>
      <c r="B136" s="1" t="n">
        <v>45965.56984953704</v>
      </c>
      <c r="C136" s="1" t="n">
        <v>46017</v>
      </c>
      <c r="D136" t="inlineStr">
        <is>
          <t>STOCKHOLMS LÄN</t>
        </is>
      </c>
      <c r="E136" t="inlineStr">
        <is>
          <t>VALLENTUNA</t>
        </is>
      </c>
      <c r="G136" t="n">
        <v>3</v>
      </c>
      <c r="H136" t="n">
        <v>0</v>
      </c>
      <c r="I136" t="n">
        <v>0</v>
      </c>
      <c r="J136" t="n">
        <v>0</v>
      </c>
      <c r="K136" t="n">
        <v>0</v>
      </c>
      <c r="L136" t="n">
        <v>0</v>
      </c>
      <c r="M136" t="n">
        <v>0</v>
      </c>
      <c r="N136" t="n">
        <v>0</v>
      </c>
      <c r="O136" t="n">
        <v>0</v>
      </c>
      <c r="P136" t="n">
        <v>0</v>
      </c>
      <c r="Q136" t="n">
        <v>0</v>
      </c>
      <c r="R136" s="2" t="inlineStr"/>
    </row>
    <row r="137" ht="15" customHeight="1">
      <c r="A137" t="inlineStr">
        <is>
          <t>A 54460-2025</t>
        </is>
      </c>
      <c r="B137" s="1" t="n">
        <v>45965.56219907408</v>
      </c>
      <c r="C137" s="1" t="n">
        <v>46017</v>
      </c>
      <c r="D137" t="inlineStr">
        <is>
          <t>STOCKHOLMS LÄN</t>
        </is>
      </c>
      <c r="E137" t="inlineStr">
        <is>
          <t>VALLENTUNA</t>
        </is>
      </c>
      <c r="G137" t="n">
        <v>22.9</v>
      </c>
      <c r="H137" t="n">
        <v>0</v>
      </c>
      <c r="I137" t="n">
        <v>0</v>
      </c>
      <c r="J137" t="n">
        <v>0</v>
      </c>
      <c r="K137" t="n">
        <v>0</v>
      </c>
      <c r="L137" t="n">
        <v>0</v>
      </c>
      <c r="M137" t="n">
        <v>0</v>
      </c>
      <c r="N137" t="n">
        <v>0</v>
      </c>
      <c r="O137" t="n">
        <v>0</v>
      </c>
      <c r="P137" t="n">
        <v>0</v>
      </c>
      <c r="Q137" t="n">
        <v>0</v>
      </c>
      <c r="R137" s="2" t="inlineStr"/>
    </row>
    <row r="138" ht="15" customHeight="1">
      <c r="A138" t="inlineStr">
        <is>
          <t>A 23923-2025</t>
        </is>
      </c>
      <c r="B138" s="1" t="n">
        <v>45795.39648148148</v>
      </c>
      <c r="C138" s="1" t="n">
        <v>46017</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25984-2025</t>
        </is>
      </c>
      <c r="B139" s="1" t="n">
        <v>45804.64016203704</v>
      </c>
      <c r="C139" s="1" t="n">
        <v>46017</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30902-2025</t>
        </is>
      </c>
      <c r="B140" s="1" t="n">
        <v>45832.36104166666</v>
      </c>
      <c r="C140" s="1" t="n">
        <v>46017</v>
      </c>
      <c r="D140" t="inlineStr">
        <is>
          <t>STOCKHOLMS LÄN</t>
        </is>
      </c>
      <c r="E140" t="inlineStr">
        <is>
          <t>VALLENTUNA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28431-2025</t>
        </is>
      </c>
      <c r="B141" s="1" t="n">
        <v>45819.38072916667</v>
      </c>
      <c r="C141" s="1" t="n">
        <v>46017</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c r="A142" t="inlineStr">
        <is>
          <t>A 44346-2021</t>
        </is>
      </c>
      <c r="B142" s="1" t="n">
        <v>44434</v>
      </c>
      <c r="C142" s="1" t="n">
        <v>46017</v>
      </c>
      <c r="D142" t="inlineStr">
        <is>
          <t>STOCKHOLMS LÄN</t>
        </is>
      </c>
      <c r="E142" t="inlineStr">
        <is>
          <t>VALLENTUNA</t>
        </is>
      </c>
      <c r="G142" t="n">
        <v>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2025-12-26T09:31:43Z</dcterms:created>
  <dcterms:modified xmlns:dcterms="http://purl.org/dc/terms/" xmlns:xsi="http://www.w3.org/2001/XMLSchema-instance" xsi:type="dcterms:W3CDTF">2025-12-26T09:31:43Z</dcterms:modified>
</cp:coreProperties>
</file>